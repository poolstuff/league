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.xml" ContentType="application/vnd.openxmlformats-officedocument.drawing+xml"/>
  <Override PartName="/xl/ctrlProps/ctrlProp111.xml" ContentType="application/vnd.ms-excel.controlproperties+xml"/>
  <Override PartName="/xl/drawings/drawing3.xml" ContentType="application/vnd.openxmlformats-officedocument.drawing+xml"/>
  <Override PartName="/xl/ctrlProps/ctrlProp112.xml" ContentType="application/vnd.ms-excel.controlproperties+xml"/>
  <Override PartName="/xl/drawings/drawing4.xml" ContentType="application/vnd.openxmlformats-officedocument.drawing+xml"/>
  <Override PartName="/xl/ctrlProps/ctrlProp113.xml" ContentType="application/vnd.ms-excel.controlproperties+xml"/>
  <Override PartName="/xl/drawings/drawing5.xml" ContentType="application/vnd.openxmlformats-officedocument.drawing+xml"/>
  <Override PartName="/xl/ctrlProps/ctrlProp114.xml" ContentType="application/vnd.ms-excel.controlproperties+xml"/>
  <Override PartName="/xl/drawings/drawing6.xml" ContentType="application/vnd.openxmlformats-officedocument.drawing+xml"/>
  <Override PartName="/xl/ctrlProps/ctrlProp115.xml" ContentType="application/vnd.ms-excel.controlproperties+xml"/>
  <Override PartName="/xl/drawings/drawing7.xml" ContentType="application/vnd.openxmlformats-officedocument.drawing+xml"/>
  <Override PartName="/xl/ctrlProps/ctrlProp116.xml" ContentType="application/vnd.ms-excel.controlproperties+xml"/>
  <Override PartName="/xl/drawings/drawing8.xml" ContentType="application/vnd.openxmlformats-officedocument.drawing+xml"/>
  <Override PartName="/xl/ctrlProps/ctrlProp117.xml" ContentType="application/vnd.ms-excel.controlproperties+xml"/>
  <Override PartName="/xl/drawings/drawing9.xml" ContentType="application/vnd.openxmlformats-officedocument.drawing+xml"/>
  <Override PartName="/xl/ctrlProps/ctrlProp118.xml" ContentType="application/vnd.ms-excel.controlproperties+xml"/>
  <Override PartName="/xl/drawings/drawing10.xml" ContentType="application/vnd.openxmlformats-officedocument.drawing+xml"/>
  <Override PartName="/xl/ctrlProps/ctrlProp119.xml" ContentType="application/vnd.ms-excel.controlproperties+xml"/>
  <Override PartName="/xl/drawings/drawing11.xml" ContentType="application/vnd.openxmlformats-officedocument.drawing+xml"/>
  <Override PartName="/xl/ctrlProps/ctrlProp120.xml" ContentType="application/vnd.ms-excel.controlproperties+xml"/>
  <Override PartName="/xl/drawings/drawing12.xml" ContentType="application/vnd.openxmlformats-officedocument.drawing+xml"/>
  <Override PartName="/xl/ctrlProps/ctrlProp121.xml" ContentType="application/vnd.ms-excel.controlproperties+xml"/>
  <Override PartName="/xl/drawings/drawing13.xml" ContentType="application/vnd.openxmlformats-officedocument.drawing+xml"/>
  <Override PartName="/xl/ctrlProps/ctrlProp122.xml" ContentType="application/vnd.ms-excel.controlproperties+xml"/>
  <Override PartName="/xl/drawings/drawing14.xml" ContentType="application/vnd.openxmlformats-officedocument.drawing+xml"/>
  <Override PartName="/xl/ctrlProps/ctrlProp123.xml" ContentType="application/vnd.ms-excel.controlproperties+xml"/>
  <Override PartName="/xl/drawings/drawing15.xml" ContentType="application/vnd.openxmlformats-officedocument.drawing+xml"/>
  <Override PartName="/xl/ctrlProps/ctrlProp124.xml" ContentType="application/vnd.ms-excel.controlproperties+xml"/>
  <Override PartName="/xl/drawings/drawing16.xml" ContentType="application/vnd.openxmlformats-officedocument.drawing+xml"/>
  <Override PartName="/xl/ctrlProps/ctrlProp125.xml" ContentType="application/vnd.ms-excel.controlproperties+xml"/>
  <Override PartName="/xl/drawings/drawing17.xml" ContentType="application/vnd.openxmlformats-officedocument.drawing+xml"/>
  <Override PartName="/xl/ctrlProps/ctrlProp126.xml" ContentType="application/vnd.ms-excel.controlproperties+xml"/>
  <Override PartName="/xl/drawings/drawing18.xml" ContentType="application/vnd.openxmlformats-officedocument.drawing+xml"/>
  <Override PartName="/xl/ctrlProps/ctrlProp127.xml" ContentType="application/vnd.ms-excel.controlproperties+xml"/>
  <Override PartName="/xl/drawings/drawing19.xml" ContentType="application/vnd.openxmlformats-officedocument.drawing+xml"/>
  <Override PartName="/xl/ctrlProps/ctrlProp128.xml" ContentType="application/vnd.ms-excel.controlproperties+xml"/>
  <Override PartName="/xl/drawings/drawing20.xml" ContentType="application/vnd.openxmlformats-officedocument.drawing+xml"/>
  <Override PartName="/xl/ctrlProps/ctrlProp129.xml" ContentType="application/vnd.ms-excel.controlproperties+xml"/>
  <Override PartName="/xl/drawings/drawing21.xml" ContentType="application/vnd.openxmlformats-officedocument.drawing+xml"/>
  <Override PartName="/xl/ctrlProps/ctrlProp130.xml" ContentType="application/vnd.ms-excel.controlproperties+xml"/>
  <Override PartName="/xl/drawings/drawing22.xml" ContentType="application/vnd.openxmlformats-officedocument.drawing+xml"/>
  <Override PartName="/xl/ctrlProps/ctrlProp131.xml" ContentType="application/vnd.ms-excel.controlproperties+xml"/>
  <Override PartName="/xl/drawings/drawing23.xml" ContentType="application/vnd.openxmlformats-officedocument.drawing+xml"/>
  <Override PartName="/xl/ctrlProps/ctrlProp132.xml" ContentType="application/vnd.ms-excel.controlproperties+xml"/>
  <Override PartName="/xl/drawings/drawing24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8abc25bdd83b00f/Desktop/BDS League/"/>
    </mc:Choice>
  </mc:AlternateContent>
  <xr:revisionPtr revIDLastSave="371" documentId="8_{C1151237-E47B-4BE4-8CDB-474ABF65D3EE}" xr6:coauthVersionLast="47" xr6:coauthVersionMax="47" xr10:uidLastSave="{FBBEE0C2-430F-41C4-A73A-AE767A3512D0}"/>
  <bookViews>
    <workbookView xWindow="0" yWindow="600" windowWidth="28800" windowHeight="15600" tabRatio="691" activeTab="28" xr2:uid="{77999E39-83D0-4B01-811A-342E12591728}"/>
  </bookViews>
  <sheets>
    <sheet name="A" sheetId="1" r:id="rId1"/>
    <sheet name="B" sheetId="2" r:id="rId2"/>
    <sheet name="C" sheetId="25" r:id="rId3"/>
    <sheet name="D" sheetId="47" r:id="rId4"/>
    <sheet name="E" sheetId="48" r:id="rId5"/>
    <sheet name="F" sheetId="49" r:id="rId6"/>
    <sheet name="G" sheetId="50" r:id="rId7"/>
    <sheet name="H" sheetId="51" r:id="rId8"/>
    <sheet name="I" sheetId="52" r:id="rId9"/>
    <sheet name="J" sheetId="53" r:id="rId10"/>
    <sheet name="K" sheetId="54" r:id="rId11"/>
    <sheet name="L" sheetId="55" r:id="rId12"/>
    <sheet name="M" sheetId="56" r:id="rId13"/>
    <sheet name="N" sheetId="57" r:id="rId14"/>
    <sheet name="O" sheetId="58" r:id="rId15"/>
    <sheet name="P" sheetId="59" r:id="rId16"/>
    <sheet name="Q" sheetId="60" r:id="rId17"/>
    <sheet name="R" sheetId="61" r:id="rId18"/>
    <sheet name="S" sheetId="62" r:id="rId19"/>
    <sheet name="T" sheetId="63" r:id="rId20"/>
    <sheet name="U" sheetId="64" r:id="rId21"/>
    <sheet name="V" sheetId="65" r:id="rId22"/>
    <sheet name="W" sheetId="66" r:id="rId23"/>
    <sheet name="X" sheetId="67" r:id="rId24"/>
    <sheet name="Team" sheetId="68" r:id="rId25"/>
    <sheet name="Ind" sheetId="69" r:id="rId26"/>
    <sheet name="Cash" sheetId="70" r:id="rId27"/>
    <sheet name="Env" sheetId="71" r:id="rId28"/>
    <sheet name="Menu" sheetId="72" r:id="rId29"/>
  </sheets>
  <definedNames>
    <definedName name="_Key1" hidden="1">A!#REF!</definedName>
    <definedName name="_Key2" hidden="1">A!#REF!</definedName>
    <definedName name="_Order1" hidden="1">0</definedName>
    <definedName name="_Order2" hidden="1">255</definedName>
    <definedName name="_xleta.INDIRECT" hidden="1" xlm="1">#NAME?</definedName>
    <definedName name="Cash1">Cash!$A$1:$AA$80</definedName>
    <definedName name="Cash2">Cash!$A$1:$AA$160</definedName>
    <definedName name="CurrentSchedule">B!$AB$687</definedName>
    <definedName name="Envelope10">Env!$A$1:$K$80</definedName>
    <definedName name="Envelope12">Env!$A$1:$K$96</definedName>
    <definedName name="Envelope14">Env!$A$1:$K$112</definedName>
    <definedName name="Envelope16">Env!$A$1:$K$128</definedName>
    <definedName name="Envelope18">Env!$A$1:$K$144</definedName>
    <definedName name="Envelope20">Env!$A$1:$K$160</definedName>
    <definedName name="Envelope4">Env!$A$1:$K$32</definedName>
    <definedName name="Envelope6">Env!$A$1:$K$48</definedName>
    <definedName name="Envelope8">Env!$A$1:$K$64</definedName>
    <definedName name="Handicap">B!$C$13</definedName>
    <definedName name="IndStats_Sorted">A!$BA$5:$BC$281</definedName>
    <definedName name="IndStats_Unsorted">A!$AX$5:$AZ$281</definedName>
    <definedName name="LeagueOptions">B!$H$14:$H$17</definedName>
    <definedName name="_xlnm.Print_Area" localSheetId="1">OFFSET(B!$G$445,0,0,B!$C$5*0.5*24,20)</definedName>
    <definedName name="_xlnm.Print_Area" localSheetId="26">OFFSET(Cash!$A$1,0,0,IF(B!$C$5&lt;=10,80,160),27)</definedName>
    <definedName name="_xlnm.Print_Area" localSheetId="27">OFFSET(Env!$A$1,0,0,B!$C$5*8,11)</definedName>
    <definedName name="_xlnm.Print_Area" localSheetId="25">OFFSET(Ind!$A$1,0,0,MAX(IF(LEN(TRIM(Ind!$B$1:$B$166))&gt;0,ROW(Ind!$B$1:$B$166),0)),4)</definedName>
    <definedName name="_xlnm.Print_Area" localSheetId="24">OFFSET(Team!$A$1,0,0,MAX(IF(LEN(TRIM(Team!$B$1:$B$26))&gt;0,ROW(Team!$B$1:$B$26),0)),3)</definedName>
    <definedName name="Sched_10">B!$AY$691:$BH$712</definedName>
    <definedName name="Sched_10_Matches">B!$AY$689:$BH$689</definedName>
    <definedName name="Sched_12">B!$BJ$691:$BU$712</definedName>
    <definedName name="Sched_12_Matches">B!$BJ$689:$BU$689</definedName>
    <definedName name="Sched_14">B!$BW$691:$CJ$712</definedName>
    <definedName name="Sched_14_Matches">B!$BW$689:$CJ$689</definedName>
    <definedName name="Sched_16">B!$CL$691:$DA$712</definedName>
    <definedName name="Sched_16_Matches">B!$CL$689:$DA$689</definedName>
    <definedName name="Sched_18">B!$DC$691:$DT$712</definedName>
    <definedName name="Sched_18_Matches">B!$DC$689:$DT$689</definedName>
    <definedName name="Sched_20">B!$DV$691:$EO$712</definedName>
    <definedName name="Sched_20_Matches">B!$DV$689:$EO$689</definedName>
    <definedName name="Sched_4">B!$AD$691:$AG$712</definedName>
    <definedName name="Sched_4_Matches">B!$AD$689:$AG$689</definedName>
    <definedName name="Sched_6">B!$AI$691:$AN$712</definedName>
    <definedName name="Sched_6_Matches">B!$AI$689:$AN$689</definedName>
    <definedName name="Sched_8">B!$AP$691:$AW$712</definedName>
    <definedName name="Sched_8_Matches">B!$AP$689:$AW$689</definedName>
    <definedName name="ScoreSheet10">B!$G$445:$Z$564</definedName>
    <definedName name="ScoreSheet12">B!$G$445:$Z$588</definedName>
    <definedName name="ScoreSheet14">B!$G$445:$Z$612</definedName>
    <definedName name="ScoreSheet16">B!$G$445:$Z$636</definedName>
    <definedName name="ScoreSheet18">B!$G$445:$Z$660</definedName>
    <definedName name="ScoreSheet20">B!$G$445:$Z$684</definedName>
    <definedName name="ScoreSheet4">B!$G$445:$Z$492</definedName>
    <definedName name="ScoreSheet6">B!$G$445:$Z$516</definedName>
    <definedName name="ScoreSheet8">B!$G$445:$Z$540</definedName>
    <definedName name="Team_Score">A!$BK$5:$BM$24</definedName>
    <definedName name="Team10Average">A!$Y$139</definedName>
    <definedName name="Team10Due">Cash!$AA$75:$AA$79</definedName>
    <definedName name="Team10Name">B!$B$403</definedName>
    <definedName name="Team10Players">B!$A$761:$A$765</definedName>
    <definedName name="Team11Average">A!$Y$153</definedName>
    <definedName name="Team11Due">Cash!$AA$83:$AA$87</definedName>
    <definedName name="Team11Name">B!$E$16</definedName>
    <definedName name="Team11Players">B!$A$767:$A$771</definedName>
    <definedName name="Team12Average">A!$Y$167</definedName>
    <definedName name="Team12Due">Cash!$AA$91:$AA$95</definedName>
    <definedName name="Team12Name">B!$E$59</definedName>
    <definedName name="Team12Players">B!$A$773:$A$777</definedName>
    <definedName name="Team13Average">A!$Y$181</definedName>
    <definedName name="Team13Due">Cash!$AA$99:$AA$103</definedName>
    <definedName name="Team13Name">B!$E$102</definedName>
    <definedName name="Team13Players">B!$A$779:$A$783</definedName>
    <definedName name="Team14Average">A!$Y$195</definedName>
    <definedName name="Team14Due">Cash!$AA$107:$AA$111</definedName>
    <definedName name="Team14Name">B!$E$145</definedName>
    <definedName name="Team14Players">B!$A$785:$A$789</definedName>
    <definedName name="Team15Average">A!$Y$209</definedName>
    <definedName name="Team15Due">Cash!$AA$115:$AA$119</definedName>
    <definedName name="Team15Name">B!$E$188</definedName>
    <definedName name="Team15Players">B!$A$791:$A$795</definedName>
    <definedName name="Team16Average">A!$Y$223</definedName>
    <definedName name="Team16Due">Cash!$AA$123:$AA$127</definedName>
    <definedName name="Team16Name">B!$E$231</definedName>
    <definedName name="Team16Players">B!$A$797:$A$801</definedName>
    <definedName name="Team17Average">A!$Y$237</definedName>
    <definedName name="Team17Due">Cash!$AA$131:$AA$135</definedName>
    <definedName name="Team17Name">B!$E$274</definedName>
    <definedName name="Team17Players">B!$A$803:$A$807</definedName>
    <definedName name="Team18Average">A!$Y$251</definedName>
    <definedName name="Team18Due">Cash!$AA$139:$AA$143</definedName>
    <definedName name="Team18Name">B!$E$317</definedName>
    <definedName name="Team18Players">B!$A$809:$A$813</definedName>
    <definedName name="Team19Average">A!$Y$265</definedName>
    <definedName name="Team19Due">Cash!$AA$147:$AA$151</definedName>
    <definedName name="Team19Name">B!$E$360</definedName>
    <definedName name="Team19Players">B!$A$815:$A$819</definedName>
    <definedName name="Team1Average">A!$Y$13</definedName>
    <definedName name="Team1Due">Cash!$AA$3:$AA$7</definedName>
    <definedName name="Team1Name">B!$B$16</definedName>
    <definedName name="Team1Players">B!$A$707:$A$711</definedName>
    <definedName name="Team20Average">A!$Y$279</definedName>
    <definedName name="Team20Due">Cash!$AA$155:$AA$159</definedName>
    <definedName name="Team20Name">B!$E$403</definedName>
    <definedName name="Team20Players">B!$A$821:$A$825</definedName>
    <definedName name="Team2Average">A!$Y$27</definedName>
    <definedName name="Team2Due">Cash!$AA$11:$AA$15</definedName>
    <definedName name="Team2Name">B!$B$59</definedName>
    <definedName name="Team2Players">B!$A$713:$A$717</definedName>
    <definedName name="Team3Average">A!$Y$41</definedName>
    <definedName name="Team3Due">Cash!$AA$19:$AA$23</definedName>
    <definedName name="Team3Name">B!$B$102</definedName>
    <definedName name="Team3Players">B!$A$719:$A$723</definedName>
    <definedName name="Team4Average">A!$Y$55</definedName>
    <definedName name="Team4Due">Cash!$AA$27:$AA$32</definedName>
    <definedName name="Team4Name">B!$B$145</definedName>
    <definedName name="Team4Players">B!$A$725:$A$729</definedName>
    <definedName name="Team5Average">A!$Y$69</definedName>
    <definedName name="Team5Due">Cash!$AA$35:$AA$39</definedName>
    <definedName name="Team5Name">B!$B$188</definedName>
    <definedName name="Team5Players">B!$A$731:$A$735</definedName>
    <definedName name="Team6Average">A!$Y$83</definedName>
    <definedName name="Team6Due">Cash!$AA$43:$AA$47</definedName>
    <definedName name="Team6Name">B!$B$231</definedName>
    <definedName name="Team6Players">B!$A$737:$A$741</definedName>
    <definedName name="Team7Average">A!$Y$97</definedName>
    <definedName name="Team7Due">Cash!$AA$51:$AA$55</definedName>
    <definedName name="Team7Name">B!$B$274</definedName>
    <definedName name="Team7Players">B!$A$743:$A$747</definedName>
    <definedName name="Team8Average">A!$Y$111</definedName>
    <definedName name="Team8Due">Cash!$AA$59:$AA$63</definedName>
    <definedName name="Team8Name">B!$B$317</definedName>
    <definedName name="Team8Players">B!$A$749:$A$753</definedName>
    <definedName name="Team9Average">A!$Y$125</definedName>
    <definedName name="Team9Due">Cash!$AA$67:$AA$71</definedName>
    <definedName name="Team9Name">B!$B$360</definedName>
    <definedName name="Team9Players">B!$A$755:$A$759</definedName>
    <definedName name="TeamStats_Sorted">A!$BF$5:$BG$281</definedName>
    <definedName name="TeamStats_Unsorted">A!$BD$5:$BE$281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C11" i="2"/>
  <c r="C12" i="2"/>
  <c r="A2" i="69" s="1"/>
  <c r="B5" i="1"/>
  <c r="AA5" i="1"/>
  <c r="C5" i="1"/>
  <c r="AB5" i="1" s="1"/>
  <c r="D5" i="1"/>
  <c r="AC5" i="1"/>
  <c r="E5" i="1"/>
  <c r="AD5" i="1"/>
  <c r="F5" i="1"/>
  <c r="AE5" i="1"/>
  <c r="G5" i="1"/>
  <c r="AF5" i="1"/>
  <c r="H5" i="1"/>
  <c r="AG5" i="1"/>
  <c r="I5" i="1"/>
  <c r="AH5" i="1"/>
  <c r="J5" i="1"/>
  <c r="AI5" i="1"/>
  <c r="K5" i="1"/>
  <c r="AJ5" i="1" s="1"/>
  <c r="L5" i="1"/>
  <c r="AK5" i="1"/>
  <c r="M5" i="1"/>
  <c r="AL5" i="1"/>
  <c r="N5" i="1"/>
  <c r="AM5" i="1"/>
  <c r="O5" i="1"/>
  <c r="AN5" i="1"/>
  <c r="P5" i="1"/>
  <c r="AO5" i="1"/>
  <c r="Q5" i="1"/>
  <c r="AP5" i="1" s="1"/>
  <c r="R5" i="1"/>
  <c r="AQ5" i="1"/>
  <c r="S5" i="1"/>
  <c r="AR5" i="1"/>
  <c r="T5" i="1"/>
  <c r="AS5" i="1"/>
  <c r="U5" i="1"/>
  <c r="AT5" i="1"/>
  <c r="V5" i="1"/>
  <c r="AU5" i="1"/>
  <c r="W5" i="1"/>
  <c r="AV5" i="1"/>
  <c r="B6" i="1"/>
  <c r="AA6" i="1" s="1"/>
  <c r="C6" i="1"/>
  <c r="AB6" i="1"/>
  <c r="D6" i="1"/>
  <c r="AC6" i="1" s="1"/>
  <c r="E6" i="1"/>
  <c r="AD6" i="1"/>
  <c r="F6" i="1"/>
  <c r="AE6" i="1" s="1"/>
  <c r="G6" i="1"/>
  <c r="AF6" i="1" s="1"/>
  <c r="H6" i="1"/>
  <c r="AG6" i="1"/>
  <c r="I6" i="1"/>
  <c r="AH6" i="1"/>
  <c r="J6" i="1"/>
  <c r="AI6" i="1"/>
  <c r="K6" i="1"/>
  <c r="AJ6" i="1" s="1"/>
  <c r="L6" i="1"/>
  <c r="AK6" i="1" s="1"/>
  <c r="M6" i="1"/>
  <c r="AL6" i="1" s="1"/>
  <c r="N6" i="1"/>
  <c r="AM6" i="1" s="1"/>
  <c r="O6" i="1"/>
  <c r="AN6" i="1" s="1"/>
  <c r="P6" i="1"/>
  <c r="AO6" i="1" s="1"/>
  <c r="Q6" i="1"/>
  <c r="AP6" i="1"/>
  <c r="R6" i="1"/>
  <c r="AQ6" i="1"/>
  <c r="S6" i="1"/>
  <c r="AR6" i="1"/>
  <c r="T6" i="1"/>
  <c r="AS6" i="1" s="1"/>
  <c r="U6" i="1"/>
  <c r="AT6" i="1" s="1"/>
  <c r="V6" i="1"/>
  <c r="AU6" i="1"/>
  <c r="W6" i="1"/>
  <c r="AV6" i="1"/>
  <c r="B7" i="1"/>
  <c r="AA7" i="1"/>
  <c r="C7" i="1"/>
  <c r="AB7" i="1" s="1"/>
  <c r="D7" i="1"/>
  <c r="AC7" i="1"/>
  <c r="E7" i="1"/>
  <c r="AD7" i="1"/>
  <c r="F7" i="1"/>
  <c r="AE7" i="1"/>
  <c r="G7" i="1"/>
  <c r="AF7" i="1"/>
  <c r="H7" i="1"/>
  <c r="AG7" i="1"/>
  <c r="I7" i="1"/>
  <c r="AH7" i="1" s="1"/>
  <c r="J7" i="1"/>
  <c r="AI7" i="1" s="1"/>
  <c r="K7" i="1"/>
  <c r="AJ7" i="1"/>
  <c r="L7" i="1"/>
  <c r="AK7" i="1"/>
  <c r="M7" i="1"/>
  <c r="AL7" i="1"/>
  <c r="N7" i="1"/>
  <c r="AM7" i="1" s="1"/>
  <c r="O7" i="1"/>
  <c r="AN7" i="1"/>
  <c r="P7" i="1"/>
  <c r="AO7" i="1"/>
  <c r="Q7" i="1"/>
  <c r="AP7" i="1" s="1"/>
  <c r="R7" i="1"/>
  <c r="AQ7" i="1"/>
  <c r="S7" i="1"/>
  <c r="AR7" i="1"/>
  <c r="T7" i="1"/>
  <c r="AS7" i="1"/>
  <c r="U7" i="1"/>
  <c r="AT7" i="1"/>
  <c r="V7" i="1"/>
  <c r="AU7" i="1"/>
  <c r="W7" i="1"/>
  <c r="AV7" i="1" s="1"/>
  <c r="B8" i="1"/>
  <c r="AA8" i="1"/>
  <c r="C8" i="1"/>
  <c r="D8" i="1"/>
  <c r="AC8" i="1" s="1"/>
  <c r="E8" i="1"/>
  <c r="AD8" i="1"/>
  <c r="F8" i="1"/>
  <c r="AE8" i="1"/>
  <c r="G8" i="1"/>
  <c r="AF8" i="1"/>
  <c r="H8" i="1"/>
  <c r="AG8" i="1" s="1"/>
  <c r="I8" i="1"/>
  <c r="AH8" i="1"/>
  <c r="J8" i="1"/>
  <c r="AI8" i="1" s="1"/>
  <c r="K8" i="1"/>
  <c r="AJ8" i="1" s="1"/>
  <c r="L8" i="1"/>
  <c r="AK8" i="1" s="1"/>
  <c r="M8" i="1"/>
  <c r="AL8" i="1" s="1"/>
  <c r="N8" i="1"/>
  <c r="AM8" i="1"/>
  <c r="O8" i="1"/>
  <c r="AN8" i="1"/>
  <c r="P8" i="1"/>
  <c r="AO8" i="1"/>
  <c r="Q8" i="1"/>
  <c r="AP8" i="1" s="1"/>
  <c r="R8" i="1"/>
  <c r="AQ8" i="1" s="1"/>
  <c r="S8" i="1"/>
  <c r="AR8" i="1"/>
  <c r="T8" i="1"/>
  <c r="AS8" i="1"/>
  <c r="U8" i="1"/>
  <c r="AT8" i="1"/>
  <c r="V8" i="1"/>
  <c r="AU8" i="1" s="1"/>
  <c r="W8" i="1"/>
  <c r="AV8" i="1"/>
  <c r="B9" i="1"/>
  <c r="AA9" i="1"/>
  <c r="C9" i="1"/>
  <c r="AB9" i="1"/>
  <c r="D9" i="1"/>
  <c r="AC9" i="1"/>
  <c r="E9" i="1"/>
  <c r="AD9" i="1"/>
  <c r="F9" i="1"/>
  <c r="AE9" i="1" s="1"/>
  <c r="G9" i="1"/>
  <c r="AF9" i="1" s="1"/>
  <c r="H9" i="1"/>
  <c r="AG9" i="1"/>
  <c r="I9" i="1"/>
  <c r="AH9" i="1"/>
  <c r="J9" i="1"/>
  <c r="AI9" i="1"/>
  <c r="K9" i="1"/>
  <c r="AJ9" i="1" s="1"/>
  <c r="L9" i="1"/>
  <c r="AK9" i="1"/>
  <c r="M9" i="1"/>
  <c r="AL9" i="1"/>
  <c r="N9" i="1"/>
  <c r="AM9" i="1"/>
  <c r="O9" i="1"/>
  <c r="AN9" i="1"/>
  <c r="P9" i="1"/>
  <c r="AO9" i="1"/>
  <c r="Q9" i="1"/>
  <c r="AP9" i="1"/>
  <c r="R9" i="1"/>
  <c r="AQ9" i="1"/>
  <c r="S9" i="1"/>
  <c r="AR9" i="1"/>
  <c r="T9" i="1"/>
  <c r="AS9" i="1" s="1"/>
  <c r="U9" i="1"/>
  <c r="AT9" i="1" s="1"/>
  <c r="V9" i="1"/>
  <c r="AU9" i="1"/>
  <c r="W9" i="1"/>
  <c r="AV9" i="1"/>
  <c r="B10" i="1"/>
  <c r="AA10" i="1"/>
  <c r="C10" i="1"/>
  <c r="AB10" i="1"/>
  <c r="D10" i="1"/>
  <c r="AC10" i="1"/>
  <c r="E10" i="1"/>
  <c r="AD10" i="1" s="1"/>
  <c r="F10" i="1"/>
  <c r="AE10" i="1"/>
  <c r="G10" i="1"/>
  <c r="AF10" i="1" s="1"/>
  <c r="H10" i="1"/>
  <c r="AG10" i="1" s="1"/>
  <c r="I10" i="1"/>
  <c r="J10" i="1"/>
  <c r="K10" i="1"/>
  <c r="AJ10" i="1"/>
  <c r="L10" i="1"/>
  <c r="AK10" i="1"/>
  <c r="M10" i="1"/>
  <c r="AL10" i="1"/>
  <c r="N10" i="1"/>
  <c r="AM10" i="1" s="1"/>
  <c r="O10" i="1"/>
  <c r="AN10" i="1"/>
  <c r="P10" i="1"/>
  <c r="AO10" i="1"/>
  <c r="Q10" i="1"/>
  <c r="AP10" i="1"/>
  <c r="R10" i="1"/>
  <c r="AQ10" i="1"/>
  <c r="S10" i="1"/>
  <c r="AR10" i="1" s="1"/>
  <c r="T10" i="1"/>
  <c r="AS10" i="1"/>
  <c r="U10" i="1"/>
  <c r="AT10" i="1" s="1"/>
  <c r="V10" i="1"/>
  <c r="AU10" i="1" s="1"/>
  <c r="W10" i="1"/>
  <c r="AV10" i="1" s="1"/>
  <c r="B11" i="1"/>
  <c r="AA11" i="1"/>
  <c r="C11" i="1"/>
  <c r="AB11" i="1" s="1"/>
  <c r="D11" i="1"/>
  <c r="AC11" i="1" s="1"/>
  <c r="E11" i="1"/>
  <c r="AD11" i="1"/>
  <c r="F11" i="1"/>
  <c r="AE11" i="1"/>
  <c r="G11" i="1"/>
  <c r="AF11" i="1"/>
  <c r="H11" i="1"/>
  <c r="AG11" i="1" s="1"/>
  <c r="I11" i="1"/>
  <c r="AH11" i="1"/>
  <c r="J11" i="1"/>
  <c r="AI11" i="1"/>
  <c r="K11" i="1"/>
  <c r="AJ11" i="1"/>
  <c r="L11" i="1"/>
  <c r="AK11" i="1"/>
  <c r="M11" i="1"/>
  <c r="AL11" i="1"/>
  <c r="N11" i="1"/>
  <c r="AM11" i="1"/>
  <c r="O11" i="1"/>
  <c r="AN11" i="1"/>
  <c r="P11" i="1"/>
  <c r="AO11" i="1"/>
  <c r="Q11" i="1"/>
  <c r="AP11" i="1" s="1"/>
  <c r="R11" i="1"/>
  <c r="AQ11" i="1" s="1"/>
  <c r="S11" i="1"/>
  <c r="AR11" i="1"/>
  <c r="T11" i="1"/>
  <c r="AS11" i="1"/>
  <c r="U11" i="1"/>
  <c r="AT11" i="1"/>
  <c r="V11" i="1"/>
  <c r="AU11" i="1" s="1"/>
  <c r="W11" i="1"/>
  <c r="AV11" i="1"/>
  <c r="B12" i="1"/>
  <c r="AA12" i="1" s="1"/>
  <c r="C12" i="1"/>
  <c r="AB12" i="1"/>
  <c r="D12" i="1"/>
  <c r="AC12" i="1" s="1"/>
  <c r="E12" i="1"/>
  <c r="AD12" i="1" s="1"/>
  <c r="F12" i="1"/>
  <c r="AE12" i="1" s="1"/>
  <c r="G12" i="1"/>
  <c r="AF12" i="1" s="1"/>
  <c r="H12" i="1"/>
  <c r="AG12" i="1"/>
  <c r="I12" i="1"/>
  <c r="AH12" i="1"/>
  <c r="J12" i="1"/>
  <c r="AI12" i="1"/>
  <c r="K12" i="1"/>
  <c r="AJ12" i="1" s="1"/>
  <c r="L12" i="1"/>
  <c r="AK12" i="1"/>
  <c r="M12" i="1"/>
  <c r="AL12" i="1"/>
  <c r="N12" i="1"/>
  <c r="AM12" i="1"/>
  <c r="O12" i="1"/>
  <c r="AN12" i="1"/>
  <c r="P12" i="1"/>
  <c r="AO12" i="1" s="1"/>
  <c r="Q12" i="1"/>
  <c r="AP12" i="1"/>
  <c r="R12" i="1"/>
  <c r="AQ12" i="1" s="1"/>
  <c r="S12" i="1"/>
  <c r="AR12" i="1" s="1"/>
  <c r="AR13" i="1" s="1"/>
  <c r="T12" i="1"/>
  <c r="AS12" i="1" s="1"/>
  <c r="U12" i="1"/>
  <c r="AT12" i="1" s="1"/>
  <c r="V12" i="1"/>
  <c r="AU12" i="1"/>
  <c r="W12" i="1"/>
  <c r="AV12" i="1"/>
  <c r="C8" i="2"/>
  <c r="Z119" i="70" s="1"/>
  <c r="A4" i="1"/>
  <c r="BM5" i="1" s="1"/>
  <c r="A18" i="1"/>
  <c r="BM6" i="1" s="1"/>
  <c r="A32" i="1"/>
  <c r="BM7" i="1" s="1"/>
  <c r="A46" i="1"/>
  <c r="BM8" i="1" s="1"/>
  <c r="A60" i="1"/>
  <c r="BM9" i="1" s="1"/>
  <c r="A74" i="1"/>
  <c r="BM10" i="1" s="1"/>
  <c r="A88" i="1"/>
  <c r="BM11" i="1" s="1"/>
  <c r="A102" i="1"/>
  <c r="BM12" i="1" s="1"/>
  <c r="A116" i="1"/>
  <c r="Z116" i="1" s="1"/>
  <c r="A130" i="1"/>
  <c r="BM14" i="1" s="1"/>
  <c r="A144" i="1"/>
  <c r="BE155" i="1" s="1"/>
  <c r="A158" i="1"/>
  <c r="BE169" i="1" s="1"/>
  <c r="A172" i="1"/>
  <c r="BM17" i="1" s="1"/>
  <c r="A186" i="1"/>
  <c r="Z186" i="1" s="1"/>
  <c r="A200" i="1"/>
  <c r="Z200" i="1" s="1"/>
  <c r="A214" i="1"/>
  <c r="BM20" i="1" s="1"/>
  <c r="A228" i="1"/>
  <c r="Z228" i="1" s="1"/>
  <c r="A242" i="1"/>
  <c r="BM22" i="1" s="1"/>
  <c r="A256" i="1"/>
  <c r="BM23" i="1" s="1"/>
  <c r="A270" i="1"/>
  <c r="BM24" i="1" s="1"/>
  <c r="B13" i="1"/>
  <c r="B14" i="1"/>
  <c r="C14" i="1"/>
  <c r="D14" i="1"/>
  <c r="E13" i="1"/>
  <c r="E14" i="1"/>
  <c r="F14" i="1"/>
  <c r="G13" i="1"/>
  <c r="G14" i="1"/>
  <c r="H13" i="1"/>
  <c r="H14" i="1"/>
  <c r="I14" i="1"/>
  <c r="J14" i="1"/>
  <c r="K14" i="1"/>
  <c r="L14" i="1"/>
  <c r="M14" i="1"/>
  <c r="N13" i="1"/>
  <c r="N14" i="1"/>
  <c r="O13" i="1"/>
  <c r="O14" i="1"/>
  <c r="P14" i="1"/>
  <c r="Q13" i="1"/>
  <c r="Q14" i="1"/>
  <c r="R14" i="1"/>
  <c r="S14" i="1"/>
  <c r="T13" i="1"/>
  <c r="T14" i="1"/>
  <c r="T15" i="1"/>
  <c r="U14" i="1"/>
  <c r="V14" i="1"/>
  <c r="W14" i="1"/>
  <c r="B19" i="1"/>
  <c r="B20" i="1"/>
  <c r="B21" i="1"/>
  <c r="B22" i="1"/>
  <c r="B23" i="1"/>
  <c r="B24" i="1"/>
  <c r="B25" i="1"/>
  <c r="B26" i="1"/>
  <c r="B28" i="1"/>
  <c r="C19" i="1"/>
  <c r="C20" i="1"/>
  <c r="C21" i="1"/>
  <c r="C22" i="1"/>
  <c r="C23" i="1"/>
  <c r="C24" i="1"/>
  <c r="C25" i="1"/>
  <c r="C26" i="1"/>
  <c r="C28" i="1"/>
  <c r="D19" i="1"/>
  <c r="D20" i="1"/>
  <c r="D21" i="1"/>
  <c r="D22" i="1"/>
  <c r="D23" i="1"/>
  <c r="D24" i="1"/>
  <c r="D25" i="1"/>
  <c r="D26" i="1"/>
  <c r="D28" i="1"/>
  <c r="E19" i="1"/>
  <c r="E20" i="1"/>
  <c r="E21" i="1"/>
  <c r="E22" i="1"/>
  <c r="E23" i="1"/>
  <c r="E24" i="1"/>
  <c r="E25" i="1"/>
  <c r="E26" i="1"/>
  <c r="E28" i="1"/>
  <c r="F19" i="1"/>
  <c r="F20" i="1"/>
  <c r="F21" i="1"/>
  <c r="F22" i="1"/>
  <c r="F23" i="1"/>
  <c r="F24" i="1"/>
  <c r="F25" i="1"/>
  <c r="F26" i="1"/>
  <c r="F28" i="1"/>
  <c r="G19" i="1"/>
  <c r="G20" i="1"/>
  <c r="G21" i="1"/>
  <c r="G22" i="1"/>
  <c r="G23" i="1"/>
  <c r="G24" i="1"/>
  <c r="G25" i="1"/>
  <c r="G26" i="1"/>
  <c r="G28" i="1"/>
  <c r="H19" i="1"/>
  <c r="H20" i="1"/>
  <c r="H21" i="1"/>
  <c r="H22" i="1"/>
  <c r="H23" i="1"/>
  <c r="H24" i="1"/>
  <c r="H25" i="1"/>
  <c r="H26" i="1"/>
  <c r="H28" i="1"/>
  <c r="I19" i="1"/>
  <c r="I20" i="1"/>
  <c r="I21" i="1"/>
  <c r="I22" i="1"/>
  <c r="I23" i="1"/>
  <c r="I24" i="1"/>
  <c r="I25" i="1"/>
  <c r="I26" i="1"/>
  <c r="I28" i="1"/>
  <c r="J19" i="1"/>
  <c r="J20" i="1"/>
  <c r="J21" i="1"/>
  <c r="J22" i="1"/>
  <c r="J23" i="1"/>
  <c r="J24" i="1"/>
  <c r="J25" i="1"/>
  <c r="J26" i="1"/>
  <c r="J28" i="1"/>
  <c r="K19" i="1"/>
  <c r="K20" i="1"/>
  <c r="K21" i="1"/>
  <c r="K22" i="1"/>
  <c r="K23" i="1"/>
  <c r="K24" i="1"/>
  <c r="K25" i="1"/>
  <c r="K26" i="1"/>
  <c r="K28" i="1"/>
  <c r="L19" i="1"/>
  <c r="L20" i="1"/>
  <c r="L21" i="1"/>
  <c r="L22" i="1"/>
  <c r="L23" i="1"/>
  <c r="L24" i="1"/>
  <c r="L25" i="1"/>
  <c r="L26" i="1"/>
  <c r="L28" i="1"/>
  <c r="M19" i="1"/>
  <c r="M20" i="1"/>
  <c r="M21" i="1"/>
  <c r="M22" i="1"/>
  <c r="M23" i="1"/>
  <c r="M24" i="1"/>
  <c r="M25" i="1"/>
  <c r="M26" i="1"/>
  <c r="M28" i="1"/>
  <c r="N19" i="1"/>
  <c r="N20" i="1"/>
  <c r="N21" i="1"/>
  <c r="N22" i="1"/>
  <c r="N23" i="1"/>
  <c r="N24" i="1"/>
  <c r="N25" i="1"/>
  <c r="N26" i="1"/>
  <c r="N28" i="1"/>
  <c r="O19" i="1"/>
  <c r="O20" i="1"/>
  <c r="O21" i="1"/>
  <c r="O22" i="1"/>
  <c r="O23" i="1"/>
  <c r="O24" i="1"/>
  <c r="O25" i="1"/>
  <c r="O26" i="1"/>
  <c r="O28" i="1"/>
  <c r="P19" i="1"/>
  <c r="P20" i="1"/>
  <c r="P21" i="1"/>
  <c r="P22" i="1"/>
  <c r="P23" i="1"/>
  <c r="P24" i="1"/>
  <c r="P25" i="1"/>
  <c r="P26" i="1"/>
  <c r="P28" i="1"/>
  <c r="Q19" i="1"/>
  <c r="Q20" i="1"/>
  <c r="Q21" i="1"/>
  <c r="Q22" i="1"/>
  <c r="Q23" i="1"/>
  <c r="Q24" i="1"/>
  <c r="Q25" i="1"/>
  <c r="Q26" i="1"/>
  <c r="Q28" i="1"/>
  <c r="R19" i="1"/>
  <c r="R20" i="1"/>
  <c r="R21" i="1"/>
  <c r="R22" i="1"/>
  <c r="R23" i="1"/>
  <c r="R24" i="1"/>
  <c r="R25" i="1"/>
  <c r="R26" i="1"/>
  <c r="R27" i="1"/>
  <c r="R28" i="1"/>
  <c r="S19" i="1"/>
  <c r="S20" i="1"/>
  <c r="S21" i="1"/>
  <c r="S22" i="1"/>
  <c r="S23" i="1"/>
  <c r="S24" i="1"/>
  <c r="S25" i="1"/>
  <c r="S26" i="1"/>
  <c r="S28" i="1"/>
  <c r="T19" i="1"/>
  <c r="T20" i="1"/>
  <c r="T21" i="1"/>
  <c r="T22" i="1"/>
  <c r="T23" i="1"/>
  <c r="T24" i="1"/>
  <c r="T25" i="1"/>
  <c r="T26" i="1"/>
  <c r="T28" i="1"/>
  <c r="U19" i="1"/>
  <c r="U20" i="1"/>
  <c r="U21" i="1"/>
  <c r="U22" i="1"/>
  <c r="U23" i="1"/>
  <c r="U24" i="1"/>
  <c r="U25" i="1"/>
  <c r="U26" i="1"/>
  <c r="U28" i="1"/>
  <c r="V19" i="1"/>
  <c r="V20" i="1"/>
  <c r="V21" i="1"/>
  <c r="V22" i="1"/>
  <c r="V23" i="1"/>
  <c r="V24" i="1"/>
  <c r="V25" i="1"/>
  <c r="V26" i="1"/>
  <c r="V28" i="1"/>
  <c r="W19" i="1"/>
  <c r="W20" i="1"/>
  <c r="W21" i="1"/>
  <c r="W22" i="1"/>
  <c r="W23" i="1"/>
  <c r="W24" i="1"/>
  <c r="W25" i="1"/>
  <c r="W26" i="1"/>
  <c r="W28" i="1"/>
  <c r="B33" i="1"/>
  <c r="B34" i="1"/>
  <c r="B35" i="1"/>
  <c r="B36" i="1"/>
  <c r="B37" i="1"/>
  <c r="B38" i="1"/>
  <c r="B39" i="1"/>
  <c r="B40" i="1"/>
  <c r="B42" i="1"/>
  <c r="C33" i="1"/>
  <c r="C34" i="1"/>
  <c r="C35" i="1"/>
  <c r="C36" i="1"/>
  <c r="C37" i="1"/>
  <c r="C38" i="1"/>
  <c r="C39" i="1"/>
  <c r="C40" i="1"/>
  <c r="C42" i="1"/>
  <c r="D33" i="1"/>
  <c r="D34" i="1"/>
  <c r="D35" i="1"/>
  <c r="D36" i="1"/>
  <c r="D37" i="1"/>
  <c r="D38" i="1"/>
  <c r="D39" i="1"/>
  <c r="D40" i="1"/>
  <c r="D42" i="1"/>
  <c r="E33" i="1"/>
  <c r="E34" i="1"/>
  <c r="E35" i="1"/>
  <c r="E36" i="1"/>
  <c r="E37" i="1"/>
  <c r="E38" i="1"/>
  <c r="E39" i="1"/>
  <c r="E40" i="1"/>
  <c r="E42" i="1"/>
  <c r="F33" i="1"/>
  <c r="F34" i="1"/>
  <c r="F35" i="1"/>
  <c r="F36" i="1"/>
  <c r="F37" i="1"/>
  <c r="F38" i="1"/>
  <c r="F39" i="1"/>
  <c r="F40" i="1"/>
  <c r="F41" i="1"/>
  <c r="F42" i="1"/>
  <c r="G33" i="1"/>
  <c r="G34" i="1"/>
  <c r="G35" i="1"/>
  <c r="G36" i="1"/>
  <c r="G37" i="1"/>
  <c r="G38" i="1"/>
  <c r="G39" i="1"/>
  <c r="G40" i="1"/>
  <c r="G42" i="1"/>
  <c r="H33" i="1"/>
  <c r="H34" i="1"/>
  <c r="H35" i="1"/>
  <c r="H36" i="1"/>
  <c r="H37" i="1"/>
  <c r="H38" i="1"/>
  <c r="H39" i="1"/>
  <c r="H40" i="1"/>
  <c r="H42" i="1"/>
  <c r="I33" i="1"/>
  <c r="I34" i="1"/>
  <c r="I35" i="1"/>
  <c r="I36" i="1"/>
  <c r="I37" i="1"/>
  <c r="I38" i="1"/>
  <c r="I39" i="1"/>
  <c r="I40" i="1"/>
  <c r="I42" i="1"/>
  <c r="J33" i="1"/>
  <c r="J34" i="1"/>
  <c r="J35" i="1"/>
  <c r="J36" i="1"/>
  <c r="J37" i="1"/>
  <c r="J38" i="1"/>
  <c r="J39" i="1"/>
  <c r="J40" i="1"/>
  <c r="J42" i="1"/>
  <c r="K33" i="1"/>
  <c r="K34" i="1"/>
  <c r="K35" i="1"/>
  <c r="K36" i="1"/>
  <c r="K37" i="1"/>
  <c r="K38" i="1"/>
  <c r="K39" i="1"/>
  <c r="K40" i="1"/>
  <c r="K42" i="1"/>
  <c r="L33" i="1"/>
  <c r="L34" i="1"/>
  <c r="L35" i="1"/>
  <c r="L36" i="1"/>
  <c r="L37" i="1"/>
  <c r="L38" i="1"/>
  <c r="L39" i="1"/>
  <c r="L40" i="1"/>
  <c r="L42" i="1"/>
  <c r="M33" i="1"/>
  <c r="M34" i="1"/>
  <c r="M35" i="1"/>
  <c r="M36" i="1"/>
  <c r="M37" i="1"/>
  <c r="M38" i="1"/>
  <c r="M39" i="1"/>
  <c r="M40" i="1"/>
  <c r="M42" i="1"/>
  <c r="N33" i="1"/>
  <c r="N34" i="1"/>
  <c r="N35" i="1"/>
  <c r="N36" i="1"/>
  <c r="N37" i="1"/>
  <c r="N38" i="1"/>
  <c r="N39" i="1"/>
  <c r="N40" i="1"/>
  <c r="N42" i="1"/>
  <c r="O33" i="1"/>
  <c r="O34" i="1"/>
  <c r="O35" i="1"/>
  <c r="O36" i="1"/>
  <c r="O37" i="1"/>
  <c r="O38" i="1"/>
  <c r="O39" i="1"/>
  <c r="O40" i="1"/>
  <c r="O42" i="1"/>
  <c r="P33" i="1"/>
  <c r="P34" i="1"/>
  <c r="P35" i="1"/>
  <c r="P36" i="1"/>
  <c r="P37" i="1"/>
  <c r="P38" i="1"/>
  <c r="P39" i="1"/>
  <c r="P40" i="1"/>
  <c r="P42" i="1"/>
  <c r="Q33" i="1"/>
  <c r="Q34" i="1"/>
  <c r="Q35" i="1"/>
  <c r="Q36" i="1"/>
  <c r="Q37" i="1"/>
  <c r="Q38" i="1"/>
  <c r="Q39" i="1"/>
  <c r="Q40" i="1"/>
  <c r="Q41" i="1"/>
  <c r="Q42" i="1"/>
  <c r="R33" i="1"/>
  <c r="R34" i="1"/>
  <c r="R35" i="1"/>
  <c r="R36" i="1"/>
  <c r="R37" i="1"/>
  <c r="R38" i="1"/>
  <c r="R39" i="1"/>
  <c r="R40" i="1"/>
  <c r="R42" i="1"/>
  <c r="S33" i="1"/>
  <c r="S34" i="1"/>
  <c r="S35" i="1"/>
  <c r="S36" i="1"/>
  <c r="S37" i="1"/>
  <c r="S38" i="1"/>
  <c r="S39" i="1"/>
  <c r="S40" i="1"/>
  <c r="S42" i="1"/>
  <c r="T33" i="1"/>
  <c r="T34" i="1"/>
  <c r="T35" i="1"/>
  <c r="T36" i="1"/>
  <c r="T37" i="1"/>
  <c r="T38" i="1"/>
  <c r="T39" i="1"/>
  <c r="T40" i="1"/>
  <c r="T42" i="1"/>
  <c r="U33" i="1"/>
  <c r="U34" i="1"/>
  <c r="U35" i="1"/>
  <c r="U36" i="1"/>
  <c r="U37" i="1"/>
  <c r="U38" i="1"/>
  <c r="U39" i="1"/>
  <c r="U40" i="1"/>
  <c r="U42" i="1"/>
  <c r="V33" i="1"/>
  <c r="V34" i="1"/>
  <c r="V35" i="1"/>
  <c r="V36" i="1"/>
  <c r="V37" i="1"/>
  <c r="V38" i="1"/>
  <c r="V39" i="1"/>
  <c r="V40" i="1"/>
  <c r="V42" i="1"/>
  <c r="W33" i="1"/>
  <c r="W34" i="1"/>
  <c r="W35" i="1"/>
  <c r="W36" i="1"/>
  <c r="W37" i="1"/>
  <c r="W38" i="1"/>
  <c r="W39" i="1"/>
  <c r="W40" i="1"/>
  <c r="W42" i="1"/>
  <c r="B47" i="1"/>
  <c r="B48" i="1"/>
  <c r="B49" i="1"/>
  <c r="B50" i="1"/>
  <c r="B51" i="1"/>
  <c r="B52" i="1"/>
  <c r="B53" i="1"/>
  <c r="B54" i="1"/>
  <c r="B56" i="1"/>
  <c r="C47" i="1"/>
  <c r="C48" i="1"/>
  <c r="C49" i="1"/>
  <c r="C50" i="1"/>
  <c r="C51" i="1"/>
  <c r="C52" i="1"/>
  <c r="C53" i="1"/>
  <c r="C54" i="1"/>
  <c r="C56" i="1"/>
  <c r="D47" i="1"/>
  <c r="D48" i="1"/>
  <c r="D49" i="1"/>
  <c r="D50" i="1"/>
  <c r="D51" i="1"/>
  <c r="D52" i="1"/>
  <c r="D53" i="1"/>
  <c r="D54" i="1"/>
  <c r="D56" i="1"/>
  <c r="E47" i="1"/>
  <c r="E48" i="1"/>
  <c r="E49" i="1"/>
  <c r="E50" i="1"/>
  <c r="E51" i="1"/>
  <c r="E52" i="1"/>
  <c r="E53" i="1"/>
  <c r="E54" i="1"/>
  <c r="E55" i="1"/>
  <c r="E56" i="1"/>
  <c r="F47" i="1"/>
  <c r="F48" i="1"/>
  <c r="F49" i="1"/>
  <c r="F50" i="1"/>
  <c r="F51" i="1"/>
  <c r="F52" i="1"/>
  <c r="F53" i="1"/>
  <c r="F54" i="1"/>
  <c r="F56" i="1"/>
  <c r="G47" i="1"/>
  <c r="G48" i="1"/>
  <c r="G49" i="1"/>
  <c r="G50" i="1"/>
  <c r="G51" i="1"/>
  <c r="G52" i="1"/>
  <c r="G53" i="1"/>
  <c r="G54" i="1"/>
  <c r="G56" i="1"/>
  <c r="H47" i="1"/>
  <c r="H48" i="1"/>
  <c r="H49" i="1"/>
  <c r="H50" i="1"/>
  <c r="H51" i="1"/>
  <c r="H52" i="1"/>
  <c r="H53" i="1"/>
  <c r="H54" i="1"/>
  <c r="H56" i="1"/>
  <c r="I47" i="1"/>
  <c r="I48" i="1"/>
  <c r="I49" i="1"/>
  <c r="I50" i="1"/>
  <c r="I51" i="1"/>
  <c r="I52" i="1"/>
  <c r="I53" i="1"/>
  <c r="I54" i="1"/>
  <c r="I56" i="1"/>
  <c r="J47" i="1"/>
  <c r="J48" i="1"/>
  <c r="J49" i="1"/>
  <c r="J50" i="1"/>
  <c r="J51" i="1"/>
  <c r="J52" i="1"/>
  <c r="J53" i="1"/>
  <c r="J54" i="1"/>
  <c r="J56" i="1"/>
  <c r="K47" i="1"/>
  <c r="K48" i="1"/>
  <c r="K49" i="1"/>
  <c r="K50" i="1"/>
  <c r="K51" i="1"/>
  <c r="K52" i="1"/>
  <c r="K53" i="1"/>
  <c r="K54" i="1"/>
  <c r="K56" i="1"/>
  <c r="L47" i="1"/>
  <c r="L48" i="1"/>
  <c r="L49" i="1"/>
  <c r="L50" i="1"/>
  <c r="L51" i="1"/>
  <c r="L52" i="1"/>
  <c r="L53" i="1"/>
  <c r="L54" i="1"/>
  <c r="L56" i="1"/>
  <c r="M47" i="1"/>
  <c r="M48" i="1"/>
  <c r="M49" i="1"/>
  <c r="M50" i="1"/>
  <c r="M51" i="1"/>
  <c r="M52" i="1"/>
  <c r="M53" i="1"/>
  <c r="M54" i="1"/>
  <c r="M56" i="1"/>
  <c r="N47" i="1"/>
  <c r="N48" i="1"/>
  <c r="N49" i="1"/>
  <c r="N50" i="1"/>
  <c r="N51" i="1"/>
  <c r="N52" i="1"/>
  <c r="N53" i="1"/>
  <c r="N54" i="1"/>
  <c r="N56" i="1"/>
  <c r="O47" i="1"/>
  <c r="O48" i="1"/>
  <c r="O49" i="1"/>
  <c r="O50" i="1"/>
  <c r="O51" i="1"/>
  <c r="O52" i="1"/>
  <c r="O53" i="1"/>
  <c r="O54" i="1"/>
  <c r="O56" i="1"/>
  <c r="P47" i="1"/>
  <c r="P48" i="1"/>
  <c r="P49" i="1"/>
  <c r="P50" i="1"/>
  <c r="P51" i="1"/>
  <c r="P52" i="1"/>
  <c r="P53" i="1"/>
  <c r="P54" i="1"/>
  <c r="P56" i="1"/>
  <c r="Q47" i="1"/>
  <c r="Q48" i="1"/>
  <c r="Q49" i="1"/>
  <c r="Q50" i="1"/>
  <c r="Q51" i="1"/>
  <c r="Q52" i="1"/>
  <c r="Q53" i="1"/>
  <c r="Q54" i="1"/>
  <c r="Q56" i="1"/>
  <c r="R47" i="1"/>
  <c r="R48" i="1"/>
  <c r="R49" i="1"/>
  <c r="R50" i="1"/>
  <c r="R51" i="1"/>
  <c r="R52" i="1"/>
  <c r="R53" i="1"/>
  <c r="R54" i="1"/>
  <c r="R56" i="1"/>
  <c r="S47" i="1"/>
  <c r="S48" i="1"/>
  <c r="S49" i="1"/>
  <c r="S50" i="1"/>
  <c r="S51" i="1"/>
  <c r="S52" i="1"/>
  <c r="S53" i="1"/>
  <c r="S54" i="1"/>
  <c r="S56" i="1"/>
  <c r="T47" i="1"/>
  <c r="T48" i="1"/>
  <c r="T49" i="1"/>
  <c r="T50" i="1"/>
  <c r="T51" i="1"/>
  <c r="T52" i="1"/>
  <c r="T53" i="1"/>
  <c r="T54" i="1"/>
  <c r="T56" i="1"/>
  <c r="U47" i="1"/>
  <c r="U48" i="1"/>
  <c r="U49" i="1"/>
  <c r="U50" i="1"/>
  <c r="U51" i="1"/>
  <c r="U52" i="1"/>
  <c r="U53" i="1"/>
  <c r="U54" i="1"/>
  <c r="U56" i="1"/>
  <c r="V47" i="1"/>
  <c r="V48" i="1"/>
  <c r="V49" i="1"/>
  <c r="V50" i="1"/>
  <c r="V51" i="1"/>
  <c r="V52" i="1"/>
  <c r="V53" i="1"/>
  <c r="V54" i="1"/>
  <c r="V55" i="1"/>
  <c r="V56" i="1"/>
  <c r="W47" i="1"/>
  <c r="W48" i="1"/>
  <c r="W49" i="1"/>
  <c r="W50" i="1"/>
  <c r="W51" i="1"/>
  <c r="W52" i="1"/>
  <c r="W53" i="1"/>
  <c r="W54" i="1"/>
  <c r="W56" i="1"/>
  <c r="B61" i="1"/>
  <c r="B62" i="1"/>
  <c r="B63" i="1"/>
  <c r="B64" i="1"/>
  <c r="B65" i="1"/>
  <c r="B66" i="1"/>
  <c r="B67" i="1"/>
  <c r="B68" i="1"/>
  <c r="B70" i="1"/>
  <c r="C61" i="1"/>
  <c r="C62" i="1"/>
  <c r="C63" i="1"/>
  <c r="C64" i="1"/>
  <c r="C65" i="1"/>
  <c r="C66" i="1"/>
  <c r="C67" i="1"/>
  <c r="C68" i="1"/>
  <c r="C70" i="1"/>
  <c r="D61" i="1"/>
  <c r="D62" i="1"/>
  <c r="D63" i="1"/>
  <c r="D64" i="1"/>
  <c r="D65" i="1"/>
  <c r="D66" i="1"/>
  <c r="D67" i="1"/>
  <c r="D68" i="1"/>
  <c r="D70" i="1"/>
  <c r="E61" i="1"/>
  <c r="E62" i="1"/>
  <c r="E63" i="1"/>
  <c r="E64" i="1"/>
  <c r="E65" i="1"/>
  <c r="E66" i="1"/>
  <c r="E67" i="1"/>
  <c r="E68" i="1"/>
  <c r="E70" i="1"/>
  <c r="F61" i="1"/>
  <c r="F62" i="1"/>
  <c r="F63" i="1"/>
  <c r="F64" i="1"/>
  <c r="F65" i="1"/>
  <c r="F66" i="1"/>
  <c r="F67" i="1"/>
  <c r="F68" i="1"/>
  <c r="F70" i="1"/>
  <c r="G61" i="1"/>
  <c r="G62" i="1"/>
  <c r="G63" i="1"/>
  <c r="G64" i="1"/>
  <c r="G65" i="1"/>
  <c r="G66" i="1"/>
  <c r="G67" i="1"/>
  <c r="G68" i="1"/>
  <c r="G70" i="1"/>
  <c r="H61" i="1"/>
  <c r="H62" i="1"/>
  <c r="H63" i="1"/>
  <c r="H64" i="1"/>
  <c r="H65" i="1"/>
  <c r="H66" i="1"/>
  <c r="H67" i="1"/>
  <c r="H68" i="1"/>
  <c r="H70" i="1"/>
  <c r="I61" i="1"/>
  <c r="I62" i="1"/>
  <c r="I63" i="1"/>
  <c r="I64" i="1"/>
  <c r="I65" i="1"/>
  <c r="I66" i="1"/>
  <c r="I67" i="1"/>
  <c r="I68" i="1"/>
  <c r="I70" i="1"/>
  <c r="J61" i="1"/>
  <c r="J62" i="1"/>
  <c r="J63" i="1"/>
  <c r="J64" i="1"/>
  <c r="J65" i="1"/>
  <c r="J66" i="1"/>
  <c r="J67" i="1"/>
  <c r="J68" i="1"/>
  <c r="J69" i="1"/>
  <c r="J70" i="1"/>
  <c r="K61" i="1"/>
  <c r="K62" i="1"/>
  <c r="K63" i="1"/>
  <c r="K64" i="1"/>
  <c r="K65" i="1"/>
  <c r="K66" i="1"/>
  <c r="K67" i="1"/>
  <c r="K68" i="1"/>
  <c r="K70" i="1"/>
  <c r="L61" i="1"/>
  <c r="L62" i="1"/>
  <c r="L63" i="1"/>
  <c r="L64" i="1"/>
  <c r="L65" i="1"/>
  <c r="L66" i="1"/>
  <c r="L67" i="1"/>
  <c r="L68" i="1"/>
  <c r="L70" i="1"/>
  <c r="M61" i="1"/>
  <c r="M62" i="1"/>
  <c r="M63" i="1"/>
  <c r="M64" i="1"/>
  <c r="M65" i="1"/>
  <c r="M66" i="1"/>
  <c r="M67" i="1"/>
  <c r="M68" i="1"/>
  <c r="M70" i="1"/>
  <c r="N61" i="1"/>
  <c r="N62" i="1"/>
  <c r="N63" i="1"/>
  <c r="N64" i="1"/>
  <c r="N65" i="1"/>
  <c r="N66" i="1"/>
  <c r="N67" i="1"/>
  <c r="N68" i="1"/>
  <c r="N70" i="1"/>
  <c r="O61" i="1"/>
  <c r="O62" i="1"/>
  <c r="O63" i="1"/>
  <c r="O64" i="1"/>
  <c r="O65" i="1"/>
  <c r="O66" i="1"/>
  <c r="O67" i="1"/>
  <c r="O68" i="1"/>
  <c r="O70" i="1"/>
  <c r="P61" i="1"/>
  <c r="P62" i="1"/>
  <c r="P63" i="1"/>
  <c r="P64" i="1"/>
  <c r="P65" i="1"/>
  <c r="P66" i="1"/>
  <c r="P67" i="1"/>
  <c r="P68" i="1"/>
  <c r="P70" i="1"/>
  <c r="Q61" i="1"/>
  <c r="Q62" i="1"/>
  <c r="Q63" i="1"/>
  <c r="Q64" i="1"/>
  <c r="Q65" i="1"/>
  <c r="Q66" i="1"/>
  <c r="Q67" i="1"/>
  <c r="Q68" i="1"/>
  <c r="Q70" i="1"/>
  <c r="R61" i="1"/>
  <c r="R62" i="1"/>
  <c r="R63" i="1"/>
  <c r="R64" i="1"/>
  <c r="R65" i="1"/>
  <c r="R66" i="1"/>
  <c r="R67" i="1"/>
  <c r="R68" i="1"/>
  <c r="R70" i="1"/>
  <c r="S61" i="1"/>
  <c r="S62" i="1"/>
  <c r="S63" i="1"/>
  <c r="S64" i="1"/>
  <c r="S65" i="1"/>
  <c r="S66" i="1"/>
  <c r="S67" i="1"/>
  <c r="S68" i="1"/>
  <c r="S70" i="1"/>
  <c r="T61" i="1"/>
  <c r="T62" i="1"/>
  <c r="T63" i="1"/>
  <c r="T64" i="1"/>
  <c r="T65" i="1"/>
  <c r="T66" i="1"/>
  <c r="T67" i="1"/>
  <c r="T68" i="1"/>
  <c r="T70" i="1"/>
  <c r="U61" i="1"/>
  <c r="U62" i="1"/>
  <c r="U63" i="1"/>
  <c r="U64" i="1"/>
  <c r="U65" i="1"/>
  <c r="U66" i="1"/>
  <c r="U67" i="1"/>
  <c r="U68" i="1"/>
  <c r="U69" i="1"/>
  <c r="U70" i="1"/>
  <c r="V61" i="1"/>
  <c r="V62" i="1"/>
  <c r="V63" i="1"/>
  <c r="V64" i="1"/>
  <c r="V65" i="1"/>
  <c r="V66" i="1"/>
  <c r="V67" i="1"/>
  <c r="V68" i="1"/>
  <c r="V70" i="1"/>
  <c r="W61" i="1"/>
  <c r="W62" i="1"/>
  <c r="W63" i="1"/>
  <c r="W64" i="1"/>
  <c r="W65" i="1"/>
  <c r="W66" i="1"/>
  <c r="W67" i="1"/>
  <c r="W68" i="1"/>
  <c r="W70" i="1"/>
  <c r="B75" i="1"/>
  <c r="B76" i="1"/>
  <c r="B77" i="1"/>
  <c r="B78" i="1"/>
  <c r="B79" i="1"/>
  <c r="B80" i="1"/>
  <c r="B81" i="1"/>
  <c r="B82" i="1"/>
  <c r="B84" i="1"/>
  <c r="C75" i="1"/>
  <c r="C76" i="1"/>
  <c r="C77" i="1"/>
  <c r="C78" i="1"/>
  <c r="C79" i="1"/>
  <c r="C80" i="1"/>
  <c r="C81" i="1"/>
  <c r="C82" i="1"/>
  <c r="C84" i="1"/>
  <c r="D75" i="1"/>
  <c r="D76" i="1"/>
  <c r="D77" i="1"/>
  <c r="D78" i="1"/>
  <c r="D79" i="1"/>
  <c r="D80" i="1"/>
  <c r="D81" i="1"/>
  <c r="D82" i="1"/>
  <c r="D84" i="1"/>
  <c r="E75" i="1"/>
  <c r="E76" i="1"/>
  <c r="E77" i="1"/>
  <c r="E78" i="1"/>
  <c r="E79" i="1"/>
  <c r="E80" i="1"/>
  <c r="E81" i="1"/>
  <c r="E82" i="1"/>
  <c r="E84" i="1"/>
  <c r="F75" i="1"/>
  <c r="F76" i="1"/>
  <c r="F77" i="1"/>
  <c r="F78" i="1"/>
  <c r="F79" i="1"/>
  <c r="F80" i="1"/>
  <c r="F81" i="1"/>
  <c r="F82" i="1"/>
  <c r="F84" i="1"/>
  <c r="G75" i="1"/>
  <c r="G76" i="1"/>
  <c r="G77" i="1"/>
  <c r="G78" i="1"/>
  <c r="G79" i="1"/>
  <c r="G80" i="1"/>
  <c r="G81" i="1"/>
  <c r="G82" i="1"/>
  <c r="G84" i="1"/>
  <c r="H75" i="1"/>
  <c r="H76" i="1"/>
  <c r="H77" i="1"/>
  <c r="H78" i="1"/>
  <c r="H79" i="1"/>
  <c r="H80" i="1"/>
  <c r="H81" i="1"/>
  <c r="H82" i="1"/>
  <c r="H84" i="1"/>
  <c r="I75" i="1"/>
  <c r="I76" i="1"/>
  <c r="I77" i="1"/>
  <c r="I78" i="1"/>
  <c r="I79" i="1"/>
  <c r="I80" i="1"/>
  <c r="I81" i="1"/>
  <c r="I82" i="1"/>
  <c r="I83" i="1"/>
  <c r="I84" i="1"/>
  <c r="J75" i="1"/>
  <c r="J76" i="1"/>
  <c r="J77" i="1"/>
  <c r="J78" i="1"/>
  <c r="J79" i="1"/>
  <c r="J80" i="1"/>
  <c r="J81" i="1"/>
  <c r="J82" i="1"/>
  <c r="J84" i="1"/>
  <c r="K75" i="1"/>
  <c r="K76" i="1"/>
  <c r="K77" i="1"/>
  <c r="K78" i="1"/>
  <c r="K79" i="1"/>
  <c r="K80" i="1"/>
  <c r="K81" i="1"/>
  <c r="K82" i="1"/>
  <c r="K84" i="1"/>
  <c r="L75" i="1"/>
  <c r="L76" i="1"/>
  <c r="L77" i="1"/>
  <c r="L78" i="1"/>
  <c r="L79" i="1"/>
  <c r="L80" i="1"/>
  <c r="L81" i="1"/>
  <c r="L82" i="1"/>
  <c r="L84" i="1"/>
  <c r="M75" i="1"/>
  <c r="M76" i="1"/>
  <c r="M77" i="1"/>
  <c r="M78" i="1"/>
  <c r="M79" i="1"/>
  <c r="M80" i="1"/>
  <c r="M81" i="1"/>
  <c r="M82" i="1"/>
  <c r="M84" i="1"/>
  <c r="N75" i="1"/>
  <c r="N76" i="1"/>
  <c r="N77" i="1"/>
  <c r="N78" i="1"/>
  <c r="N79" i="1"/>
  <c r="N80" i="1"/>
  <c r="N81" i="1"/>
  <c r="N82" i="1"/>
  <c r="N84" i="1"/>
  <c r="O75" i="1"/>
  <c r="O76" i="1"/>
  <c r="O77" i="1"/>
  <c r="O78" i="1"/>
  <c r="O79" i="1"/>
  <c r="O80" i="1"/>
  <c r="O81" i="1"/>
  <c r="O82" i="1"/>
  <c r="O84" i="1"/>
  <c r="P75" i="1"/>
  <c r="P76" i="1"/>
  <c r="P77" i="1"/>
  <c r="P78" i="1"/>
  <c r="P79" i="1"/>
  <c r="P80" i="1"/>
  <c r="P81" i="1"/>
  <c r="P82" i="1"/>
  <c r="P84" i="1"/>
  <c r="Q75" i="1"/>
  <c r="Q76" i="1"/>
  <c r="Q77" i="1"/>
  <c r="Q78" i="1"/>
  <c r="Q79" i="1"/>
  <c r="Q80" i="1"/>
  <c r="Q81" i="1"/>
  <c r="Q82" i="1"/>
  <c r="Q84" i="1"/>
  <c r="R75" i="1"/>
  <c r="R76" i="1"/>
  <c r="R77" i="1"/>
  <c r="R78" i="1"/>
  <c r="R79" i="1"/>
  <c r="R80" i="1"/>
  <c r="R81" i="1"/>
  <c r="R82" i="1"/>
  <c r="R84" i="1"/>
  <c r="S75" i="1"/>
  <c r="S76" i="1"/>
  <c r="S77" i="1"/>
  <c r="S78" i="1"/>
  <c r="S79" i="1"/>
  <c r="S80" i="1"/>
  <c r="S81" i="1"/>
  <c r="S82" i="1"/>
  <c r="S84" i="1"/>
  <c r="T75" i="1"/>
  <c r="T76" i="1"/>
  <c r="T77" i="1"/>
  <c r="T78" i="1"/>
  <c r="T79" i="1"/>
  <c r="T80" i="1"/>
  <c r="T81" i="1"/>
  <c r="T82" i="1"/>
  <c r="T84" i="1"/>
  <c r="U75" i="1"/>
  <c r="U76" i="1"/>
  <c r="U77" i="1"/>
  <c r="U78" i="1"/>
  <c r="U79" i="1"/>
  <c r="U80" i="1"/>
  <c r="U81" i="1"/>
  <c r="U82" i="1"/>
  <c r="U84" i="1"/>
  <c r="V75" i="1"/>
  <c r="V76" i="1"/>
  <c r="V77" i="1"/>
  <c r="V78" i="1"/>
  <c r="V79" i="1"/>
  <c r="V80" i="1"/>
  <c r="V81" i="1"/>
  <c r="V82" i="1"/>
  <c r="V84" i="1"/>
  <c r="W75" i="1"/>
  <c r="W76" i="1"/>
  <c r="W77" i="1"/>
  <c r="W78" i="1"/>
  <c r="W79" i="1"/>
  <c r="W80" i="1"/>
  <c r="W81" i="1"/>
  <c r="W82" i="1"/>
  <c r="W84" i="1"/>
  <c r="B89" i="1"/>
  <c r="B90" i="1"/>
  <c r="B91" i="1"/>
  <c r="B92" i="1"/>
  <c r="B93" i="1"/>
  <c r="B94" i="1"/>
  <c r="B95" i="1"/>
  <c r="B96" i="1"/>
  <c r="B98" i="1"/>
  <c r="C89" i="1"/>
  <c r="C90" i="1"/>
  <c r="C91" i="1"/>
  <c r="C92" i="1"/>
  <c r="C93" i="1"/>
  <c r="C94" i="1"/>
  <c r="C95" i="1"/>
  <c r="C96" i="1"/>
  <c r="C98" i="1"/>
  <c r="D89" i="1"/>
  <c r="D90" i="1"/>
  <c r="D91" i="1"/>
  <c r="D92" i="1"/>
  <c r="D93" i="1"/>
  <c r="D94" i="1"/>
  <c r="D95" i="1"/>
  <c r="D96" i="1"/>
  <c r="D98" i="1"/>
  <c r="E89" i="1"/>
  <c r="E90" i="1"/>
  <c r="E91" i="1"/>
  <c r="E92" i="1"/>
  <c r="E93" i="1"/>
  <c r="E94" i="1"/>
  <c r="E95" i="1"/>
  <c r="E96" i="1"/>
  <c r="E98" i="1"/>
  <c r="F89" i="1"/>
  <c r="F90" i="1"/>
  <c r="F91" i="1"/>
  <c r="F92" i="1"/>
  <c r="F93" i="1"/>
  <c r="F94" i="1"/>
  <c r="F95" i="1"/>
  <c r="F96" i="1"/>
  <c r="F98" i="1"/>
  <c r="G89" i="1"/>
  <c r="G90" i="1"/>
  <c r="G91" i="1"/>
  <c r="G92" i="1"/>
  <c r="G93" i="1"/>
  <c r="G94" i="1"/>
  <c r="G95" i="1"/>
  <c r="G96" i="1"/>
  <c r="G98" i="1"/>
  <c r="H89" i="1"/>
  <c r="H90" i="1"/>
  <c r="H91" i="1"/>
  <c r="H92" i="1"/>
  <c r="H93" i="1"/>
  <c r="H94" i="1"/>
  <c r="H95" i="1"/>
  <c r="H96" i="1"/>
  <c r="H98" i="1"/>
  <c r="I89" i="1"/>
  <c r="I90" i="1"/>
  <c r="I91" i="1"/>
  <c r="I92" i="1"/>
  <c r="I93" i="1"/>
  <c r="I94" i="1"/>
  <c r="I95" i="1"/>
  <c r="I96" i="1"/>
  <c r="I98" i="1"/>
  <c r="J89" i="1"/>
  <c r="J90" i="1"/>
  <c r="J91" i="1"/>
  <c r="J92" i="1"/>
  <c r="J93" i="1"/>
  <c r="J94" i="1"/>
  <c r="J95" i="1"/>
  <c r="J96" i="1"/>
  <c r="J98" i="1"/>
  <c r="K89" i="1"/>
  <c r="K90" i="1"/>
  <c r="K91" i="1"/>
  <c r="K92" i="1"/>
  <c r="K93" i="1"/>
  <c r="K94" i="1"/>
  <c r="K95" i="1"/>
  <c r="K96" i="1"/>
  <c r="K98" i="1"/>
  <c r="L89" i="1"/>
  <c r="L90" i="1"/>
  <c r="L91" i="1"/>
  <c r="L92" i="1"/>
  <c r="L93" i="1"/>
  <c r="L94" i="1"/>
  <c r="L95" i="1"/>
  <c r="L96" i="1"/>
  <c r="L98" i="1"/>
  <c r="M89" i="1"/>
  <c r="M90" i="1"/>
  <c r="M91" i="1"/>
  <c r="M92" i="1"/>
  <c r="M93" i="1"/>
  <c r="M94" i="1"/>
  <c r="M95" i="1"/>
  <c r="M96" i="1"/>
  <c r="M98" i="1"/>
  <c r="N89" i="1"/>
  <c r="N90" i="1"/>
  <c r="N91" i="1"/>
  <c r="N92" i="1"/>
  <c r="N93" i="1"/>
  <c r="N94" i="1"/>
  <c r="N95" i="1"/>
  <c r="N96" i="1"/>
  <c r="N97" i="1"/>
  <c r="N98" i="1"/>
  <c r="O89" i="1"/>
  <c r="O90" i="1"/>
  <c r="O91" i="1"/>
  <c r="O92" i="1"/>
  <c r="O93" i="1"/>
  <c r="O94" i="1"/>
  <c r="O95" i="1"/>
  <c r="O96" i="1"/>
  <c r="O98" i="1"/>
  <c r="P89" i="1"/>
  <c r="P90" i="1"/>
  <c r="P91" i="1"/>
  <c r="P92" i="1"/>
  <c r="P93" i="1"/>
  <c r="P94" i="1"/>
  <c r="P95" i="1"/>
  <c r="P96" i="1"/>
  <c r="P98" i="1"/>
  <c r="Q89" i="1"/>
  <c r="Q90" i="1"/>
  <c r="Q91" i="1"/>
  <c r="Q92" i="1"/>
  <c r="Q93" i="1"/>
  <c r="Q94" i="1"/>
  <c r="Q95" i="1"/>
  <c r="Q96" i="1"/>
  <c r="Q98" i="1"/>
  <c r="R89" i="1"/>
  <c r="R90" i="1"/>
  <c r="R91" i="1"/>
  <c r="R92" i="1"/>
  <c r="R93" i="1"/>
  <c r="R94" i="1"/>
  <c r="R95" i="1"/>
  <c r="R96" i="1"/>
  <c r="R98" i="1"/>
  <c r="S89" i="1"/>
  <c r="S90" i="1"/>
  <c r="S91" i="1"/>
  <c r="S92" i="1"/>
  <c r="S93" i="1"/>
  <c r="S94" i="1"/>
  <c r="S95" i="1"/>
  <c r="S96" i="1"/>
  <c r="S98" i="1"/>
  <c r="T89" i="1"/>
  <c r="T90" i="1"/>
  <c r="T91" i="1"/>
  <c r="T92" i="1"/>
  <c r="T93" i="1"/>
  <c r="T94" i="1"/>
  <c r="T95" i="1"/>
  <c r="T96" i="1"/>
  <c r="T98" i="1"/>
  <c r="U89" i="1"/>
  <c r="U90" i="1"/>
  <c r="U91" i="1"/>
  <c r="U92" i="1"/>
  <c r="U93" i="1"/>
  <c r="U94" i="1"/>
  <c r="U95" i="1"/>
  <c r="U96" i="1"/>
  <c r="U98" i="1"/>
  <c r="V89" i="1"/>
  <c r="V90" i="1"/>
  <c r="V91" i="1"/>
  <c r="V92" i="1"/>
  <c r="V93" i="1"/>
  <c r="V94" i="1"/>
  <c r="V95" i="1"/>
  <c r="V96" i="1"/>
  <c r="V98" i="1"/>
  <c r="W89" i="1"/>
  <c r="W90" i="1"/>
  <c r="W91" i="1"/>
  <c r="W92" i="1"/>
  <c r="W93" i="1"/>
  <c r="W94" i="1"/>
  <c r="W95" i="1"/>
  <c r="W96" i="1"/>
  <c r="W98" i="1"/>
  <c r="B103" i="1"/>
  <c r="B104" i="1"/>
  <c r="B105" i="1"/>
  <c r="B106" i="1"/>
  <c r="B107" i="1"/>
  <c r="B108" i="1"/>
  <c r="B109" i="1"/>
  <c r="B110" i="1"/>
  <c r="B111" i="1"/>
  <c r="B112" i="1"/>
  <c r="C103" i="1"/>
  <c r="C104" i="1"/>
  <c r="C105" i="1"/>
  <c r="C106" i="1"/>
  <c r="C107" i="1"/>
  <c r="C108" i="1"/>
  <c r="C109" i="1"/>
  <c r="C110" i="1"/>
  <c r="C112" i="1"/>
  <c r="D103" i="1"/>
  <c r="D104" i="1"/>
  <c r="D105" i="1"/>
  <c r="D106" i="1"/>
  <c r="D107" i="1"/>
  <c r="D108" i="1"/>
  <c r="D109" i="1"/>
  <c r="D110" i="1"/>
  <c r="D112" i="1"/>
  <c r="E103" i="1"/>
  <c r="E104" i="1"/>
  <c r="E105" i="1"/>
  <c r="E106" i="1"/>
  <c r="E107" i="1"/>
  <c r="E108" i="1"/>
  <c r="E109" i="1"/>
  <c r="E110" i="1"/>
  <c r="E112" i="1"/>
  <c r="F103" i="1"/>
  <c r="F104" i="1"/>
  <c r="F105" i="1"/>
  <c r="F106" i="1"/>
  <c r="F107" i="1"/>
  <c r="F108" i="1"/>
  <c r="F109" i="1"/>
  <c r="F110" i="1"/>
  <c r="F112" i="1"/>
  <c r="G103" i="1"/>
  <c r="G104" i="1"/>
  <c r="G105" i="1"/>
  <c r="G106" i="1"/>
  <c r="G107" i="1"/>
  <c r="G108" i="1"/>
  <c r="G109" i="1"/>
  <c r="G110" i="1"/>
  <c r="G112" i="1"/>
  <c r="H103" i="1"/>
  <c r="H104" i="1"/>
  <c r="H105" i="1"/>
  <c r="H106" i="1"/>
  <c r="H107" i="1"/>
  <c r="H108" i="1"/>
  <c r="H109" i="1"/>
  <c r="H110" i="1"/>
  <c r="H112" i="1"/>
  <c r="I103" i="1"/>
  <c r="I104" i="1"/>
  <c r="I105" i="1"/>
  <c r="I106" i="1"/>
  <c r="I107" i="1"/>
  <c r="I108" i="1"/>
  <c r="I109" i="1"/>
  <c r="I110" i="1"/>
  <c r="I112" i="1"/>
  <c r="J103" i="1"/>
  <c r="J104" i="1"/>
  <c r="J105" i="1"/>
  <c r="J106" i="1"/>
  <c r="J107" i="1"/>
  <c r="J108" i="1"/>
  <c r="J109" i="1"/>
  <c r="J110" i="1"/>
  <c r="J112" i="1"/>
  <c r="K103" i="1"/>
  <c r="K104" i="1"/>
  <c r="K105" i="1"/>
  <c r="K106" i="1"/>
  <c r="K107" i="1"/>
  <c r="K108" i="1"/>
  <c r="K109" i="1"/>
  <c r="K110" i="1"/>
  <c r="K112" i="1"/>
  <c r="L103" i="1"/>
  <c r="L104" i="1"/>
  <c r="L105" i="1"/>
  <c r="L106" i="1"/>
  <c r="L107" i="1"/>
  <c r="L108" i="1"/>
  <c r="L109" i="1"/>
  <c r="L110" i="1"/>
  <c r="L111" i="1"/>
  <c r="L112" i="1"/>
  <c r="M103" i="1"/>
  <c r="M104" i="1"/>
  <c r="M105" i="1"/>
  <c r="M106" i="1"/>
  <c r="M107" i="1"/>
  <c r="M108" i="1"/>
  <c r="M109" i="1"/>
  <c r="M110" i="1"/>
  <c r="M111" i="1"/>
  <c r="M112" i="1"/>
  <c r="N103" i="1"/>
  <c r="N104" i="1"/>
  <c r="N105" i="1"/>
  <c r="N106" i="1"/>
  <c r="N107" i="1"/>
  <c r="N108" i="1"/>
  <c r="N109" i="1"/>
  <c r="N110" i="1"/>
  <c r="N112" i="1"/>
  <c r="O103" i="1"/>
  <c r="O104" i="1"/>
  <c r="O105" i="1"/>
  <c r="O106" i="1"/>
  <c r="O107" i="1"/>
  <c r="O108" i="1"/>
  <c r="O109" i="1"/>
  <c r="O110" i="1"/>
  <c r="O112" i="1"/>
  <c r="P103" i="1"/>
  <c r="P104" i="1"/>
  <c r="P105" i="1"/>
  <c r="P106" i="1"/>
  <c r="P107" i="1"/>
  <c r="P108" i="1"/>
  <c r="P109" i="1"/>
  <c r="P110" i="1"/>
  <c r="P112" i="1"/>
  <c r="Q103" i="1"/>
  <c r="Q104" i="1"/>
  <c r="Q105" i="1"/>
  <c r="Q106" i="1"/>
  <c r="Q107" i="1"/>
  <c r="Q108" i="1"/>
  <c r="Q109" i="1"/>
  <c r="Q110" i="1"/>
  <c r="Q112" i="1"/>
  <c r="R103" i="1"/>
  <c r="R104" i="1"/>
  <c r="R105" i="1"/>
  <c r="R106" i="1"/>
  <c r="R107" i="1"/>
  <c r="R108" i="1"/>
  <c r="R109" i="1"/>
  <c r="R110" i="1"/>
  <c r="R112" i="1"/>
  <c r="S103" i="1"/>
  <c r="S104" i="1"/>
  <c r="S105" i="1"/>
  <c r="S106" i="1"/>
  <c r="S107" i="1"/>
  <c r="S108" i="1"/>
  <c r="S109" i="1"/>
  <c r="S110" i="1"/>
  <c r="S112" i="1"/>
  <c r="T103" i="1"/>
  <c r="T104" i="1"/>
  <c r="T105" i="1"/>
  <c r="T106" i="1"/>
  <c r="T107" i="1"/>
  <c r="T108" i="1"/>
  <c r="T109" i="1"/>
  <c r="T110" i="1"/>
  <c r="T112" i="1"/>
  <c r="U103" i="1"/>
  <c r="U104" i="1"/>
  <c r="U105" i="1"/>
  <c r="U106" i="1"/>
  <c r="U107" i="1"/>
  <c r="U108" i="1"/>
  <c r="U109" i="1"/>
  <c r="U110" i="1"/>
  <c r="U112" i="1"/>
  <c r="V103" i="1"/>
  <c r="V104" i="1"/>
  <c r="V105" i="1"/>
  <c r="V106" i="1"/>
  <c r="V107" i="1"/>
  <c r="V108" i="1"/>
  <c r="V109" i="1"/>
  <c r="V110" i="1"/>
  <c r="V112" i="1"/>
  <c r="W103" i="1"/>
  <c r="W104" i="1"/>
  <c r="W105" i="1"/>
  <c r="W106" i="1"/>
  <c r="W107" i="1"/>
  <c r="W108" i="1"/>
  <c r="W109" i="1"/>
  <c r="W110" i="1"/>
  <c r="W112" i="1"/>
  <c r="B117" i="1"/>
  <c r="B118" i="1"/>
  <c r="B119" i="1"/>
  <c r="B120" i="1"/>
  <c r="B121" i="1"/>
  <c r="B122" i="1"/>
  <c r="B123" i="1"/>
  <c r="B124" i="1"/>
  <c r="B126" i="1"/>
  <c r="C117" i="1"/>
  <c r="C118" i="1"/>
  <c r="C119" i="1"/>
  <c r="C120" i="1"/>
  <c r="C121" i="1"/>
  <c r="C122" i="1"/>
  <c r="C123" i="1"/>
  <c r="C124" i="1"/>
  <c r="C126" i="1"/>
  <c r="D117" i="1"/>
  <c r="D118" i="1"/>
  <c r="D119" i="1"/>
  <c r="D120" i="1"/>
  <c r="D121" i="1"/>
  <c r="D122" i="1"/>
  <c r="D123" i="1"/>
  <c r="D124" i="1"/>
  <c r="D126" i="1"/>
  <c r="E117" i="1"/>
  <c r="E118" i="1"/>
  <c r="E119" i="1"/>
  <c r="E120" i="1"/>
  <c r="E121" i="1"/>
  <c r="E122" i="1"/>
  <c r="E123" i="1"/>
  <c r="E124" i="1"/>
  <c r="E126" i="1"/>
  <c r="F117" i="1"/>
  <c r="F118" i="1"/>
  <c r="F119" i="1"/>
  <c r="F120" i="1"/>
  <c r="F121" i="1"/>
  <c r="F122" i="1"/>
  <c r="F123" i="1"/>
  <c r="F124" i="1"/>
  <c r="F126" i="1"/>
  <c r="G117" i="1"/>
  <c r="G118" i="1"/>
  <c r="G119" i="1"/>
  <c r="G120" i="1"/>
  <c r="G121" i="1"/>
  <c r="G122" i="1"/>
  <c r="G123" i="1"/>
  <c r="G124" i="1"/>
  <c r="G126" i="1"/>
  <c r="H117" i="1"/>
  <c r="H118" i="1"/>
  <c r="H119" i="1"/>
  <c r="H120" i="1"/>
  <c r="H121" i="1"/>
  <c r="H122" i="1"/>
  <c r="H123" i="1"/>
  <c r="H124" i="1"/>
  <c r="H126" i="1"/>
  <c r="I117" i="1"/>
  <c r="I118" i="1"/>
  <c r="I119" i="1"/>
  <c r="I120" i="1"/>
  <c r="I121" i="1"/>
  <c r="I122" i="1"/>
  <c r="I123" i="1"/>
  <c r="I124" i="1"/>
  <c r="I126" i="1"/>
  <c r="J117" i="1"/>
  <c r="J118" i="1"/>
  <c r="J119" i="1"/>
  <c r="J120" i="1"/>
  <c r="J121" i="1"/>
  <c r="J122" i="1"/>
  <c r="J123" i="1"/>
  <c r="J124" i="1"/>
  <c r="J126" i="1"/>
  <c r="K117" i="1"/>
  <c r="K118" i="1"/>
  <c r="K119" i="1"/>
  <c r="K120" i="1"/>
  <c r="K121" i="1"/>
  <c r="K122" i="1"/>
  <c r="K123" i="1"/>
  <c r="K124" i="1"/>
  <c r="K126" i="1"/>
  <c r="L117" i="1"/>
  <c r="L118" i="1"/>
  <c r="L119" i="1"/>
  <c r="L120" i="1"/>
  <c r="L121" i="1"/>
  <c r="L122" i="1"/>
  <c r="L123" i="1"/>
  <c r="L124" i="1"/>
  <c r="L126" i="1"/>
  <c r="M117" i="1"/>
  <c r="M118" i="1"/>
  <c r="M119" i="1"/>
  <c r="M120" i="1"/>
  <c r="M121" i="1"/>
  <c r="M122" i="1"/>
  <c r="M123" i="1"/>
  <c r="M124" i="1"/>
  <c r="M126" i="1"/>
  <c r="N117" i="1"/>
  <c r="N118" i="1"/>
  <c r="N119" i="1"/>
  <c r="N120" i="1"/>
  <c r="N121" i="1"/>
  <c r="N122" i="1"/>
  <c r="N123" i="1"/>
  <c r="N124" i="1"/>
  <c r="N126" i="1"/>
  <c r="O117" i="1"/>
  <c r="O118" i="1"/>
  <c r="O119" i="1"/>
  <c r="O120" i="1"/>
  <c r="O121" i="1"/>
  <c r="O122" i="1"/>
  <c r="O123" i="1"/>
  <c r="O124" i="1"/>
  <c r="O126" i="1"/>
  <c r="P117" i="1"/>
  <c r="P118" i="1"/>
  <c r="P119" i="1"/>
  <c r="P120" i="1"/>
  <c r="P121" i="1"/>
  <c r="P122" i="1"/>
  <c r="P123" i="1"/>
  <c r="P124" i="1"/>
  <c r="P126" i="1"/>
  <c r="Q117" i="1"/>
  <c r="Q118" i="1"/>
  <c r="Q119" i="1"/>
  <c r="Q120" i="1"/>
  <c r="Q121" i="1"/>
  <c r="Q122" i="1"/>
  <c r="Q123" i="1"/>
  <c r="Q124" i="1"/>
  <c r="Q126" i="1"/>
  <c r="R117" i="1"/>
  <c r="R118" i="1"/>
  <c r="R119" i="1"/>
  <c r="R120" i="1"/>
  <c r="R121" i="1"/>
  <c r="R122" i="1"/>
  <c r="R123" i="1"/>
  <c r="R124" i="1"/>
  <c r="R126" i="1"/>
  <c r="S117" i="1"/>
  <c r="S118" i="1"/>
  <c r="S119" i="1"/>
  <c r="S120" i="1"/>
  <c r="S121" i="1"/>
  <c r="S122" i="1"/>
  <c r="S123" i="1"/>
  <c r="S124" i="1"/>
  <c r="S126" i="1"/>
  <c r="T117" i="1"/>
  <c r="T118" i="1"/>
  <c r="T119" i="1"/>
  <c r="T120" i="1"/>
  <c r="T121" i="1"/>
  <c r="T122" i="1"/>
  <c r="T123" i="1"/>
  <c r="T124" i="1"/>
  <c r="T126" i="1"/>
  <c r="U117" i="1"/>
  <c r="U118" i="1"/>
  <c r="U119" i="1"/>
  <c r="U120" i="1"/>
  <c r="U121" i="1"/>
  <c r="U122" i="1"/>
  <c r="U123" i="1"/>
  <c r="U124" i="1"/>
  <c r="U126" i="1"/>
  <c r="V117" i="1"/>
  <c r="V118" i="1"/>
  <c r="V119" i="1"/>
  <c r="V120" i="1"/>
  <c r="V121" i="1"/>
  <c r="V122" i="1"/>
  <c r="V123" i="1"/>
  <c r="V124" i="1"/>
  <c r="V126" i="1"/>
  <c r="W117" i="1"/>
  <c r="W118" i="1"/>
  <c r="W119" i="1"/>
  <c r="W120" i="1"/>
  <c r="W121" i="1"/>
  <c r="W122" i="1"/>
  <c r="W123" i="1"/>
  <c r="W124" i="1"/>
  <c r="W125" i="1" s="1"/>
  <c r="W126" i="1"/>
  <c r="B131" i="1"/>
  <c r="B132" i="1"/>
  <c r="B133" i="1"/>
  <c r="B134" i="1"/>
  <c r="B135" i="1"/>
  <c r="B136" i="1"/>
  <c r="B137" i="1"/>
  <c r="B138" i="1"/>
  <c r="B140" i="1"/>
  <c r="C131" i="1"/>
  <c r="C132" i="1"/>
  <c r="C133" i="1"/>
  <c r="C134" i="1"/>
  <c r="C135" i="1"/>
  <c r="C136" i="1"/>
  <c r="C137" i="1"/>
  <c r="C138" i="1"/>
  <c r="C140" i="1"/>
  <c r="D131" i="1"/>
  <c r="D132" i="1"/>
  <c r="D133" i="1"/>
  <c r="D134" i="1"/>
  <c r="D135" i="1"/>
  <c r="D136" i="1"/>
  <c r="D137" i="1"/>
  <c r="D138" i="1"/>
  <c r="D140" i="1"/>
  <c r="E131" i="1"/>
  <c r="E132" i="1"/>
  <c r="E133" i="1"/>
  <c r="E134" i="1"/>
  <c r="E135" i="1"/>
  <c r="E136" i="1"/>
  <c r="E137" i="1"/>
  <c r="E138" i="1"/>
  <c r="E140" i="1"/>
  <c r="F131" i="1"/>
  <c r="F132" i="1"/>
  <c r="F133" i="1"/>
  <c r="F134" i="1"/>
  <c r="F135" i="1"/>
  <c r="F136" i="1"/>
  <c r="F137" i="1"/>
  <c r="F138" i="1"/>
  <c r="F140" i="1"/>
  <c r="G131" i="1"/>
  <c r="G132" i="1"/>
  <c r="G133" i="1"/>
  <c r="G134" i="1"/>
  <c r="G135" i="1"/>
  <c r="G136" i="1"/>
  <c r="G137" i="1"/>
  <c r="G138" i="1"/>
  <c r="G140" i="1"/>
  <c r="H131" i="1"/>
  <c r="H132" i="1"/>
  <c r="H133" i="1"/>
  <c r="H134" i="1"/>
  <c r="H135" i="1"/>
  <c r="H136" i="1"/>
  <c r="H137" i="1"/>
  <c r="H138" i="1"/>
  <c r="H140" i="1"/>
  <c r="I131" i="1"/>
  <c r="I132" i="1"/>
  <c r="I133" i="1"/>
  <c r="I134" i="1"/>
  <c r="I135" i="1"/>
  <c r="I136" i="1"/>
  <c r="I137" i="1"/>
  <c r="I138" i="1"/>
  <c r="I140" i="1"/>
  <c r="J131" i="1"/>
  <c r="J132" i="1"/>
  <c r="J133" i="1"/>
  <c r="J134" i="1"/>
  <c r="J135" i="1"/>
  <c r="J136" i="1"/>
  <c r="J137" i="1"/>
  <c r="J138" i="1"/>
  <c r="J140" i="1"/>
  <c r="K131" i="1"/>
  <c r="K132" i="1"/>
  <c r="K133" i="1"/>
  <c r="K134" i="1"/>
  <c r="K135" i="1"/>
  <c r="K136" i="1"/>
  <c r="K137" i="1"/>
  <c r="K138" i="1"/>
  <c r="K139" i="1" s="1"/>
  <c r="K140" i="1"/>
  <c r="L131" i="1"/>
  <c r="L132" i="1"/>
  <c r="L133" i="1"/>
  <c r="L134" i="1"/>
  <c r="L135" i="1"/>
  <c r="L136" i="1"/>
  <c r="L137" i="1"/>
  <c r="L138" i="1"/>
  <c r="L140" i="1"/>
  <c r="M131" i="1"/>
  <c r="M132" i="1"/>
  <c r="M133" i="1"/>
  <c r="M134" i="1"/>
  <c r="M135" i="1"/>
  <c r="M136" i="1"/>
  <c r="M137" i="1"/>
  <c r="M138" i="1"/>
  <c r="M140" i="1"/>
  <c r="N131" i="1"/>
  <c r="N132" i="1"/>
  <c r="N133" i="1"/>
  <c r="N134" i="1"/>
  <c r="N135" i="1"/>
  <c r="N136" i="1"/>
  <c r="N137" i="1"/>
  <c r="N138" i="1"/>
  <c r="N140" i="1"/>
  <c r="O131" i="1"/>
  <c r="O132" i="1"/>
  <c r="O133" i="1"/>
  <c r="O134" i="1"/>
  <c r="O135" i="1"/>
  <c r="O136" i="1"/>
  <c r="O137" i="1"/>
  <c r="O138" i="1"/>
  <c r="O140" i="1"/>
  <c r="P131" i="1"/>
  <c r="P132" i="1"/>
  <c r="P133" i="1"/>
  <c r="P134" i="1"/>
  <c r="P135" i="1"/>
  <c r="P136" i="1"/>
  <c r="P137" i="1"/>
  <c r="P138" i="1"/>
  <c r="P139" i="1"/>
  <c r="P140" i="1"/>
  <c r="Q131" i="1"/>
  <c r="Q132" i="1"/>
  <c r="Q133" i="1"/>
  <c r="Q134" i="1"/>
  <c r="Q135" i="1"/>
  <c r="Q136" i="1"/>
  <c r="Q137" i="1"/>
  <c r="Q138" i="1"/>
  <c r="Q139" i="1"/>
  <c r="Q140" i="1"/>
  <c r="R131" i="1"/>
  <c r="R132" i="1"/>
  <c r="R133" i="1"/>
  <c r="R134" i="1"/>
  <c r="R135" i="1"/>
  <c r="R136" i="1"/>
  <c r="R137" i="1"/>
  <c r="R138" i="1"/>
  <c r="R140" i="1"/>
  <c r="S131" i="1"/>
  <c r="S132" i="1"/>
  <c r="S133" i="1"/>
  <c r="S134" i="1"/>
  <c r="S135" i="1"/>
  <c r="S136" i="1"/>
  <c r="S137" i="1"/>
  <c r="S138" i="1"/>
  <c r="S140" i="1"/>
  <c r="T131" i="1"/>
  <c r="T132" i="1"/>
  <c r="T133" i="1"/>
  <c r="T134" i="1"/>
  <c r="T135" i="1"/>
  <c r="T136" i="1"/>
  <c r="T137" i="1"/>
  <c r="T138" i="1"/>
  <c r="T140" i="1"/>
  <c r="U131" i="1"/>
  <c r="U132" i="1"/>
  <c r="U133" i="1"/>
  <c r="U134" i="1"/>
  <c r="U135" i="1"/>
  <c r="U136" i="1"/>
  <c r="U137" i="1"/>
  <c r="U138" i="1"/>
  <c r="U140" i="1"/>
  <c r="V131" i="1"/>
  <c r="V132" i="1"/>
  <c r="V133" i="1"/>
  <c r="V134" i="1"/>
  <c r="V135" i="1"/>
  <c r="V136" i="1"/>
  <c r="V137" i="1"/>
  <c r="V138" i="1"/>
  <c r="V140" i="1"/>
  <c r="W131" i="1"/>
  <c r="W132" i="1"/>
  <c r="W133" i="1"/>
  <c r="W134" i="1"/>
  <c r="W135" i="1"/>
  <c r="X135" i="1" s="1"/>
  <c r="W136" i="1"/>
  <c r="W137" i="1"/>
  <c r="W138" i="1"/>
  <c r="W140" i="1"/>
  <c r="B145" i="1"/>
  <c r="B146" i="1"/>
  <c r="B147" i="1"/>
  <c r="B148" i="1"/>
  <c r="B149" i="1"/>
  <c r="B150" i="1"/>
  <c r="B151" i="1"/>
  <c r="B152" i="1"/>
  <c r="B154" i="1"/>
  <c r="C145" i="1"/>
  <c r="C146" i="1"/>
  <c r="C147" i="1"/>
  <c r="C148" i="1"/>
  <c r="C149" i="1"/>
  <c r="C150" i="1"/>
  <c r="C151" i="1"/>
  <c r="C152" i="1"/>
  <c r="C154" i="1"/>
  <c r="D145" i="1"/>
  <c r="D146" i="1"/>
  <c r="D147" i="1"/>
  <c r="D148" i="1"/>
  <c r="D149" i="1"/>
  <c r="D150" i="1"/>
  <c r="D151" i="1"/>
  <c r="D152" i="1"/>
  <c r="D153" i="1"/>
  <c r="D154" i="1"/>
  <c r="E145" i="1"/>
  <c r="E146" i="1"/>
  <c r="E147" i="1"/>
  <c r="E148" i="1"/>
  <c r="E149" i="1"/>
  <c r="E150" i="1"/>
  <c r="E151" i="1"/>
  <c r="E152" i="1"/>
  <c r="E153" i="1"/>
  <c r="E154" i="1"/>
  <c r="F145" i="1"/>
  <c r="F146" i="1"/>
  <c r="F147" i="1"/>
  <c r="F148" i="1"/>
  <c r="F149" i="1"/>
  <c r="F150" i="1"/>
  <c r="F151" i="1"/>
  <c r="F152" i="1"/>
  <c r="F154" i="1"/>
  <c r="G145" i="1"/>
  <c r="G146" i="1"/>
  <c r="G147" i="1"/>
  <c r="G148" i="1"/>
  <c r="G149" i="1"/>
  <c r="G150" i="1"/>
  <c r="G151" i="1"/>
  <c r="G152" i="1"/>
  <c r="G154" i="1"/>
  <c r="H145" i="1"/>
  <c r="H146" i="1"/>
  <c r="H147" i="1"/>
  <c r="H148" i="1"/>
  <c r="H149" i="1"/>
  <c r="H150" i="1"/>
  <c r="H151" i="1"/>
  <c r="H152" i="1"/>
  <c r="H154" i="1"/>
  <c r="I145" i="1"/>
  <c r="I146" i="1"/>
  <c r="I147" i="1"/>
  <c r="I148" i="1"/>
  <c r="I149" i="1"/>
  <c r="I150" i="1"/>
  <c r="I151" i="1"/>
  <c r="I152" i="1"/>
  <c r="I154" i="1"/>
  <c r="J145" i="1"/>
  <c r="J146" i="1"/>
  <c r="J147" i="1"/>
  <c r="J148" i="1"/>
  <c r="J149" i="1"/>
  <c r="J150" i="1"/>
  <c r="J151" i="1"/>
  <c r="J152" i="1"/>
  <c r="J154" i="1"/>
  <c r="K145" i="1"/>
  <c r="K146" i="1"/>
  <c r="K147" i="1"/>
  <c r="K148" i="1"/>
  <c r="K149" i="1"/>
  <c r="K150" i="1"/>
  <c r="K151" i="1"/>
  <c r="K152" i="1"/>
  <c r="K154" i="1"/>
  <c r="L145" i="1"/>
  <c r="L146" i="1"/>
  <c r="L147" i="1"/>
  <c r="L148" i="1"/>
  <c r="L149" i="1"/>
  <c r="L150" i="1"/>
  <c r="L151" i="1"/>
  <c r="L152" i="1"/>
  <c r="L154" i="1"/>
  <c r="M145" i="1"/>
  <c r="M146" i="1"/>
  <c r="M147" i="1"/>
  <c r="M148" i="1"/>
  <c r="M149" i="1"/>
  <c r="M150" i="1"/>
  <c r="M151" i="1"/>
  <c r="M152" i="1"/>
  <c r="M154" i="1"/>
  <c r="N145" i="1"/>
  <c r="N146" i="1"/>
  <c r="N147" i="1"/>
  <c r="N148" i="1"/>
  <c r="N149" i="1"/>
  <c r="N150" i="1"/>
  <c r="N151" i="1"/>
  <c r="N152" i="1"/>
  <c r="N154" i="1"/>
  <c r="O145" i="1"/>
  <c r="O146" i="1"/>
  <c r="O147" i="1"/>
  <c r="O148" i="1"/>
  <c r="O149" i="1"/>
  <c r="O150" i="1"/>
  <c r="O151" i="1"/>
  <c r="O152" i="1"/>
  <c r="O154" i="1"/>
  <c r="P145" i="1"/>
  <c r="P146" i="1"/>
  <c r="P147" i="1"/>
  <c r="P148" i="1"/>
  <c r="P149" i="1"/>
  <c r="P150" i="1"/>
  <c r="P151" i="1"/>
  <c r="P152" i="1"/>
  <c r="P154" i="1"/>
  <c r="Q145" i="1"/>
  <c r="Q146" i="1"/>
  <c r="Q147" i="1"/>
  <c r="Q148" i="1"/>
  <c r="Q149" i="1"/>
  <c r="Q150" i="1"/>
  <c r="Q151" i="1"/>
  <c r="Q152" i="1"/>
  <c r="Q154" i="1"/>
  <c r="R145" i="1"/>
  <c r="R146" i="1"/>
  <c r="R147" i="1"/>
  <c r="R148" i="1"/>
  <c r="R149" i="1"/>
  <c r="R150" i="1"/>
  <c r="R151" i="1"/>
  <c r="R152" i="1"/>
  <c r="R154" i="1"/>
  <c r="S145" i="1"/>
  <c r="S146" i="1"/>
  <c r="S147" i="1"/>
  <c r="S148" i="1"/>
  <c r="S149" i="1"/>
  <c r="S150" i="1"/>
  <c r="S151" i="1"/>
  <c r="S152" i="1"/>
  <c r="S154" i="1"/>
  <c r="T145" i="1"/>
  <c r="T146" i="1"/>
  <c r="T147" i="1"/>
  <c r="T148" i="1"/>
  <c r="T149" i="1"/>
  <c r="T150" i="1"/>
  <c r="T151" i="1"/>
  <c r="T152" i="1"/>
  <c r="T154" i="1"/>
  <c r="U145" i="1"/>
  <c r="U146" i="1"/>
  <c r="U147" i="1"/>
  <c r="U148" i="1"/>
  <c r="U149" i="1"/>
  <c r="U150" i="1"/>
  <c r="U151" i="1"/>
  <c r="U152" i="1"/>
  <c r="U154" i="1"/>
  <c r="V145" i="1"/>
  <c r="V146" i="1"/>
  <c r="V147" i="1"/>
  <c r="V148" i="1"/>
  <c r="V149" i="1"/>
  <c r="V150" i="1"/>
  <c r="V151" i="1"/>
  <c r="V152" i="1"/>
  <c r="V154" i="1"/>
  <c r="W145" i="1"/>
  <c r="W146" i="1"/>
  <c r="W147" i="1"/>
  <c r="W148" i="1"/>
  <c r="W149" i="1"/>
  <c r="W150" i="1"/>
  <c r="W151" i="1"/>
  <c r="W152" i="1"/>
  <c r="W154" i="1"/>
  <c r="B159" i="1"/>
  <c r="B160" i="1"/>
  <c r="B161" i="1"/>
  <c r="B162" i="1"/>
  <c r="B163" i="1"/>
  <c r="B164" i="1"/>
  <c r="B165" i="1"/>
  <c r="B166" i="1"/>
  <c r="B168" i="1"/>
  <c r="C159" i="1"/>
  <c r="C160" i="1"/>
  <c r="C161" i="1"/>
  <c r="C162" i="1"/>
  <c r="C163" i="1"/>
  <c r="C164" i="1"/>
  <c r="C165" i="1"/>
  <c r="C166" i="1"/>
  <c r="C168" i="1"/>
  <c r="D159" i="1"/>
  <c r="D160" i="1"/>
  <c r="D161" i="1"/>
  <c r="D162" i="1"/>
  <c r="D163" i="1"/>
  <c r="D164" i="1"/>
  <c r="D165" i="1"/>
  <c r="D166" i="1"/>
  <c r="D168" i="1"/>
  <c r="E159" i="1"/>
  <c r="E160" i="1"/>
  <c r="E161" i="1"/>
  <c r="E162" i="1"/>
  <c r="E163" i="1"/>
  <c r="E164" i="1"/>
  <c r="E165" i="1"/>
  <c r="E166" i="1"/>
  <c r="E168" i="1"/>
  <c r="F159" i="1"/>
  <c r="F160" i="1"/>
  <c r="F161" i="1"/>
  <c r="F162" i="1"/>
  <c r="F163" i="1"/>
  <c r="F164" i="1"/>
  <c r="F165" i="1"/>
  <c r="F166" i="1"/>
  <c r="F168" i="1"/>
  <c r="G159" i="1"/>
  <c r="G160" i="1"/>
  <c r="G161" i="1"/>
  <c r="G162" i="1"/>
  <c r="G163" i="1"/>
  <c r="G164" i="1"/>
  <c r="G165" i="1"/>
  <c r="G166" i="1"/>
  <c r="G168" i="1"/>
  <c r="H159" i="1"/>
  <c r="H160" i="1"/>
  <c r="H161" i="1"/>
  <c r="H162" i="1"/>
  <c r="H163" i="1"/>
  <c r="H164" i="1"/>
  <c r="H165" i="1"/>
  <c r="H166" i="1"/>
  <c r="H168" i="1"/>
  <c r="I159" i="1"/>
  <c r="I160" i="1"/>
  <c r="I161" i="1"/>
  <c r="I162" i="1"/>
  <c r="I163" i="1"/>
  <c r="I164" i="1"/>
  <c r="I165" i="1"/>
  <c r="I166" i="1"/>
  <c r="I168" i="1"/>
  <c r="J159" i="1"/>
  <c r="J160" i="1"/>
  <c r="J161" i="1"/>
  <c r="J162" i="1"/>
  <c r="J163" i="1"/>
  <c r="J164" i="1"/>
  <c r="J165" i="1"/>
  <c r="J166" i="1"/>
  <c r="J168" i="1"/>
  <c r="K159" i="1"/>
  <c r="K160" i="1"/>
  <c r="K161" i="1"/>
  <c r="K162" i="1"/>
  <c r="K163" i="1"/>
  <c r="K164" i="1"/>
  <c r="K165" i="1"/>
  <c r="K166" i="1"/>
  <c r="K168" i="1"/>
  <c r="L159" i="1"/>
  <c r="L160" i="1"/>
  <c r="L161" i="1"/>
  <c r="L162" i="1"/>
  <c r="L163" i="1"/>
  <c r="L164" i="1"/>
  <c r="L165" i="1"/>
  <c r="L166" i="1"/>
  <c r="L168" i="1"/>
  <c r="M159" i="1"/>
  <c r="M160" i="1"/>
  <c r="M161" i="1"/>
  <c r="M162" i="1"/>
  <c r="M163" i="1"/>
  <c r="M164" i="1"/>
  <c r="M165" i="1"/>
  <c r="M166" i="1"/>
  <c r="M168" i="1"/>
  <c r="N159" i="1"/>
  <c r="N160" i="1"/>
  <c r="N161" i="1"/>
  <c r="N162" i="1"/>
  <c r="N163" i="1"/>
  <c r="N164" i="1"/>
  <c r="N165" i="1"/>
  <c r="N166" i="1"/>
  <c r="N168" i="1"/>
  <c r="O159" i="1"/>
  <c r="O160" i="1"/>
  <c r="O161" i="1"/>
  <c r="O162" i="1"/>
  <c r="O163" i="1"/>
  <c r="O164" i="1"/>
  <c r="O165" i="1"/>
  <c r="O166" i="1"/>
  <c r="O167" i="1" s="1"/>
  <c r="O168" i="1"/>
  <c r="P159" i="1"/>
  <c r="P160" i="1"/>
  <c r="P161" i="1"/>
  <c r="P162" i="1"/>
  <c r="P163" i="1"/>
  <c r="P164" i="1"/>
  <c r="P165" i="1"/>
  <c r="P166" i="1"/>
  <c r="P168" i="1"/>
  <c r="Q159" i="1"/>
  <c r="Q160" i="1"/>
  <c r="Q161" i="1"/>
  <c r="Q162" i="1"/>
  <c r="Q163" i="1"/>
  <c r="Q164" i="1"/>
  <c r="Q165" i="1"/>
  <c r="Q166" i="1"/>
  <c r="Q168" i="1"/>
  <c r="R159" i="1"/>
  <c r="R160" i="1"/>
  <c r="R161" i="1"/>
  <c r="R162" i="1"/>
  <c r="R163" i="1"/>
  <c r="R164" i="1"/>
  <c r="R165" i="1"/>
  <c r="R166" i="1"/>
  <c r="R168" i="1"/>
  <c r="S159" i="1"/>
  <c r="S160" i="1"/>
  <c r="S161" i="1"/>
  <c r="S162" i="1"/>
  <c r="S163" i="1"/>
  <c r="S164" i="1"/>
  <c r="S165" i="1"/>
  <c r="S166" i="1"/>
  <c r="S168" i="1"/>
  <c r="T159" i="1"/>
  <c r="T160" i="1"/>
  <c r="T161" i="1"/>
  <c r="T162" i="1"/>
  <c r="T163" i="1"/>
  <c r="T164" i="1"/>
  <c r="T165" i="1"/>
  <c r="T166" i="1"/>
  <c r="T167" i="1"/>
  <c r="T168" i="1"/>
  <c r="U159" i="1"/>
  <c r="U160" i="1"/>
  <c r="U161" i="1"/>
  <c r="U162" i="1"/>
  <c r="U163" i="1"/>
  <c r="U164" i="1"/>
  <c r="U165" i="1"/>
  <c r="U166" i="1"/>
  <c r="U167" i="1"/>
  <c r="U168" i="1"/>
  <c r="V159" i="1"/>
  <c r="V160" i="1"/>
  <c r="V161" i="1"/>
  <c r="V162" i="1"/>
  <c r="V163" i="1"/>
  <c r="V164" i="1"/>
  <c r="V165" i="1"/>
  <c r="V166" i="1"/>
  <c r="V168" i="1"/>
  <c r="W159" i="1"/>
  <c r="W160" i="1"/>
  <c r="W161" i="1"/>
  <c r="W162" i="1"/>
  <c r="W163" i="1"/>
  <c r="W164" i="1"/>
  <c r="W165" i="1"/>
  <c r="W166" i="1"/>
  <c r="W168" i="1"/>
  <c r="B173" i="1"/>
  <c r="B174" i="1"/>
  <c r="B175" i="1"/>
  <c r="B176" i="1"/>
  <c r="B177" i="1"/>
  <c r="B178" i="1"/>
  <c r="B179" i="1"/>
  <c r="B180" i="1"/>
  <c r="B182" i="1"/>
  <c r="C173" i="1"/>
  <c r="C174" i="1"/>
  <c r="C175" i="1"/>
  <c r="C176" i="1"/>
  <c r="C177" i="1"/>
  <c r="C178" i="1"/>
  <c r="C179" i="1"/>
  <c r="C180" i="1"/>
  <c r="C181" i="1" s="1"/>
  <c r="C182" i="1"/>
  <c r="D173" i="1"/>
  <c r="D174" i="1"/>
  <c r="D175" i="1"/>
  <c r="D176" i="1"/>
  <c r="D177" i="1"/>
  <c r="D178" i="1"/>
  <c r="D179" i="1"/>
  <c r="D180" i="1"/>
  <c r="D182" i="1"/>
  <c r="E173" i="1"/>
  <c r="E174" i="1"/>
  <c r="E175" i="1"/>
  <c r="E176" i="1"/>
  <c r="E177" i="1"/>
  <c r="E178" i="1"/>
  <c r="E179" i="1"/>
  <c r="E180" i="1"/>
  <c r="E182" i="1"/>
  <c r="F173" i="1"/>
  <c r="F174" i="1"/>
  <c r="F175" i="1"/>
  <c r="F176" i="1"/>
  <c r="F177" i="1"/>
  <c r="F178" i="1"/>
  <c r="F179" i="1"/>
  <c r="F180" i="1"/>
  <c r="F182" i="1"/>
  <c r="G173" i="1"/>
  <c r="G174" i="1"/>
  <c r="G175" i="1"/>
  <c r="G176" i="1"/>
  <c r="G177" i="1"/>
  <c r="G178" i="1"/>
  <c r="G179" i="1"/>
  <c r="G180" i="1"/>
  <c r="G182" i="1"/>
  <c r="H173" i="1"/>
  <c r="H174" i="1"/>
  <c r="H175" i="1"/>
  <c r="H176" i="1"/>
  <c r="H177" i="1"/>
  <c r="H178" i="1"/>
  <c r="H179" i="1"/>
  <c r="H180" i="1"/>
  <c r="H181" i="1"/>
  <c r="H182" i="1"/>
  <c r="I173" i="1"/>
  <c r="I174" i="1"/>
  <c r="I175" i="1"/>
  <c r="I176" i="1"/>
  <c r="I177" i="1"/>
  <c r="I178" i="1"/>
  <c r="I179" i="1"/>
  <c r="I180" i="1"/>
  <c r="I181" i="1"/>
  <c r="I182" i="1"/>
  <c r="J173" i="1"/>
  <c r="J174" i="1"/>
  <c r="J175" i="1"/>
  <c r="J176" i="1"/>
  <c r="J177" i="1"/>
  <c r="J178" i="1"/>
  <c r="J179" i="1"/>
  <c r="J180" i="1"/>
  <c r="J182" i="1"/>
  <c r="K173" i="1"/>
  <c r="K174" i="1"/>
  <c r="K175" i="1"/>
  <c r="K176" i="1"/>
  <c r="K177" i="1"/>
  <c r="K178" i="1"/>
  <c r="K179" i="1"/>
  <c r="K180" i="1"/>
  <c r="K182" i="1"/>
  <c r="L173" i="1"/>
  <c r="L174" i="1"/>
  <c r="L175" i="1"/>
  <c r="L176" i="1"/>
  <c r="L177" i="1"/>
  <c r="L178" i="1"/>
  <c r="L179" i="1"/>
  <c r="L180" i="1"/>
  <c r="L182" i="1"/>
  <c r="M173" i="1"/>
  <c r="M174" i="1"/>
  <c r="M175" i="1"/>
  <c r="M176" i="1"/>
  <c r="M177" i="1"/>
  <c r="M178" i="1"/>
  <c r="M179" i="1"/>
  <c r="M180" i="1"/>
  <c r="M182" i="1"/>
  <c r="N173" i="1"/>
  <c r="N174" i="1"/>
  <c r="N175" i="1"/>
  <c r="N176" i="1"/>
  <c r="N177" i="1"/>
  <c r="N178" i="1"/>
  <c r="N179" i="1"/>
  <c r="N180" i="1"/>
  <c r="N182" i="1"/>
  <c r="O173" i="1"/>
  <c r="O174" i="1"/>
  <c r="O175" i="1"/>
  <c r="O176" i="1"/>
  <c r="O177" i="1"/>
  <c r="O178" i="1"/>
  <c r="O179" i="1"/>
  <c r="O180" i="1"/>
  <c r="O182" i="1"/>
  <c r="P173" i="1"/>
  <c r="P174" i="1"/>
  <c r="P175" i="1"/>
  <c r="P176" i="1"/>
  <c r="P177" i="1"/>
  <c r="P178" i="1"/>
  <c r="P179" i="1"/>
  <c r="P180" i="1"/>
  <c r="P182" i="1"/>
  <c r="Q173" i="1"/>
  <c r="Q174" i="1"/>
  <c r="Q175" i="1"/>
  <c r="Q176" i="1"/>
  <c r="Q177" i="1"/>
  <c r="Q178" i="1"/>
  <c r="Q179" i="1"/>
  <c r="Q180" i="1"/>
  <c r="Q182" i="1"/>
  <c r="R173" i="1"/>
  <c r="R174" i="1"/>
  <c r="R175" i="1"/>
  <c r="R176" i="1"/>
  <c r="R177" i="1"/>
  <c r="R178" i="1"/>
  <c r="R179" i="1"/>
  <c r="R180" i="1"/>
  <c r="R182" i="1"/>
  <c r="S173" i="1"/>
  <c r="S174" i="1"/>
  <c r="S175" i="1"/>
  <c r="S176" i="1"/>
  <c r="S177" i="1"/>
  <c r="S178" i="1"/>
  <c r="S179" i="1"/>
  <c r="S180" i="1"/>
  <c r="S182" i="1"/>
  <c r="T173" i="1"/>
  <c r="T174" i="1"/>
  <c r="T175" i="1"/>
  <c r="T176" i="1"/>
  <c r="T177" i="1"/>
  <c r="T178" i="1"/>
  <c r="T179" i="1"/>
  <c r="T180" i="1"/>
  <c r="T182" i="1"/>
  <c r="U173" i="1"/>
  <c r="U174" i="1"/>
  <c r="U175" i="1"/>
  <c r="U176" i="1"/>
  <c r="U177" i="1"/>
  <c r="U178" i="1"/>
  <c r="U179" i="1"/>
  <c r="U180" i="1"/>
  <c r="U182" i="1"/>
  <c r="V173" i="1"/>
  <c r="V174" i="1"/>
  <c r="V175" i="1"/>
  <c r="V176" i="1"/>
  <c r="V177" i="1"/>
  <c r="V178" i="1"/>
  <c r="V179" i="1"/>
  <c r="V180" i="1"/>
  <c r="V182" i="1"/>
  <c r="W173" i="1"/>
  <c r="W174" i="1"/>
  <c r="W175" i="1"/>
  <c r="W176" i="1"/>
  <c r="W177" i="1"/>
  <c r="W178" i="1"/>
  <c r="W179" i="1"/>
  <c r="W180" i="1"/>
  <c r="W182" i="1"/>
  <c r="B187" i="1"/>
  <c r="B188" i="1"/>
  <c r="B189" i="1"/>
  <c r="B190" i="1"/>
  <c r="B191" i="1"/>
  <c r="B192" i="1"/>
  <c r="B193" i="1"/>
  <c r="B194" i="1"/>
  <c r="B196" i="1"/>
  <c r="C187" i="1"/>
  <c r="C188" i="1"/>
  <c r="C189" i="1"/>
  <c r="C190" i="1"/>
  <c r="C191" i="1"/>
  <c r="C192" i="1"/>
  <c r="C193" i="1"/>
  <c r="C194" i="1"/>
  <c r="C196" i="1"/>
  <c r="D187" i="1"/>
  <c r="D188" i="1"/>
  <c r="D189" i="1"/>
  <c r="D190" i="1"/>
  <c r="D191" i="1"/>
  <c r="D192" i="1"/>
  <c r="D193" i="1"/>
  <c r="D194" i="1"/>
  <c r="D196" i="1"/>
  <c r="E187" i="1"/>
  <c r="E188" i="1"/>
  <c r="E189" i="1"/>
  <c r="E190" i="1"/>
  <c r="E191" i="1"/>
  <c r="E192" i="1"/>
  <c r="E193" i="1"/>
  <c r="E194" i="1"/>
  <c r="E196" i="1"/>
  <c r="F187" i="1"/>
  <c r="F188" i="1"/>
  <c r="F189" i="1"/>
  <c r="F190" i="1"/>
  <c r="F191" i="1"/>
  <c r="F192" i="1"/>
  <c r="F193" i="1"/>
  <c r="F194" i="1"/>
  <c r="F196" i="1"/>
  <c r="G187" i="1"/>
  <c r="G188" i="1"/>
  <c r="G189" i="1"/>
  <c r="G190" i="1"/>
  <c r="G191" i="1"/>
  <c r="G192" i="1"/>
  <c r="G193" i="1"/>
  <c r="G194" i="1"/>
  <c r="G196" i="1"/>
  <c r="H187" i="1"/>
  <c r="H188" i="1"/>
  <c r="H189" i="1"/>
  <c r="H190" i="1"/>
  <c r="H191" i="1"/>
  <c r="H192" i="1"/>
  <c r="H193" i="1"/>
  <c r="H194" i="1"/>
  <c r="H196" i="1"/>
  <c r="I187" i="1"/>
  <c r="I188" i="1"/>
  <c r="I189" i="1"/>
  <c r="I190" i="1"/>
  <c r="I191" i="1"/>
  <c r="I192" i="1"/>
  <c r="I193" i="1"/>
  <c r="I194" i="1"/>
  <c r="I196" i="1"/>
  <c r="J187" i="1"/>
  <c r="J188" i="1"/>
  <c r="J189" i="1"/>
  <c r="J190" i="1"/>
  <c r="J191" i="1"/>
  <c r="J192" i="1"/>
  <c r="J193" i="1"/>
  <c r="J194" i="1"/>
  <c r="J196" i="1"/>
  <c r="K187" i="1"/>
  <c r="K188" i="1"/>
  <c r="K189" i="1"/>
  <c r="K190" i="1"/>
  <c r="K191" i="1"/>
  <c r="K192" i="1"/>
  <c r="K193" i="1"/>
  <c r="K194" i="1"/>
  <c r="K196" i="1"/>
  <c r="L187" i="1"/>
  <c r="L188" i="1"/>
  <c r="L189" i="1"/>
  <c r="L190" i="1"/>
  <c r="L191" i="1"/>
  <c r="L192" i="1"/>
  <c r="L193" i="1"/>
  <c r="L194" i="1"/>
  <c r="L196" i="1"/>
  <c r="M187" i="1"/>
  <c r="M188" i="1"/>
  <c r="M189" i="1"/>
  <c r="M190" i="1"/>
  <c r="M191" i="1"/>
  <c r="M192" i="1"/>
  <c r="M193" i="1"/>
  <c r="M194" i="1"/>
  <c r="M196" i="1"/>
  <c r="N187" i="1"/>
  <c r="N188" i="1"/>
  <c r="N189" i="1"/>
  <c r="N190" i="1"/>
  <c r="N191" i="1"/>
  <c r="N192" i="1"/>
  <c r="N193" i="1"/>
  <c r="N194" i="1"/>
  <c r="N196" i="1"/>
  <c r="O187" i="1"/>
  <c r="O188" i="1"/>
  <c r="O189" i="1"/>
  <c r="O190" i="1"/>
  <c r="O191" i="1"/>
  <c r="O192" i="1"/>
  <c r="O193" i="1"/>
  <c r="O194" i="1"/>
  <c r="O196" i="1"/>
  <c r="P187" i="1"/>
  <c r="P188" i="1"/>
  <c r="P189" i="1"/>
  <c r="P190" i="1"/>
  <c r="P191" i="1"/>
  <c r="P192" i="1"/>
  <c r="P193" i="1"/>
  <c r="P194" i="1"/>
  <c r="P196" i="1"/>
  <c r="Q187" i="1"/>
  <c r="Q188" i="1"/>
  <c r="Q189" i="1"/>
  <c r="Q190" i="1"/>
  <c r="Q191" i="1"/>
  <c r="Q192" i="1"/>
  <c r="Q193" i="1"/>
  <c r="Q194" i="1"/>
  <c r="Q196" i="1"/>
  <c r="R187" i="1"/>
  <c r="R188" i="1"/>
  <c r="R189" i="1"/>
  <c r="R190" i="1"/>
  <c r="R191" i="1"/>
  <c r="R192" i="1"/>
  <c r="R193" i="1"/>
  <c r="R194" i="1"/>
  <c r="R196" i="1"/>
  <c r="S187" i="1"/>
  <c r="S188" i="1"/>
  <c r="S189" i="1"/>
  <c r="S190" i="1"/>
  <c r="S191" i="1"/>
  <c r="S192" i="1"/>
  <c r="S193" i="1"/>
  <c r="S194" i="1"/>
  <c r="S195" i="1" s="1"/>
  <c r="S196" i="1"/>
  <c r="T187" i="1"/>
  <c r="T188" i="1"/>
  <c r="T189" i="1"/>
  <c r="T190" i="1"/>
  <c r="T191" i="1"/>
  <c r="T192" i="1"/>
  <c r="T193" i="1"/>
  <c r="T194" i="1"/>
  <c r="T196" i="1"/>
  <c r="U187" i="1"/>
  <c r="U188" i="1"/>
  <c r="U189" i="1"/>
  <c r="U190" i="1"/>
  <c r="U191" i="1"/>
  <c r="U192" i="1"/>
  <c r="U193" i="1"/>
  <c r="U194" i="1"/>
  <c r="U196" i="1"/>
  <c r="V187" i="1"/>
  <c r="V188" i="1"/>
  <c r="V189" i="1"/>
  <c r="V190" i="1"/>
  <c r="V191" i="1"/>
  <c r="V192" i="1"/>
  <c r="V193" i="1"/>
  <c r="V194" i="1"/>
  <c r="V196" i="1"/>
  <c r="W187" i="1"/>
  <c r="W188" i="1"/>
  <c r="W189" i="1"/>
  <c r="W190" i="1"/>
  <c r="W191" i="1"/>
  <c r="W192" i="1"/>
  <c r="W193" i="1"/>
  <c r="W194" i="1"/>
  <c r="W196" i="1"/>
  <c r="B201" i="1"/>
  <c r="B202" i="1"/>
  <c r="B203" i="1"/>
  <c r="B204" i="1"/>
  <c r="B205" i="1"/>
  <c r="B206" i="1"/>
  <c r="B207" i="1"/>
  <c r="B208" i="1"/>
  <c r="B210" i="1"/>
  <c r="C201" i="1"/>
  <c r="C202" i="1"/>
  <c r="C203" i="1"/>
  <c r="C204" i="1"/>
  <c r="C205" i="1"/>
  <c r="C206" i="1"/>
  <c r="C207" i="1"/>
  <c r="C208" i="1"/>
  <c r="C210" i="1"/>
  <c r="D201" i="1"/>
  <c r="D202" i="1"/>
  <c r="D203" i="1"/>
  <c r="D204" i="1"/>
  <c r="D205" i="1"/>
  <c r="D206" i="1"/>
  <c r="D207" i="1"/>
  <c r="D208" i="1"/>
  <c r="D210" i="1"/>
  <c r="E201" i="1"/>
  <c r="E202" i="1"/>
  <c r="E203" i="1"/>
  <c r="E204" i="1"/>
  <c r="E205" i="1"/>
  <c r="E206" i="1"/>
  <c r="E207" i="1"/>
  <c r="E208" i="1"/>
  <c r="E210" i="1"/>
  <c r="F201" i="1"/>
  <c r="F202" i="1"/>
  <c r="F203" i="1"/>
  <c r="F204" i="1"/>
  <c r="F205" i="1"/>
  <c r="F206" i="1"/>
  <c r="F207" i="1"/>
  <c r="F208" i="1"/>
  <c r="F210" i="1"/>
  <c r="G201" i="1"/>
  <c r="G202" i="1"/>
  <c r="G203" i="1"/>
  <c r="G204" i="1"/>
  <c r="G205" i="1"/>
  <c r="G206" i="1"/>
  <c r="G207" i="1"/>
  <c r="G208" i="1"/>
  <c r="G209" i="1" s="1"/>
  <c r="G210" i="1"/>
  <c r="H201" i="1"/>
  <c r="H202" i="1"/>
  <c r="H203" i="1"/>
  <c r="H204" i="1"/>
  <c r="H205" i="1"/>
  <c r="H206" i="1"/>
  <c r="H207" i="1"/>
  <c r="H208" i="1"/>
  <c r="H210" i="1"/>
  <c r="I201" i="1"/>
  <c r="I202" i="1"/>
  <c r="I203" i="1"/>
  <c r="I204" i="1"/>
  <c r="I205" i="1"/>
  <c r="I206" i="1"/>
  <c r="I207" i="1"/>
  <c r="I208" i="1"/>
  <c r="I210" i="1"/>
  <c r="J201" i="1"/>
  <c r="J202" i="1"/>
  <c r="J203" i="1"/>
  <c r="J204" i="1"/>
  <c r="J205" i="1"/>
  <c r="J206" i="1"/>
  <c r="J207" i="1"/>
  <c r="J208" i="1"/>
  <c r="J210" i="1"/>
  <c r="K201" i="1"/>
  <c r="K202" i="1"/>
  <c r="K203" i="1"/>
  <c r="K204" i="1"/>
  <c r="K205" i="1"/>
  <c r="K206" i="1"/>
  <c r="K207" i="1"/>
  <c r="K208" i="1"/>
  <c r="K210" i="1"/>
  <c r="L201" i="1"/>
  <c r="L202" i="1"/>
  <c r="L203" i="1"/>
  <c r="L204" i="1"/>
  <c r="L205" i="1"/>
  <c r="L206" i="1"/>
  <c r="L207" i="1"/>
  <c r="L208" i="1"/>
  <c r="L209" i="1"/>
  <c r="L210" i="1"/>
  <c r="M201" i="1"/>
  <c r="M202" i="1"/>
  <c r="M203" i="1"/>
  <c r="M204" i="1"/>
  <c r="M205" i="1"/>
  <c r="M206" i="1"/>
  <c r="M207" i="1"/>
  <c r="M208" i="1"/>
  <c r="M209" i="1"/>
  <c r="M210" i="1"/>
  <c r="N201" i="1"/>
  <c r="N202" i="1"/>
  <c r="N203" i="1"/>
  <c r="N204" i="1"/>
  <c r="N205" i="1"/>
  <c r="N206" i="1"/>
  <c r="N207" i="1"/>
  <c r="N208" i="1"/>
  <c r="N210" i="1"/>
  <c r="O201" i="1"/>
  <c r="O202" i="1"/>
  <c r="O203" i="1"/>
  <c r="O204" i="1"/>
  <c r="O205" i="1"/>
  <c r="O206" i="1"/>
  <c r="O207" i="1"/>
  <c r="O208" i="1"/>
  <c r="O210" i="1"/>
  <c r="P201" i="1"/>
  <c r="P202" i="1"/>
  <c r="P203" i="1"/>
  <c r="P204" i="1"/>
  <c r="P205" i="1"/>
  <c r="P206" i="1"/>
  <c r="P207" i="1"/>
  <c r="P208" i="1"/>
  <c r="P210" i="1"/>
  <c r="Q201" i="1"/>
  <c r="Q202" i="1"/>
  <c r="Q203" i="1"/>
  <c r="Q204" i="1"/>
  <c r="Q205" i="1"/>
  <c r="Q206" i="1"/>
  <c r="Q207" i="1"/>
  <c r="Q208" i="1"/>
  <c r="Q210" i="1"/>
  <c r="R201" i="1"/>
  <c r="R202" i="1"/>
  <c r="R203" i="1"/>
  <c r="R204" i="1"/>
  <c r="R205" i="1"/>
  <c r="R206" i="1"/>
  <c r="R207" i="1"/>
  <c r="R208" i="1"/>
  <c r="R210" i="1"/>
  <c r="S201" i="1"/>
  <c r="S202" i="1"/>
  <c r="S203" i="1"/>
  <c r="S204" i="1"/>
  <c r="S205" i="1"/>
  <c r="S206" i="1"/>
  <c r="S207" i="1"/>
  <c r="S208" i="1"/>
  <c r="S210" i="1"/>
  <c r="T201" i="1"/>
  <c r="T202" i="1"/>
  <c r="T203" i="1"/>
  <c r="T204" i="1"/>
  <c r="T205" i="1"/>
  <c r="T206" i="1"/>
  <c r="T207" i="1"/>
  <c r="T208" i="1"/>
  <c r="T210" i="1"/>
  <c r="U201" i="1"/>
  <c r="U202" i="1"/>
  <c r="U203" i="1"/>
  <c r="U204" i="1"/>
  <c r="U205" i="1"/>
  <c r="U206" i="1"/>
  <c r="U207" i="1"/>
  <c r="U208" i="1"/>
  <c r="U210" i="1"/>
  <c r="V201" i="1"/>
  <c r="V202" i="1"/>
  <c r="V203" i="1"/>
  <c r="V204" i="1"/>
  <c r="V205" i="1"/>
  <c r="V206" i="1"/>
  <c r="V207" i="1"/>
  <c r="V208" i="1"/>
  <c r="V210" i="1"/>
  <c r="W201" i="1"/>
  <c r="W202" i="1"/>
  <c r="W203" i="1"/>
  <c r="W204" i="1"/>
  <c r="W205" i="1"/>
  <c r="W206" i="1"/>
  <c r="W207" i="1"/>
  <c r="W208" i="1"/>
  <c r="W210" i="1"/>
  <c r="B215" i="1"/>
  <c r="B216" i="1"/>
  <c r="B217" i="1"/>
  <c r="B218" i="1"/>
  <c r="B219" i="1"/>
  <c r="B220" i="1"/>
  <c r="B221" i="1"/>
  <c r="B222" i="1"/>
  <c r="B224" i="1"/>
  <c r="C215" i="1"/>
  <c r="C216" i="1"/>
  <c r="C217" i="1"/>
  <c r="C218" i="1"/>
  <c r="C219" i="1"/>
  <c r="C220" i="1"/>
  <c r="C221" i="1"/>
  <c r="C222" i="1"/>
  <c r="C224" i="1"/>
  <c r="D215" i="1"/>
  <c r="D216" i="1"/>
  <c r="D217" i="1"/>
  <c r="D218" i="1"/>
  <c r="D219" i="1"/>
  <c r="D220" i="1"/>
  <c r="D221" i="1"/>
  <c r="D222" i="1"/>
  <c r="D224" i="1"/>
  <c r="E215" i="1"/>
  <c r="E216" i="1"/>
  <c r="E217" i="1"/>
  <c r="E218" i="1"/>
  <c r="E219" i="1"/>
  <c r="E220" i="1"/>
  <c r="E221" i="1"/>
  <c r="E222" i="1"/>
  <c r="E224" i="1"/>
  <c r="F215" i="1"/>
  <c r="F216" i="1"/>
  <c r="F217" i="1"/>
  <c r="F218" i="1"/>
  <c r="F219" i="1"/>
  <c r="F220" i="1"/>
  <c r="F221" i="1"/>
  <c r="F222" i="1"/>
  <c r="F224" i="1"/>
  <c r="G215" i="1"/>
  <c r="G216" i="1"/>
  <c r="G217" i="1"/>
  <c r="G218" i="1"/>
  <c r="G219" i="1"/>
  <c r="G220" i="1"/>
  <c r="G221" i="1"/>
  <c r="G222" i="1"/>
  <c r="G224" i="1"/>
  <c r="H215" i="1"/>
  <c r="H216" i="1"/>
  <c r="H217" i="1"/>
  <c r="H218" i="1"/>
  <c r="H219" i="1"/>
  <c r="H220" i="1"/>
  <c r="H221" i="1"/>
  <c r="H222" i="1"/>
  <c r="H224" i="1"/>
  <c r="I215" i="1"/>
  <c r="I216" i="1"/>
  <c r="I217" i="1"/>
  <c r="I218" i="1"/>
  <c r="I219" i="1"/>
  <c r="I220" i="1"/>
  <c r="I221" i="1"/>
  <c r="I222" i="1"/>
  <c r="I224" i="1"/>
  <c r="J215" i="1"/>
  <c r="J216" i="1"/>
  <c r="J217" i="1"/>
  <c r="J218" i="1"/>
  <c r="J219" i="1"/>
  <c r="J220" i="1"/>
  <c r="J221" i="1"/>
  <c r="J222" i="1"/>
  <c r="J224" i="1"/>
  <c r="K215" i="1"/>
  <c r="K216" i="1"/>
  <c r="K217" i="1"/>
  <c r="K218" i="1"/>
  <c r="K219" i="1"/>
  <c r="K220" i="1"/>
  <c r="K221" i="1"/>
  <c r="K222" i="1"/>
  <c r="K224" i="1"/>
  <c r="L215" i="1"/>
  <c r="L216" i="1"/>
  <c r="L217" i="1"/>
  <c r="L218" i="1"/>
  <c r="L219" i="1"/>
  <c r="L220" i="1"/>
  <c r="L221" i="1"/>
  <c r="L222" i="1"/>
  <c r="L224" i="1"/>
  <c r="M215" i="1"/>
  <c r="M216" i="1"/>
  <c r="M217" i="1"/>
  <c r="M218" i="1"/>
  <c r="M219" i="1"/>
  <c r="M220" i="1"/>
  <c r="M221" i="1"/>
  <c r="M222" i="1"/>
  <c r="M224" i="1"/>
  <c r="N215" i="1"/>
  <c r="N216" i="1"/>
  <c r="N217" i="1"/>
  <c r="N218" i="1"/>
  <c r="N219" i="1"/>
  <c r="N220" i="1"/>
  <c r="N221" i="1"/>
  <c r="N222" i="1"/>
  <c r="N224" i="1"/>
  <c r="O215" i="1"/>
  <c r="O216" i="1"/>
  <c r="O217" i="1"/>
  <c r="O218" i="1"/>
  <c r="O219" i="1"/>
  <c r="O220" i="1"/>
  <c r="O221" i="1"/>
  <c r="O222" i="1"/>
  <c r="O224" i="1"/>
  <c r="P215" i="1"/>
  <c r="P216" i="1"/>
  <c r="P217" i="1"/>
  <c r="P218" i="1"/>
  <c r="P219" i="1"/>
  <c r="P220" i="1"/>
  <c r="P221" i="1"/>
  <c r="P222" i="1"/>
  <c r="P224" i="1"/>
  <c r="Q215" i="1"/>
  <c r="Q216" i="1"/>
  <c r="Q217" i="1"/>
  <c r="Q218" i="1"/>
  <c r="Q219" i="1"/>
  <c r="Q220" i="1"/>
  <c r="Q221" i="1"/>
  <c r="Q222" i="1"/>
  <c r="Q224" i="1"/>
  <c r="R215" i="1"/>
  <c r="R216" i="1"/>
  <c r="R217" i="1"/>
  <c r="R218" i="1"/>
  <c r="R219" i="1"/>
  <c r="R220" i="1"/>
  <c r="R221" i="1"/>
  <c r="R222" i="1"/>
  <c r="R224" i="1"/>
  <c r="S215" i="1"/>
  <c r="S216" i="1"/>
  <c r="S217" i="1"/>
  <c r="S218" i="1"/>
  <c r="S219" i="1"/>
  <c r="S220" i="1"/>
  <c r="S221" i="1"/>
  <c r="S222" i="1"/>
  <c r="S224" i="1"/>
  <c r="T215" i="1"/>
  <c r="T216" i="1"/>
  <c r="T217" i="1"/>
  <c r="T218" i="1"/>
  <c r="T219" i="1"/>
  <c r="T220" i="1"/>
  <c r="T221" i="1"/>
  <c r="T222" i="1"/>
  <c r="T224" i="1"/>
  <c r="U215" i="1"/>
  <c r="U216" i="1"/>
  <c r="U217" i="1"/>
  <c r="U218" i="1"/>
  <c r="U219" i="1"/>
  <c r="U220" i="1"/>
  <c r="U221" i="1"/>
  <c r="U222" i="1"/>
  <c r="U224" i="1"/>
  <c r="V215" i="1"/>
  <c r="V216" i="1"/>
  <c r="V217" i="1"/>
  <c r="V218" i="1"/>
  <c r="V219" i="1"/>
  <c r="V220" i="1"/>
  <c r="V221" i="1"/>
  <c r="V222" i="1"/>
  <c r="V224" i="1"/>
  <c r="W215" i="1"/>
  <c r="W216" i="1"/>
  <c r="W217" i="1"/>
  <c r="W218" i="1"/>
  <c r="W219" i="1"/>
  <c r="W220" i="1"/>
  <c r="W221" i="1"/>
  <c r="W222" i="1"/>
  <c r="W223" i="1" s="1"/>
  <c r="W224" i="1"/>
  <c r="B229" i="1"/>
  <c r="B230" i="1"/>
  <c r="B231" i="1"/>
  <c r="B232" i="1"/>
  <c r="B233" i="1"/>
  <c r="B234" i="1"/>
  <c r="B235" i="1"/>
  <c r="B236" i="1"/>
  <c r="B238" i="1"/>
  <c r="C229" i="1"/>
  <c r="C230" i="1"/>
  <c r="C231" i="1"/>
  <c r="C232" i="1"/>
  <c r="C233" i="1"/>
  <c r="C234" i="1"/>
  <c r="C235" i="1"/>
  <c r="C236" i="1"/>
  <c r="C238" i="1"/>
  <c r="D229" i="1"/>
  <c r="D230" i="1"/>
  <c r="D231" i="1"/>
  <c r="D232" i="1"/>
  <c r="D233" i="1"/>
  <c r="D234" i="1"/>
  <c r="D235" i="1"/>
  <c r="D236" i="1"/>
  <c r="D238" i="1"/>
  <c r="E229" i="1"/>
  <c r="E230" i="1"/>
  <c r="E231" i="1"/>
  <c r="E232" i="1"/>
  <c r="E233" i="1"/>
  <c r="E234" i="1"/>
  <c r="E235" i="1"/>
  <c r="E236" i="1"/>
  <c r="E238" i="1"/>
  <c r="F229" i="1"/>
  <c r="F230" i="1"/>
  <c r="F231" i="1"/>
  <c r="F232" i="1"/>
  <c r="F233" i="1"/>
  <c r="F234" i="1"/>
  <c r="F235" i="1"/>
  <c r="F236" i="1"/>
  <c r="F238" i="1"/>
  <c r="G229" i="1"/>
  <c r="G230" i="1"/>
  <c r="G231" i="1"/>
  <c r="G232" i="1"/>
  <c r="G233" i="1"/>
  <c r="G234" i="1"/>
  <c r="G235" i="1"/>
  <c r="G236" i="1"/>
  <c r="G238" i="1"/>
  <c r="H229" i="1"/>
  <c r="H230" i="1"/>
  <c r="H231" i="1"/>
  <c r="H232" i="1"/>
  <c r="H233" i="1"/>
  <c r="H234" i="1"/>
  <c r="H235" i="1"/>
  <c r="H236" i="1"/>
  <c r="H238" i="1"/>
  <c r="I229" i="1"/>
  <c r="I230" i="1"/>
  <c r="I231" i="1"/>
  <c r="I232" i="1"/>
  <c r="I233" i="1"/>
  <c r="I234" i="1"/>
  <c r="I235" i="1"/>
  <c r="I236" i="1"/>
  <c r="I238" i="1"/>
  <c r="J229" i="1"/>
  <c r="J230" i="1"/>
  <c r="J231" i="1"/>
  <c r="J232" i="1"/>
  <c r="J233" i="1"/>
  <c r="J234" i="1"/>
  <c r="J235" i="1"/>
  <c r="J236" i="1"/>
  <c r="J238" i="1"/>
  <c r="K229" i="1"/>
  <c r="K230" i="1"/>
  <c r="K231" i="1"/>
  <c r="K232" i="1"/>
  <c r="K233" i="1"/>
  <c r="K234" i="1"/>
  <c r="K235" i="1"/>
  <c r="K236" i="1"/>
  <c r="K237" i="1" s="1"/>
  <c r="K238" i="1"/>
  <c r="L229" i="1"/>
  <c r="L230" i="1"/>
  <c r="L231" i="1"/>
  <c r="L232" i="1"/>
  <c r="L233" i="1"/>
  <c r="L234" i="1"/>
  <c r="L235" i="1"/>
  <c r="L236" i="1"/>
  <c r="L238" i="1"/>
  <c r="M229" i="1"/>
  <c r="M230" i="1"/>
  <c r="M231" i="1"/>
  <c r="M232" i="1"/>
  <c r="M233" i="1"/>
  <c r="M234" i="1"/>
  <c r="M235" i="1"/>
  <c r="M236" i="1"/>
  <c r="M238" i="1"/>
  <c r="N229" i="1"/>
  <c r="N230" i="1"/>
  <c r="N231" i="1"/>
  <c r="N232" i="1"/>
  <c r="N233" i="1"/>
  <c r="N234" i="1"/>
  <c r="N235" i="1"/>
  <c r="N236" i="1"/>
  <c r="N238" i="1"/>
  <c r="O229" i="1"/>
  <c r="O230" i="1"/>
  <c r="O231" i="1"/>
  <c r="O232" i="1"/>
  <c r="O233" i="1"/>
  <c r="O234" i="1"/>
  <c r="O235" i="1"/>
  <c r="O236" i="1"/>
  <c r="O238" i="1"/>
  <c r="P229" i="1"/>
  <c r="P230" i="1"/>
  <c r="P231" i="1"/>
  <c r="P232" i="1"/>
  <c r="P233" i="1"/>
  <c r="P234" i="1"/>
  <c r="P235" i="1"/>
  <c r="P236" i="1"/>
  <c r="P237" i="1"/>
  <c r="P238" i="1"/>
  <c r="Q229" i="1"/>
  <c r="Q230" i="1"/>
  <c r="Q231" i="1"/>
  <c r="Q232" i="1"/>
  <c r="Q233" i="1"/>
  <c r="Q234" i="1"/>
  <c r="Q235" i="1"/>
  <c r="Q236" i="1"/>
  <c r="Q237" i="1"/>
  <c r="Q238" i="1"/>
  <c r="R229" i="1"/>
  <c r="R230" i="1"/>
  <c r="R231" i="1"/>
  <c r="R232" i="1"/>
  <c r="R233" i="1"/>
  <c r="R234" i="1"/>
  <c r="R235" i="1"/>
  <c r="R236" i="1"/>
  <c r="R238" i="1"/>
  <c r="S229" i="1"/>
  <c r="S230" i="1"/>
  <c r="S231" i="1"/>
  <c r="S232" i="1"/>
  <c r="S233" i="1"/>
  <c r="S234" i="1"/>
  <c r="S235" i="1"/>
  <c r="S236" i="1"/>
  <c r="S238" i="1"/>
  <c r="T229" i="1"/>
  <c r="T230" i="1"/>
  <c r="T231" i="1"/>
  <c r="T232" i="1"/>
  <c r="T233" i="1"/>
  <c r="T234" i="1"/>
  <c r="T235" i="1"/>
  <c r="T236" i="1"/>
  <c r="T238" i="1"/>
  <c r="U229" i="1"/>
  <c r="U230" i="1"/>
  <c r="U231" i="1"/>
  <c r="U232" i="1"/>
  <c r="U233" i="1"/>
  <c r="U234" i="1"/>
  <c r="U235" i="1"/>
  <c r="U236" i="1"/>
  <c r="U238" i="1"/>
  <c r="V229" i="1"/>
  <c r="V230" i="1"/>
  <c r="V231" i="1"/>
  <c r="V232" i="1"/>
  <c r="V233" i="1"/>
  <c r="V234" i="1"/>
  <c r="V235" i="1"/>
  <c r="V236" i="1"/>
  <c r="V238" i="1"/>
  <c r="W229" i="1"/>
  <c r="W230" i="1"/>
  <c r="W231" i="1"/>
  <c r="W232" i="1"/>
  <c r="W233" i="1"/>
  <c r="W234" i="1"/>
  <c r="W235" i="1"/>
  <c r="W236" i="1"/>
  <c r="W238" i="1"/>
  <c r="B243" i="1"/>
  <c r="B244" i="1"/>
  <c r="B245" i="1"/>
  <c r="B246" i="1"/>
  <c r="B247" i="1"/>
  <c r="B248" i="1"/>
  <c r="B249" i="1"/>
  <c r="B250" i="1"/>
  <c r="B252" i="1"/>
  <c r="C243" i="1"/>
  <c r="C244" i="1"/>
  <c r="C245" i="1"/>
  <c r="C246" i="1"/>
  <c r="C247" i="1"/>
  <c r="C248" i="1"/>
  <c r="C249" i="1"/>
  <c r="C250" i="1"/>
  <c r="C252" i="1"/>
  <c r="D243" i="1"/>
  <c r="D244" i="1"/>
  <c r="D245" i="1"/>
  <c r="D246" i="1"/>
  <c r="D247" i="1"/>
  <c r="D248" i="1"/>
  <c r="D249" i="1"/>
  <c r="D250" i="1"/>
  <c r="D251" i="1"/>
  <c r="D252" i="1"/>
  <c r="E243" i="1"/>
  <c r="E244" i="1"/>
  <c r="E245" i="1"/>
  <c r="E246" i="1"/>
  <c r="E247" i="1"/>
  <c r="E248" i="1"/>
  <c r="E249" i="1"/>
  <c r="E250" i="1"/>
  <c r="E251" i="1"/>
  <c r="E252" i="1"/>
  <c r="F243" i="1"/>
  <c r="F244" i="1"/>
  <c r="F245" i="1"/>
  <c r="F246" i="1"/>
  <c r="F247" i="1"/>
  <c r="F248" i="1"/>
  <c r="F249" i="1"/>
  <c r="F250" i="1"/>
  <c r="F252" i="1"/>
  <c r="G243" i="1"/>
  <c r="G244" i="1"/>
  <c r="G245" i="1"/>
  <c r="G246" i="1"/>
  <c r="G247" i="1"/>
  <c r="G248" i="1"/>
  <c r="G249" i="1"/>
  <c r="G250" i="1"/>
  <c r="G252" i="1"/>
  <c r="H243" i="1"/>
  <c r="H244" i="1"/>
  <c r="H245" i="1"/>
  <c r="H246" i="1"/>
  <c r="H247" i="1"/>
  <c r="H248" i="1"/>
  <c r="H249" i="1"/>
  <c r="H250" i="1"/>
  <c r="H252" i="1"/>
  <c r="I243" i="1"/>
  <c r="I244" i="1"/>
  <c r="I245" i="1"/>
  <c r="I246" i="1"/>
  <c r="I247" i="1"/>
  <c r="I248" i="1"/>
  <c r="I249" i="1"/>
  <c r="I250" i="1"/>
  <c r="I252" i="1"/>
  <c r="J243" i="1"/>
  <c r="J244" i="1"/>
  <c r="J245" i="1"/>
  <c r="J246" i="1"/>
  <c r="J247" i="1"/>
  <c r="J248" i="1"/>
  <c r="J249" i="1"/>
  <c r="J250" i="1"/>
  <c r="J252" i="1"/>
  <c r="K243" i="1"/>
  <c r="K244" i="1"/>
  <c r="K245" i="1"/>
  <c r="K246" i="1"/>
  <c r="K247" i="1"/>
  <c r="K248" i="1"/>
  <c r="K249" i="1"/>
  <c r="K250" i="1"/>
  <c r="K252" i="1"/>
  <c r="L243" i="1"/>
  <c r="L244" i="1"/>
  <c r="L245" i="1"/>
  <c r="L246" i="1"/>
  <c r="L247" i="1"/>
  <c r="L248" i="1"/>
  <c r="L249" i="1"/>
  <c r="L250" i="1"/>
  <c r="L252" i="1"/>
  <c r="M243" i="1"/>
  <c r="M244" i="1"/>
  <c r="M245" i="1"/>
  <c r="M246" i="1"/>
  <c r="M247" i="1"/>
  <c r="M248" i="1"/>
  <c r="M249" i="1"/>
  <c r="M250" i="1"/>
  <c r="M252" i="1"/>
  <c r="N243" i="1"/>
  <c r="N244" i="1"/>
  <c r="N245" i="1"/>
  <c r="N246" i="1"/>
  <c r="N247" i="1"/>
  <c r="N248" i="1"/>
  <c r="N249" i="1"/>
  <c r="N250" i="1"/>
  <c r="N252" i="1"/>
  <c r="O243" i="1"/>
  <c r="O244" i="1"/>
  <c r="O245" i="1"/>
  <c r="O246" i="1"/>
  <c r="O247" i="1"/>
  <c r="O248" i="1"/>
  <c r="O249" i="1"/>
  <c r="O250" i="1"/>
  <c r="O252" i="1"/>
  <c r="P243" i="1"/>
  <c r="P244" i="1"/>
  <c r="P245" i="1"/>
  <c r="P246" i="1"/>
  <c r="P247" i="1"/>
  <c r="P248" i="1"/>
  <c r="P249" i="1"/>
  <c r="P250" i="1"/>
  <c r="P252" i="1"/>
  <c r="Q243" i="1"/>
  <c r="Q244" i="1"/>
  <c r="Q245" i="1"/>
  <c r="Q246" i="1"/>
  <c r="Q247" i="1"/>
  <c r="Q248" i="1"/>
  <c r="Q249" i="1"/>
  <c r="Q250" i="1"/>
  <c r="Q252" i="1"/>
  <c r="R243" i="1"/>
  <c r="R244" i="1"/>
  <c r="R245" i="1"/>
  <c r="R246" i="1"/>
  <c r="R247" i="1"/>
  <c r="R248" i="1"/>
  <c r="R249" i="1"/>
  <c r="R250" i="1"/>
  <c r="R252" i="1"/>
  <c r="S243" i="1"/>
  <c r="S244" i="1"/>
  <c r="S245" i="1"/>
  <c r="S246" i="1"/>
  <c r="S247" i="1"/>
  <c r="S248" i="1"/>
  <c r="S249" i="1"/>
  <c r="S250" i="1"/>
  <c r="S252" i="1"/>
  <c r="T243" i="1"/>
  <c r="T244" i="1"/>
  <c r="T245" i="1"/>
  <c r="T246" i="1"/>
  <c r="T247" i="1"/>
  <c r="T248" i="1"/>
  <c r="T249" i="1"/>
  <c r="T250" i="1"/>
  <c r="T252" i="1"/>
  <c r="U243" i="1"/>
  <c r="U244" i="1"/>
  <c r="U245" i="1"/>
  <c r="U246" i="1"/>
  <c r="U247" i="1"/>
  <c r="U248" i="1"/>
  <c r="U249" i="1"/>
  <c r="U250" i="1"/>
  <c r="U252" i="1"/>
  <c r="V243" i="1"/>
  <c r="V244" i="1"/>
  <c r="V245" i="1"/>
  <c r="V246" i="1"/>
  <c r="V247" i="1"/>
  <c r="V248" i="1"/>
  <c r="V249" i="1"/>
  <c r="V250" i="1"/>
  <c r="V252" i="1"/>
  <c r="W243" i="1"/>
  <c r="W244" i="1"/>
  <c r="W245" i="1"/>
  <c r="W246" i="1"/>
  <c r="W247" i="1"/>
  <c r="W248" i="1"/>
  <c r="W249" i="1"/>
  <c r="W250" i="1"/>
  <c r="W252" i="1"/>
  <c r="B257" i="1"/>
  <c r="B258" i="1"/>
  <c r="B259" i="1"/>
  <c r="B260" i="1"/>
  <c r="B261" i="1"/>
  <c r="B262" i="1"/>
  <c r="B263" i="1"/>
  <c r="B264" i="1"/>
  <c r="B266" i="1"/>
  <c r="C257" i="1"/>
  <c r="C258" i="1"/>
  <c r="C259" i="1"/>
  <c r="C260" i="1"/>
  <c r="C261" i="1"/>
  <c r="C262" i="1"/>
  <c r="C263" i="1"/>
  <c r="C264" i="1"/>
  <c r="C266" i="1"/>
  <c r="D257" i="1"/>
  <c r="D258" i="1"/>
  <c r="D259" i="1"/>
  <c r="D260" i="1"/>
  <c r="D261" i="1"/>
  <c r="D262" i="1"/>
  <c r="D263" i="1"/>
  <c r="D264" i="1"/>
  <c r="D266" i="1"/>
  <c r="E257" i="1"/>
  <c r="E258" i="1"/>
  <c r="E259" i="1"/>
  <c r="E260" i="1"/>
  <c r="E261" i="1"/>
  <c r="E262" i="1"/>
  <c r="E263" i="1"/>
  <c r="E264" i="1"/>
  <c r="E266" i="1"/>
  <c r="F257" i="1"/>
  <c r="F258" i="1"/>
  <c r="F259" i="1"/>
  <c r="F260" i="1"/>
  <c r="F261" i="1"/>
  <c r="F262" i="1"/>
  <c r="F263" i="1"/>
  <c r="F264" i="1"/>
  <c r="F266" i="1"/>
  <c r="G257" i="1"/>
  <c r="G258" i="1"/>
  <c r="G259" i="1"/>
  <c r="G260" i="1"/>
  <c r="G261" i="1"/>
  <c r="G262" i="1"/>
  <c r="G263" i="1"/>
  <c r="G264" i="1"/>
  <c r="G266" i="1"/>
  <c r="H257" i="1"/>
  <c r="H258" i="1"/>
  <c r="H259" i="1"/>
  <c r="H260" i="1"/>
  <c r="H261" i="1"/>
  <c r="H262" i="1"/>
  <c r="H263" i="1"/>
  <c r="H264" i="1"/>
  <c r="H266" i="1"/>
  <c r="I257" i="1"/>
  <c r="I258" i="1"/>
  <c r="I259" i="1"/>
  <c r="I260" i="1"/>
  <c r="I261" i="1"/>
  <c r="I262" i="1"/>
  <c r="I263" i="1"/>
  <c r="I264" i="1"/>
  <c r="I266" i="1"/>
  <c r="J257" i="1"/>
  <c r="J258" i="1"/>
  <c r="J259" i="1"/>
  <c r="J260" i="1"/>
  <c r="J261" i="1"/>
  <c r="J262" i="1"/>
  <c r="J263" i="1"/>
  <c r="J264" i="1"/>
  <c r="J266" i="1"/>
  <c r="K257" i="1"/>
  <c r="K258" i="1"/>
  <c r="K259" i="1"/>
  <c r="K260" i="1"/>
  <c r="K261" i="1"/>
  <c r="K262" i="1"/>
  <c r="K263" i="1"/>
  <c r="K264" i="1"/>
  <c r="K266" i="1"/>
  <c r="L257" i="1"/>
  <c r="L258" i="1"/>
  <c r="L259" i="1"/>
  <c r="L260" i="1"/>
  <c r="L261" i="1"/>
  <c r="L262" i="1"/>
  <c r="L263" i="1"/>
  <c r="L264" i="1"/>
  <c r="L266" i="1"/>
  <c r="M257" i="1"/>
  <c r="M258" i="1"/>
  <c r="M259" i="1"/>
  <c r="M260" i="1"/>
  <c r="M261" i="1"/>
  <c r="M262" i="1"/>
  <c r="M263" i="1"/>
  <c r="M264" i="1"/>
  <c r="M266" i="1"/>
  <c r="N257" i="1"/>
  <c r="N258" i="1"/>
  <c r="N259" i="1"/>
  <c r="N260" i="1"/>
  <c r="N261" i="1"/>
  <c r="N262" i="1"/>
  <c r="N263" i="1"/>
  <c r="N264" i="1"/>
  <c r="N266" i="1"/>
  <c r="O257" i="1"/>
  <c r="O258" i="1"/>
  <c r="O259" i="1"/>
  <c r="O260" i="1"/>
  <c r="O261" i="1"/>
  <c r="O262" i="1"/>
  <c r="O263" i="1"/>
  <c r="O264" i="1"/>
  <c r="O265" i="1" s="1"/>
  <c r="O266" i="1"/>
  <c r="P257" i="1"/>
  <c r="P258" i="1"/>
  <c r="P259" i="1"/>
  <c r="P260" i="1"/>
  <c r="P261" i="1"/>
  <c r="P262" i="1"/>
  <c r="P263" i="1"/>
  <c r="P264" i="1"/>
  <c r="P266" i="1"/>
  <c r="Q257" i="1"/>
  <c r="Q258" i="1"/>
  <c r="Q259" i="1"/>
  <c r="Q260" i="1"/>
  <c r="Q261" i="1"/>
  <c r="Q262" i="1"/>
  <c r="Q263" i="1"/>
  <c r="Q264" i="1"/>
  <c r="Q266" i="1"/>
  <c r="R257" i="1"/>
  <c r="R258" i="1"/>
  <c r="R259" i="1"/>
  <c r="R260" i="1"/>
  <c r="R261" i="1"/>
  <c r="R262" i="1"/>
  <c r="R263" i="1"/>
  <c r="R264" i="1"/>
  <c r="R266" i="1"/>
  <c r="S257" i="1"/>
  <c r="S258" i="1"/>
  <c r="S259" i="1"/>
  <c r="S260" i="1"/>
  <c r="S261" i="1"/>
  <c r="S262" i="1"/>
  <c r="S263" i="1"/>
  <c r="S264" i="1"/>
  <c r="S266" i="1"/>
  <c r="T257" i="1"/>
  <c r="T258" i="1"/>
  <c r="T259" i="1"/>
  <c r="T260" i="1"/>
  <c r="T261" i="1"/>
  <c r="T262" i="1"/>
  <c r="T263" i="1"/>
  <c r="T264" i="1"/>
  <c r="T265" i="1"/>
  <c r="T266" i="1"/>
  <c r="U257" i="1"/>
  <c r="U258" i="1"/>
  <c r="U259" i="1"/>
  <c r="U260" i="1"/>
  <c r="U261" i="1"/>
  <c r="U262" i="1"/>
  <c r="U263" i="1"/>
  <c r="U264" i="1"/>
  <c r="U265" i="1"/>
  <c r="U266" i="1"/>
  <c r="V257" i="1"/>
  <c r="V258" i="1"/>
  <c r="V259" i="1"/>
  <c r="V260" i="1"/>
  <c r="V261" i="1"/>
  <c r="V262" i="1"/>
  <c r="V263" i="1"/>
  <c r="V264" i="1"/>
  <c r="V266" i="1"/>
  <c r="W257" i="1"/>
  <c r="W258" i="1"/>
  <c r="W259" i="1"/>
  <c r="W260" i="1"/>
  <c r="W261" i="1"/>
  <c r="W262" i="1"/>
  <c r="W263" i="1"/>
  <c r="W264" i="1"/>
  <c r="W266" i="1"/>
  <c r="B271" i="1"/>
  <c r="B272" i="1"/>
  <c r="B273" i="1"/>
  <c r="B274" i="1"/>
  <c r="B275" i="1"/>
  <c r="B276" i="1"/>
  <c r="B277" i="1"/>
  <c r="B278" i="1"/>
  <c r="B280" i="1"/>
  <c r="C271" i="1"/>
  <c r="C272" i="1"/>
  <c r="C273" i="1"/>
  <c r="C274" i="1"/>
  <c r="C275" i="1"/>
  <c r="C276" i="1"/>
  <c r="C277" i="1"/>
  <c r="C278" i="1"/>
  <c r="C279" i="1" s="1"/>
  <c r="C280" i="1"/>
  <c r="D271" i="1"/>
  <c r="D272" i="1"/>
  <c r="D273" i="1"/>
  <c r="D274" i="1"/>
  <c r="D275" i="1"/>
  <c r="D276" i="1"/>
  <c r="D277" i="1"/>
  <c r="D278" i="1"/>
  <c r="D280" i="1"/>
  <c r="E271" i="1"/>
  <c r="E272" i="1"/>
  <c r="E273" i="1"/>
  <c r="E274" i="1"/>
  <c r="E275" i="1"/>
  <c r="E276" i="1"/>
  <c r="E277" i="1"/>
  <c r="E278" i="1"/>
  <c r="E280" i="1"/>
  <c r="F271" i="1"/>
  <c r="F272" i="1"/>
  <c r="F273" i="1"/>
  <c r="F274" i="1"/>
  <c r="F275" i="1"/>
  <c r="F276" i="1"/>
  <c r="F277" i="1"/>
  <c r="F278" i="1"/>
  <c r="F280" i="1"/>
  <c r="G271" i="1"/>
  <c r="G272" i="1"/>
  <c r="G273" i="1"/>
  <c r="G274" i="1"/>
  <c r="G275" i="1"/>
  <c r="G276" i="1"/>
  <c r="G277" i="1"/>
  <c r="G278" i="1"/>
  <c r="G280" i="1"/>
  <c r="H271" i="1"/>
  <c r="H272" i="1"/>
  <c r="H273" i="1"/>
  <c r="H274" i="1"/>
  <c r="H275" i="1"/>
  <c r="H276" i="1"/>
  <c r="H277" i="1"/>
  <c r="H278" i="1"/>
  <c r="H279" i="1"/>
  <c r="H280" i="1"/>
  <c r="I271" i="1"/>
  <c r="I272" i="1"/>
  <c r="I273" i="1"/>
  <c r="I274" i="1"/>
  <c r="I275" i="1"/>
  <c r="I276" i="1"/>
  <c r="I277" i="1"/>
  <c r="I278" i="1"/>
  <c r="I279" i="1"/>
  <c r="I280" i="1"/>
  <c r="J271" i="1"/>
  <c r="J272" i="1"/>
  <c r="J273" i="1"/>
  <c r="J274" i="1"/>
  <c r="J275" i="1"/>
  <c r="J276" i="1"/>
  <c r="J277" i="1"/>
  <c r="J278" i="1"/>
  <c r="J280" i="1"/>
  <c r="K271" i="1"/>
  <c r="K272" i="1"/>
  <c r="K273" i="1"/>
  <c r="K274" i="1"/>
  <c r="K275" i="1"/>
  <c r="K276" i="1"/>
  <c r="K277" i="1"/>
  <c r="K278" i="1"/>
  <c r="K280" i="1"/>
  <c r="L271" i="1"/>
  <c r="L272" i="1"/>
  <c r="L273" i="1"/>
  <c r="L274" i="1"/>
  <c r="L275" i="1"/>
  <c r="L276" i="1"/>
  <c r="L277" i="1"/>
  <c r="L278" i="1"/>
  <c r="L280" i="1"/>
  <c r="M271" i="1"/>
  <c r="M272" i="1"/>
  <c r="M273" i="1"/>
  <c r="M274" i="1"/>
  <c r="M275" i="1"/>
  <c r="M276" i="1"/>
  <c r="M277" i="1"/>
  <c r="M278" i="1"/>
  <c r="M280" i="1"/>
  <c r="N271" i="1"/>
  <c r="N272" i="1"/>
  <c r="N273" i="1"/>
  <c r="N274" i="1"/>
  <c r="N275" i="1"/>
  <c r="N276" i="1"/>
  <c r="N277" i="1"/>
  <c r="N278" i="1"/>
  <c r="N280" i="1"/>
  <c r="O271" i="1"/>
  <c r="O272" i="1"/>
  <c r="O273" i="1"/>
  <c r="O274" i="1"/>
  <c r="O275" i="1"/>
  <c r="O276" i="1"/>
  <c r="O277" i="1"/>
  <c r="O278" i="1"/>
  <c r="O280" i="1"/>
  <c r="P271" i="1"/>
  <c r="P272" i="1"/>
  <c r="P273" i="1"/>
  <c r="P274" i="1"/>
  <c r="P275" i="1"/>
  <c r="P276" i="1"/>
  <c r="P277" i="1"/>
  <c r="P278" i="1"/>
  <c r="P280" i="1"/>
  <c r="Q271" i="1"/>
  <c r="Q272" i="1"/>
  <c r="Q273" i="1"/>
  <c r="Q274" i="1"/>
  <c r="Q275" i="1"/>
  <c r="Q276" i="1"/>
  <c r="Q277" i="1"/>
  <c r="Q278" i="1"/>
  <c r="Q280" i="1"/>
  <c r="R271" i="1"/>
  <c r="R272" i="1"/>
  <c r="R273" i="1"/>
  <c r="R274" i="1"/>
  <c r="R275" i="1"/>
  <c r="R276" i="1"/>
  <c r="R277" i="1"/>
  <c r="R278" i="1"/>
  <c r="R280" i="1"/>
  <c r="S271" i="1"/>
  <c r="S272" i="1"/>
  <c r="S273" i="1"/>
  <c r="S274" i="1"/>
  <c r="S275" i="1"/>
  <c r="S276" i="1"/>
  <c r="S277" i="1"/>
  <c r="S278" i="1"/>
  <c r="S280" i="1"/>
  <c r="T271" i="1"/>
  <c r="T272" i="1"/>
  <c r="T273" i="1"/>
  <c r="T274" i="1"/>
  <c r="T275" i="1"/>
  <c r="T276" i="1"/>
  <c r="T277" i="1"/>
  <c r="T278" i="1"/>
  <c r="T280" i="1"/>
  <c r="U271" i="1"/>
  <c r="U272" i="1"/>
  <c r="U273" i="1"/>
  <c r="U274" i="1"/>
  <c r="U275" i="1"/>
  <c r="U276" i="1"/>
  <c r="U277" i="1"/>
  <c r="U278" i="1"/>
  <c r="U280" i="1"/>
  <c r="V271" i="1"/>
  <c r="V272" i="1"/>
  <c r="V273" i="1"/>
  <c r="V274" i="1"/>
  <c r="V275" i="1"/>
  <c r="V276" i="1"/>
  <c r="V277" i="1"/>
  <c r="V278" i="1"/>
  <c r="V280" i="1"/>
  <c r="W271" i="1"/>
  <c r="W272" i="1"/>
  <c r="W273" i="1"/>
  <c r="W274" i="1"/>
  <c r="W275" i="1"/>
  <c r="W276" i="1"/>
  <c r="W277" i="1"/>
  <c r="W278" i="1"/>
  <c r="W280" i="1"/>
  <c r="C13" i="2"/>
  <c r="C10" i="2"/>
  <c r="C9" i="2"/>
  <c r="C7" i="2"/>
  <c r="C6" i="2"/>
  <c r="A8" i="68"/>
  <c r="B8" i="68"/>
  <c r="C8" i="68"/>
  <c r="A9" i="68"/>
  <c r="B9" i="68"/>
  <c r="C9" i="68"/>
  <c r="A10" i="68"/>
  <c r="B10" i="68"/>
  <c r="C10" i="68"/>
  <c r="A11" i="68"/>
  <c r="B11" i="68"/>
  <c r="C11" i="68"/>
  <c r="A12" i="68"/>
  <c r="B12" i="68"/>
  <c r="C12" i="68"/>
  <c r="A13" i="68"/>
  <c r="B13" i="68"/>
  <c r="C13" i="68"/>
  <c r="A14" i="68"/>
  <c r="B14" i="68"/>
  <c r="C14" i="68"/>
  <c r="A15" i="68"/>
  <c r="B15" i="68"/>
  <c r="C15" i="68"/>
  <c r="A16" i="68"/>
  <c r="B16" i="68"/>
  <c r="C16" i="68"/>
  <c r="A17" i="68"/>
  <c r="B17" i="68"/>
  <c r="C17" i="68"/>
  <c r="A18" i="68"/>
  <c r="B18" i="68"/>
  <c r="C18" i="68"/>
  <c r="A19" i="68"/>
  <c r="B19" i="68"/>
  <c r="C19" i="68"/>
  <c r="A20" i="68"/>
  <c r="B20" i="68"/>
  <c r="C20" i="68"/>
  <c r="A21" i="68"/>
  <c r="B21" i="68"/>
  <c r="C21" i="68"/>
  <c r="A22" i="68"/>
  <c r="B22" i="68"/>
  <c r="C22" i="68"/>
  <c r="A23" i="68"/>
  <c r="B23" i="68"/>
  <c r="C23" i="68"/>
  <c r="A24" i="68"/>
  <c r="B24" i="68"/>
  <c r="C24" i="68"/>
  <c r="A25" i="68"/>
  <c r="B25" i="68"/>
  <c r="C25" i="68"/>
  <c r="A26" i="68"/>
  <c r="B26" i="68"/>
  <c r="C26" i="68"/>
  <c r="A7" i="68"/>
  <c r="B7" i="68"/>
  <c r="C7" i="68"/>
  <c r="D8" i="69"/>
  <c r="D9" i="69"/>
  <c r="D7" i="69"/>
  <c r="A8" i="69"/>
  <c r="B8" i="69"/>
  <c r="C8" i="69"/>
  <c r="D10" i="69"/>
  <c r="A9" i="69"/>
  <c r="B9" i="69"/>
  <c r="C9" i="69"/>
  <c r="D11" i="69"/>
  <c r="A10" i="69"/>
  <c r="B10" i="69"/>
  <c r="C10" i="69"/>
  <c r="D12" i="69"/>
  <c r="A11" i="69"/>
  <c r="B11" i="69"/>
  <c r="C11" i="69"/>
  <c r="D13" i="69"/>
  <c r="A12" i="69"/>
  <c r="B12" i="69"/>
  <c r="C12" i="69"/>
  <c r="D14" i="69"/>
  <c r="A13" i="69"/>
  <c r="B13" i="69"/>
  <c r="C13" i="69"/>
  <c r="D15" i="69"/>
  <c r="A14" i="69"/>
  <c r="B14" i="69"/>
  <c r="C14" i="69"/>
  <c r="D16" i="69"/>
  <c r="A15" i="69"/>
  <c r="B15" i="69"/>
  <c r="C15" i="69"/>
  <c r="D17" i="69"/>
  <c r="A16" i="69"/>
  <c r="B16" i="69"/>
  <c r="C16" i="69"/>
  <c r="D18" i="69"/>
  <c r="A17" i="69"/>
  <c r="B17" i="69"/>
  <c r="C17" i="69"/>
  <c r="D19" i="69"/>
  <c r="A18" i="69"/>
  <c r="B18" i="69"/>
  <c r="C18" i="69"/>
  <c r="D20" i="69"/>
  <c r="A19" i="69"/>
  <c r="B19" i="69"/>
  <c r="C19" i="69"/>
  <c r="D21" i="69"/>
  <c r="A20" i="69"/>
  <c r="B20" i="69"/>
  <c r="C20" i="69"/>
  <c r="D22" i="69"/>
  <c r="A21" i="69"/>
  <c r="B21" i="69"/>
  <c r="C21" i="69"/>
  <c r="D23" i="69"/>
  <c r="A22" i="69"/>
  <c r="B22" i="69"/>
  <c r="C22" i="69"/>
  <c r="D24" i="69"/>
  <c r="A23" i="69"/>
  <c r="B23" i="69"/>
  <c r="C23" i="69"/>
  <c r="D25" i="69"/>
  <c r="A24" i="69"/>
  <c r="B24" i="69"/>
  <c r="C24" i="69"/>
  <c r="D26" i="69"/>
  <c r="A25" i="69"/>
  <c r="B25" i="69"/>
  <c r="C25" i="69"/>
  <c r="D27" i="69"/>
  <c r="A26" i="69"/>
  <c r="B26" i="69"/>
  <c r="C26" i="69"/>
  <c r="D28" i="69"/>
  <c r="A27" i="69"/>
  <c r="B27" i="69"/>
  <c r="C27" i="69"/>
  <c r="D29" i="69"/>
  <c r="A28" i="69"/>
  <c r="B28" i="69"/>
  <c r="C28" i="69"/>
  <c r="D30" i="69"/>
  <c r="A29" i="69"/>
  <c r="B29" i="69"/>
  <c r="C29" i="69"/>
  <c r="D31" i="69"/>
  <c r="A30" i="69"/>
  <c r="B30" i="69"/>
  <c r="C30" i="69"/>
  <c r="D32" i="69"/>
  <c r="A31" i="69"/>
  <c r="B31" i="69"/>
  <c r="C31" i="69"/>
  <c r="D33" i="69"/>
  <c r="A32" i="69"/>
  <c r="B32" i="69"/>
  <c r="C32" i="69"/>
  <c r="D34" i="69"/>
  <c r="A33" i="69"/>
  <c r="B33" i="69"/>
  <c r="C33" i="69"/>
  <c r="D35" i="69"/>
  <c r="A34" i="69"/>
  <c r="B34" i="69"/>
  <c r="C34" i="69"/>
  <c r="D36" i="69"/>
  <c r="A35" i="69"/>
  <c r="B35" i="69"/>
  <c r="C35" i="69"/>
  <c r="D37" i="69"/>
  <c r="A36" i="69"/>
  <c r="B36" i="69"/>
  <c r="C36" i="69"/>
  <c r="D38" i="69"/>
  <c r="A37" i="69"/>
  <c r="B37" i="69"/>
  <c r="C37" i="69"/>
  <c r="D39" i="69"/>
  <c r="A38" i="69"/>
  <c r="B38" i="69"/>
  <c r="C38" i="69"/>
  <c r="D40" i="69"/>
  <c r="A39" i="69"/>
  <c r="B39" i="69"/>
  <c r="C39" i="69"/>
  <c r="D41" i="69"/>
  <c r="A40" i="69"/>
  <c r="B40" i="69"/>
  <c r="C40" i="69"/>
  <c r="D42" i="69"/>
  <c r="A41" i="69"/>
  <c r="B41" i="69"/>
  <c r="C41" i="69"/>
  <c r="B42" i="69"/>
  <c r="C42" i="69"/>
  <c r="B43" i="69"/>
  <c r="C43" i="69"/>
  <c r="D43" i="69"/>
  <c r="B44" i="69"/>
  <c r="C44" i="69"/>
  <c r="D44" i="69"/>
  <c r="B45" i="69"/>
  <c r="C45" i="69"/>
  <c r="D45" i="69"/>
  <c r="B46" i="69"/>
  <c r="C46" i="69"/>
  <c r="D46" i="69"/>
  <c r="B47" i="69"/>
  <c r="C47" i="69"/>
  <c r="D47" i="69"/>
  <c r="B48" i="69"/>
  <c r="C48" i="69"/>
  <c r="D48" i="69"/>
  <c r="D49" i="69"/>
  <c r="D50" i="69"/>
  <c r="A49" i="69"/>
  <c r="B49" i="69"/>
  <c r="C49" i="69"/>
  <c r="D51" i="69"/>
  <c r="A50" i="69"/>
  <c r="B50" i="69"/>
  <c r="C50" i="69"/>
  <c r="D52" i="69"/>
  <c r="A51" i="69"/>
  <c r="B51" i="69"/>
  <c r="C51" i="69"/>
  <c r="D53" i="69"/>
  <c r="A52" i="69"/>
  <c r="B52" i="69"/>
  <c r="C52" i="69"/>
  <c r="D54" i="69"/>
  <c r="A53" i="69"/>
  <c r="B53" i="69"/>
  <c r="C53" i="69"/>
  <c r="B54" i="69"/>
  <c r="C54" i="69"/>
  <c r="B55" i="69"/>
  <c r="C55" i="69"/>
  <c r="D55" i="69"/>
  <c r="B56" i="69"/>
  <c r="C56" i="69"/>
  <c r="D56" i="69"/>
  <c r="B57" i="69"/>
  <c r="C57" i="69"/>
  <c r="D57" i="69"/>
  <c r="B58" i="69"/>
  <c r="C58" i="69"/>
  <c r="D58" i="69"/>
  <c r="B59" i="69"/>
  <c r="C59" i="69"/>
  <c r="D59" i="69"/>
  <c r="B60" i="69"/>
  <c r="C60" i="69"/>
  <c r="D60" i="69"/>
  <c r="B61" i="69"/>
  <c r="C61" i="69"/>
  <c r="D61" i="69"/>
  <c r="B62" i="69"/>
  <c r="C62" i="69"/>
  <c r="D62" i="69"/>
  <c r="D63" i="69"/>
  <c r="D64" i="69"/>
  <c r="A63" i="69"/>
  <c r="B63" i="69"/>
  <c r="C63" i="69"/>
  <c r="D65" i="69"/>
  <c r="A64" i="69"/>
  <c r="B64" i="69"/>
  <c r="C64" i="69"/>
  <c r="D66" i="69"/>
  <c r="A65" i="69"/>
  <c r="B65" i="69"/>
  <c r="C65" i="69"/>
  <c r="D67" i="69"/>
  <c r="A66" i="69"/>
  <c r="B66" i="69"/>
  <c r="C66" i="69"/>
  <c r="D68" i="69"/>
  <c r="A67" i="69"/>
  <c r="B67" i="69"/>
  <c r="C67" i="69"/>
  <c r="A68" i="69"/>
  <c r="B68" i="69"/>
  <c r="C68" i="69"/>
  <c r="A69" i="69"/>
  <c r="B69" i="69"/>
  <c r="C69" i="69"/>
  <c r="D69" i="69"/>
  <c r="A70" i="69"/>
  <c r="B70" i="69"/>
  <c r="C70" i="69"/>
  <c r="D70" i="69"/>
  <c r="A71" i="69"/>
  <c r="B71" i="69"/>
  <c r="C71" i="69"/>
  <c r="D71" i="69"/>
  <c r="A72" i="69"/>
  <c r="B72" i="69"/>
  <c r="C72" i="69"/>
  <c r="D72" i="69"/>
  <c r="A73" i="69"/>
  <c r="B73" i="69"/>
  <c r="C73" i="69"/>
  <c r="D73" i="69"/>
  <c r="A74" i="69"/>
  <c r="B74" i="69"/>
  <c r="C74" i="69"/>
  <c r="D74" i="69"/>
  <c r="A75" i="69"/>
  <c r="B75" i="69"/>
  <c r="C75" i="69"/>
  <c r="D75" i="69"/>
  <c r="A76" i="69"/>
  <c r="B76" i="69"/>
  <c r="C76" i="69"/>
  <c r="D76" i="69"/>
  <c r="D77" i="69"/>
  <c r="D78" i="69"/>
  <c r="A77" i="69"/>
  <c r="B77" i="69"/>
  <c r="C77" i="69"/>
  <c r="D79" i="69"/>
  <c r="A78" i="69"/>
  <c r="B78" i="69"/>
  <c r="C78" i="69"/>
  <c r="D80" i="69"/>
  <c r="A79" i="69"/>
  <c r="B79" i="69"/>
  <c r="C79" i="69"/>
  <c r="D81" i="69"/>
  <c r="A80" i="69"/>
  <c r="B80" i="69"/>
  <c r="C80" i="69"/>
  <c r="D82" i="69"/>
  <c r="A81" i="69"/>
  <c r="B81" i="69"/>
  <c r="C81" i="69"/>
  <c r="A82" i="69"/>
  <c r="B82" i="69"/>
  <c r="C82" i="69"/>
  <c r="A83" i="69"/>
  <c r="B83" i="69"/>
  <c r="C83" i="69"/>
  <c r="D83" i="69"/>
  <c r="A84" i="69"/>
  <c r="B84" i="69"/>
  <c r="C84" i="69"/>
  <c r="D84" i="69"/>
  <c r="A85" i="69"/>
  <c r="B85" i="69"/>
  <c r="C85" i="69"/>
  <c r="D85" i="69"/>
  <c r="A86" i="69"/>
  <c r="B86" i="69"/>
  <c r="C86" i="69"/>
  <c r="D86" i="69"/>
  <c r="A87" i="69"/>
  <c r="B87" i="69"/>
  <c r="C87" i="69"/>
  <c r="D87" i="69"/>
  <c r="A88" i="69"/>
  <c r="B88" i="69"/>
  <c r="C88" i="69"/>
  <c r="D88" i="69"/>
  <c r="A89" i="69"/>
  <c r="B89" i="69"/>
  <c r="C89" i="69"/>
  <c r="D89" i="69"/>
  <c r="A90" i="69"/>
  <c r="B90" i="69"/>
  <c r="C90" i="69"/>
  <c r="D90" i="69"/>
  <c r="D91" i="69"/>
  <c r="D92" i="69"/>
  <c r="A91" i="69"/>
  <c r="B91" i="69"/>
  <c r="C91" i="69"/>
  <c r="D93" i="69"/>
  <c r="A92" i="69"/>
  <c r="B92" i="69"/>
  <c r="C92" i="69"/>
  <c r="D94" i="69"/>
  <c r="A93" i="69"/>
  <c r="B93" i="69"/>
  <c r="C93" i="69"/>
  <c r="D95" i="69"/>
  <c r="A94" i="69"/>
  <c r="B94" i="69"/>
  <c r="C94" i="69"/>
  <c r="D96" i="69"/>
  <c r="A95" i="69"/>
  <c r="B95" i="69"/>
  <c r="C95" i="69"/>
  <c r="A96" i="69"/>
  <c r="B96" i="69"/>
  <c r="C96" i="69"/>
  <c r="A97" i="69"/>
  <c r="B97" i="69"/>
  <c r="C97" i="69"/>
  <c r="D97" i="69"/>
  <c r="A98" i="69"/>
  <c r="B98" i="69"/>
  <c r="C98" i="69"/>
  <c r="D98" i="69"/>
  <c r="A99" i="69"/>
  <c r="B99" i="69"/>
  <c r="C99" i="69"/>
  <c r="D99" i="69"/>
  <c r="A100" i="69"/>
  <c r="B100" i="69"/>
  <c r="C100" i="69"/>
  <c r="D100" i="69"/>
  <c r="A101" i="69"/>
  <c r="B101" i="69"/>
  <c r="C101" i="69"/>
  <c r="D101" i="69"/>
  <c r="A102" i="69"/>
  <c r="B102" i="69"/>
  <c r="C102" i="69"/>
  <c r="D102" i="69"/>
  <c r="A103" i="69"/>
  <c r="B103" i="69"/>
  <c r="C103" i="69"/>
  <c r="D103" i="69"/>
  <c r="A104" i="69"/>
  <c r="B104" i="69"/>
  <c r="C104" i="69"/>
  <c r="D104" i="69"/>
  <c r="B105" i="69"/>
  <c r="C105" i="69"/>
  <c r="D105" i="69"/>
  <c r="B106" i="69"/>
  <c r="C106" i="69"/>
  <c r="D106" i="69"/>
  <c r="B107" i="69"/>
  <c r="C107" i="69"/>
  <c r="D107" i="69"/>
  <c r="B108" i="69"/>
  <c r="C108" i="69"/>
  <c r="D108" i="69"/>
  <c r="B109" i="69"/>
  <c r="C109" i="69"/>
  <c r="D109" i="69"/>
  <c r="A110" i="69"/>
  <c r="B110" i="69"/>
  <c r="C110" i="69"/>
  <c r="D110" i="69"/>
  <c r="A111" i="69"/>
  <c r="B111" i="69"/>
  <c r="C111" i="69"/>
  <c r="D111" i="69"/>
  <c r="A112" i="69"/>
  <c r="B112" i="69"/>
  <c r="C112" i="69"/>
  <c r="D112" i="69"/>
  <c r="A113" i="69"/>
  <c r="B113" i="69"/>
  <c r="C113" i="69"/>
  <c r="D113" i="69"/>
  <c r="A114" i="69"/>
  <c r="B114" i="69"/>
  <c r="C114" i="69"/>
  <c r="D114" i="69"/>
  <c r="A115" i="69"/>
  <c r="B115" i="69"/>
  <c r="C115" i="69"/>
  <c r="D115" i="69"/>
  <c r="A116" i="69"/>
  <c r="B116" i="69"/>
  <c r="C116" i="69"/>
  <c r="D116" i="69"/>
  <c r="A117" i="69"/>
  <c r="B117" i="69"/>
  <c r="C117" i="69"/>
  <c r="D117" i="69"/>
  <c r="A118" i="69"/>
  <c r="B118" i="69"/>
  <c r="C118" i="69"/>
  <c r="D118" i="69"/>
  <c r="B119" i="69"/>
  <c r="C119" i="69"/>
  <c r="D119" i="69"/>
  <c r="B120" i="69"/>
  <c r="C120" i="69"/>
  <c r="D120" i="69"/>
  <c r="B121" i="69"/>
  <c r="C121" i="69"/>
  <c r="D121" i="69"/>
  <c r="B122" i="69"/>
  <c r="C122" i="69"/>
  <c r="D122" i="69"/>
  <c r="B123" i="69"/>
  <c r="C123" i="69"/>
  <c r="D123" i="69"/>
  <c r="A124" i="69"/>
  <c r="B124" i="69"/>
  <c r="C124" i="69"/>
  <c r="D124" i="69"/>
  <c r="A125" i="69"/>
  <c r="B125" i="69"/>
  <c r="C125" i="69"/>
  <c r="D125" i="69"/>
  <c r="A126" i="69"/>
  <c r="B126" i="69"/>
  <c r="C126" i="69"/>
  <c r="D126" i="69"/>
  <c r="A127" i="69"/>
  <c r="B127" i="69"/>
  <c r="C127" i="69"/>
  <c r="D127" i="69"/>
  <c r="A128" i="69"/>
  <c r="B128" i="69"/>
  <c r="C128" i="69"/>
  <c r="D128" i="69"/>
  <c r="A129" i="69"/>
  <c r="B129" i="69"/>
  <c r="C129" i="69"/>
  <c r="D129" i="69"/>
  <c r="A130" i="69"/>
  <c r="B130" i="69"/>
  <c r="C130" i="69"/>
  <c r="D130" i="69"/>
  <c r="A131" i="69"/>
  <c r="B131" i="69"/>
  <c r="C131" i="69"/>
  <c r="D131" i="69"/>
  <c r="A132" i="69"/>
  <c r="B132" i="69"/>
  <c r="C132" i="69"/>
  <c r="D132" i="69"/>
  <c r="B133" i="69"/>
  <c r="C133" i="69"/>
  <c r="D133" i="69"/>
  <c r="B134" i="69"/>
  <c r="C134" i="69"/>
  <c r="D134" i="69"/>
  <c r="B135" i="69"/>
  <c r="C135" i="69"/>
  <c r="D135" i="69"/>
  <c r="B136" i="69"/>
  <c r="C136" i="69"/>
  <c r="D136" i="69"/>
  <c r="B137" i="69"/>
  <c r="C137" i="69"/>
  <c r="D137" i="69"/>
  <c r="A138" i="69"/>
  <c r="B138" i="69"/>
  <c r="C138" i="69"/>
  <c r="D138" i="69"/>
  <c r="A139" i="69"/>
  <c r="B139" i="69"/>
  <c r="C139" i="69"/>
  <c r="D139" i="69"/>
  <c r="A140" i="69"/>
  <c r="B140" i="69"/>
  <c r="C140" i="69"/>
  <c r="D140" i="69"/>
  <c r="A141" i="69"/>
  <c r="B141" i="69"/>
  <c r="C141" i="69"/>
  <c r="D141" i="69"/>
  <c r="A142" i="69"/>
  <c r="B142" i="69"/>
  <c r="C142" i="69"/>
  <c r="D142" i="69"/>
  <c r="A143" i="69"/>
  <c r="B143" i="69"/>
  <c r="C143" i="69"/>
  <c r="D143" i="69"/>
  <c r="A144" i="69"/>
  <c r="B144" i="69"/>
  <c r="C144" i="69"/>
  <c r="D144" i="69"/>
  <c r="A145" i="69"/>
  <c r="B145" i="69"/>
  <c r="C145" i="69"/>
  <c r="D145" i="69"/>
  <c r="A146" i="69"/>
  <c r="B146" i="69"/>
  <c r="C146" i="69"/>
  <c r="D146" i="69"/>
  <c r="B147" i="69"/>
  <c r="C147" i="69"/>
  <c r="D147" i="69"/>
  <c r="B148" i="69"/>
  <c r="C148" i="69"/>
  <c r="D148" i="69"/>
  <c r="B149" i="69"/>
  <c r="C149" i="69"/>
  <c r="D149" i="69"/>
  <c r="B150" i="69"/>
  <c r="C150" i="69"/>
  <c r="D150" i="69"/>
  <c r="B151" i="69"/>
  <c r="C151" i="69"/>
  <c r="D151" i="69"/>
  <c r="A152" i="69"/>
  <c r="B152" i="69"/>
  <c r="C152" i="69"/>
  <c r="D152" i="69"/>
  <c r="A153" i="69"/>
  <c r="B153" i="69"/>
  <c r="C153" i="69"/>
  <c r="D153" i="69"/>
  <c r="A154" i="69"/>
  <c r="B154" i="69"/>
  <c r="C154" i="69"/>
  <c r="D154" i="69"/>
  <c r="A155" i="69"/>
  <c r="B155" i="69"/>
  <c r="C155" i="69"/>
  <c r="D155" i="69"/>
  <c r="A156" i="69"/>
  <c r="B156" i="69"/>
  <c r="C156" i="69"/>
  <c r="D156" i="69"/>
  <c r="A157" i="69"/>
  <c r="B157" i="69"/>
  <c r="C157" i="69"/>
  <c r="D157" i="69"/>
  <c r="A158" i="69"/>
  <c r="B158" i="69"/>
  <c r="C158" i="69"/>
  <c r="D158" i="69"/>
  <c r="A159" i="69"/>
  <c r="B159" i="69"/>
  <c r="C159" i="69"/>
  <c r="D159" i="69"/>
  <c r="A160" i="69"/>
  <c r="B160" i="69"/>
  <c r="C160" i="69"/>
  <c r="D160" i="69"/>
  <c r="B161" i="69"/>
  <c r="C161" i="69"/>
  <c r="D161" i="69"/>
  <c r="B162" i="69"/>
  <c r="C162" i="69"/>
  <c r="D162" i="69"/>
  <c r="B163" i="69"/>
  <c r="C163" i="69"/>
  <c r="D163" i="69"/>
  <c r="B164" i="69"/>
  <c r="C164" i="69"/>
  <c r="D164" i="69"/>
  <c r="B165" i="69"/>
  <c r="C165" i="69"/>
  <c r="D165" i="69"/>
  <c r="A166" i="69"/>
  <c r="B166" i="69"/>
  <c r="C166" i="69"/>
  <c r="D166" i="69"/>
  <c r="A7" i="69"/>
  <c r="C7" i="69"/>
  <c r="B7" i="69"/>
  <c r="X272" i="1"/>
  <c r="AX272" i="1" s="1"/>
  <c r="AZ272" i="1" s="1"/>
  <c r="X274" i="1"/>
  <c r="AX274" i="1"/>
  <c r="AZ274" i="1" s="1"/>
  <c r="X275" i="1"/>
  <c r="AX275" i="1"/>
  <c r="AZ275" i="1"/>
  <c r="X276" i="1"/>
  <c r="AX276" i="1"/>
  <c r="AZ276" i="1"/>
  <c r="X277" i="1"/>
  <c r="AX277" i="1" s="1"/>
  <c r="AZ277" i="1" s="1"/>
  <c r="X278" i="1"/>
  <c r="AX278" i="1" s="1"/>
  <c r="AZ278" i="1" s="1"/>
  <c r="X258" i="1"/>
  <c r="AX258" i="1" s="1"/>
  <c r="AZ258" i="1" s="1"/>
  <c r="X260" i="1"/>
  <c r="X261" i="1"/>
  <c r="AY261" i="1" s="1"/>
  <c r="AX261" i="1"/>
  <c r="AZ261" i="1"/>
  <c r="X262" i="1"/>
  <c r="AX262" i="1"/>
  <c r="AZ262" i="1" s="1"/>
  <c r="X263" i="1"/>
  <c r="AX263" i="1" s="1"/>
  <c r="AZ263" i="1" s="1"/>
  <c r="X264" i="1"/>
  <c r="AX264" i="1" s="1"/>
  <c r="AZ264" i="1" s="1"/>
  <c r="X257" i="1"/>
  <c r="AY257" i="1" s="1"/>
  <c r="X244" i="1"/>
  <c r="AX244" i="1" s="1"/>
  <c r="AZ244" i="1"/>
  <c r="X246" i="1"/>
  <c r="AX246" i="1" s="1"/>
  <c r="AZ246" i="1"/>
  <c r="X247" i="1"/>
  <c r="AX247" i="1" s="1"/>
  <c r="AZ247" i="1" s="1"/>
  <c r="X248" i="1"/>
  <c r="AX248" i="1" s="1"/>
  <c r="AZ248" i="1"/>
  <c r="X249" i="1"/>
  <c r="X250" i="1"/>
  <c r="AX250" i="1"/>
  <c r="AZ250" i="1" s="1"/>
  <c r="X243" i="1"/>
  <c r="AX243" i="1"/>
  <c r="AZ243" i="1" s="1"/>
  <c r="X231" i="1"/>
  <c r="X232" i="1"/>
  <c r="X234" i="1"/>
  <c r="AX234" i="1" s="1"/>
  <c r="AZ234" i="1" s="1"/>
  <c r="X236" i="1"/>
  <c r="AY236" i="1" s="1"/>
  <c r="AX236" i="1"/>
  <c r="AZ236" i="1" s="1"/>
  <c r="X229" i="1"/>
  <c r="AY229" i="1" s="1"/>
  <c r="X216" i="1"/>
  <c r="AX216" i="1"/>
  <c r="AZ216" i="1"/>
  <c r="X217" i="1"/>
  <c r="AX217" i="1" s="1"/>
  <c r="AZ217" i="1"/>
  <c r="X218" i="1"/>
  <c r="AX218" i="1" s="1"/>
  <c r="AZ218" i="1" s="1"/>
  <c r="X220" i="1"/>
  <c r="AX220" i="1" s="1"/>
  <c r="AZ220" i="1"/>
  <c r="X222" i="1"/>
  <c r="AX222" i="1" s="1"/>
  <c r="AZ222" i="1" s="1"/>
  <c r="X215" i="1"/>
  <c r="AY215" i="1" s="1"/>
  <c r="AX215" i="1"/>
  <c r="AZ215" i="1"/>
  <c r="X202" i="1"/>
  <c r="AY202" i="1" s="1"/>
  <c r="AX202" i="1"/>
  <c r="AZ202" i="1"/>
  <c r="X203" i="1"/>
  <c r="X204" i="1"/>
  <c r="AX204" i="1" s="1"/>
  <c r="AZ204" i="1" s="1"/>
  <c r="X205" i="1"/>
  <c r="AY205" i="1" s="1"/>
  <c r="AX205" i="1"/>
  <c r="AZ205" i="1" s="1"/>
  <c r="X206" i="1"/>
  <c r="AX206" i="1" s="1"/>
  <c r="AZ206" i="1"/>
  <c r="X208" i="1"/>
  <c r="AX208" i="1" s="1"/>
  <c r="AZ208" i="1" s="1"/>
  <c r="X201" i="1"/>
  <c r="AY201" i="1" s="1"/>
  <c r="X188" i="1"/>
  <c r="AX188" i="1" s="1"/>
  <c r="AZ188" i="1" s="1"/>
  <c r="X189" i="1"/>
  <c r="AX189" i="1" s="1"/>
  <c r="AZ189" i="1"/>
  <c r="X190" i="1"/>
  <c r="AX190" i="1"/>
  <c r="AZ190" i="1" s="1"/>
  <c r="X191" i="1"/>
  <c r="AX191" i="1"/>
  <c r="AZ191" i="1" s="1"/>
  <c r="X193" i="1"/>
  <c r="X194" i="1"/>
  <c r="AX194" i="1" s="1"/>
  <c r="AZ194" i="1" s="1"/>
  <c r="X174" i="1"/>
  <c r="AY174" i="1" s="1"/>
  <c r="X175" i="1"/>
  <c r="AX175" i="1"/>
  <c r="AZ175" i="1" s="1"/>
  <c r="X176" i="1"/>
  <c r="AY176" i="1" s="1"/>
  <c r="X177" i="1"/>
  <c r="AY177" i="1" s="1"/>
  <c r="AX177" i="1"/>
  <c r="AZ177" i="1" s="1"/>
  <c r="X178" i="1"/>
  <c r="AX178" i="1"/>
  <c r="AZ178" i="1" s="1"/>
  <c r="X179" i="1"/>
  <c r="AX179" i="1" s="1"/>
  <c r="AZ179" i="1" s="1"/>
  <c r="X180" i="1"/>
  <c r="AX180" i="1"/>
  <c r="AZ180" i="1" s="1"/>
  <c r="X160" i="1"/>
  <c r="AX160" i="1" s="1"/>
  <c r="AZ160" i="1"/>
  <c r="X162" i="1"/>
  <c r="AX162" i="1" s="1"/>
  <c r="AZ162" i="1"/>
  <c r="X163" i="1"/>
  <c r="AX163" i="1" s="1"/>
  <c r="AZ163" i="1" s="1"/>
  <c r="X164" i="1"/>
  <c r="AX164" i="1"/>
  <c r="AZ164" i="1"/>
  <c r="X165" i="1"/>
  <c r="X166" i="1"/>
  <c r="AX166" i="1" s="1"/>
  <c r="AZ166" i="1" s="1"/>
  <c r="X159" i="1"/>
  <c r="AX159" i="1" s="1"/>
  <c r="AZ159" i="1" s="1"/>
  <c r="X146" i="1"/>
  <c r="AX146" i="1" s="1"/>
  <c r="AZ146" i="1" s="1"/>
  <c r="X148" i="1"/>
  <c r="X149" i="1"/>
  <c r="AX149" i="1" s="1"/>
  <c r="AZ149" i="1" s="1"/>
  <c r="X150" i="1"/>
  <c r="AY150" i="1" s="1"/>
  <c r="AX150" i="1"/>
  <c r="AZ150" i="1" s="1"/>
  <c r="X151" i="1"/>
  <c r="AX151" i="1" s="1"/>
  <c r="AZ151" i="1"/>
  <c r="X152" i="1"/>
  <c r="AX152" i="1" s="1"/>
  <c r="AZ152" i="1" s="1"/>
  <c r="X145" i="1"/>
  <c r="AX145" i="1"/>
  <c r="AZ145" i="1" s="1"/>
  <c r="X132" i="1"/>
  <c r="AX132" i="1"/>
  <c r="AZ132" i="1"/>
  <c r="X133" i="1"/>
  <c r="AX133" i="1" s="1"/>
  <c r="AZ133" i="1" s="1"/>
  <c r="X134" i="1"/>
  <c r="AX134" i="1" s="1"/>
  <c r="AZ134" i="1"/>
  <c r="AX135" i="1"/>
  <c r="AZ135" i="1" s="1"/>
  <c r="X136" i="1"/>
  <c r="AY136" i="1" s="1"/>
  <c r="X137" i="1"/>
  <c r="AY137" i="1" s="1"/>
  <c r="AX137" i="1"/>
  <c r="AZ137" i="1"/>
  <c r="X138" i="1"/>
  <c r="AY138" i="1" s="1"/>
  <c r="X131" i="1"/>
  <c r="AX131" i="1" s="1"/>
  <c r="AZ131" i="1" s="1"/>
  <c r="X118" i="1"/>
  <c r="AX118" i="1"/>
  <c r="AZ118" i="1"/>
  <c r="X119" i="1"/>
  <c r="AX119" i="1" s="1"/>
  <c r="AZ119" i="1"/>
  <c r="X120" i="1"/>
  <c r="AX120" i="1"/>
  <c r="AZ120" i="1" s="1"/>
  <c r="X122" i="1"/>
  <c r="AX122" i="1" s="1"/>
  <c r="AZ122" i="1"/>
  <c r="X124" i="1"/>
  <c r="AX124" i="1" s="1"/>
  <c r="AZ124" i="1"/>
  <c r="X117" i="1"/>
  <c r="AX117" i="1"/>
  <c r="AZ117" i="1"/>
  <c r="X104" i="1"/>
  <c r="AX104" i="1"/>
  <c r="AZ104" i="1"/>
  <c r="X105" i="1"/>
  <c r="AX105" i="1" s="1"/>
  <c r="AZ105" i="1"/>
  <c r="X106" i="1"/>
  <c r="AX106" i="1" s="1"/>
  <c r="AZ106" i="1" s="1"/>
  <c r="X107" i="1"/>
  <c r="X108" i="1"/>
  <c r="AX108" i="1" s="1"/>
  <c r="AZ108" i="1"/>
  <c r="X110" i="1"/>
  <c r="X103" i="1"/>
  <c r="AX103" i="1"/>
  <c r="AZ103" i="1" s="1"/>
  <c r="X90" i="1"/>
  <c r="AX90" i="1"/>
  <c r="AZ90" i="1" s="1"/>
  <c r="X91" i="1"/>
  <c r="AX91" i="1" s="1"/>
  <c r="AZ91" i="1"/>
  <c r="X92" i="1"/>
  <c r="AX92" i="1" s="1"/>
  <c r="AZ92" i="1" s="1"/>
  <c r="X93" i="1"/>
  <c r="AX93" i="1"/>
  <c r="AZ93" i="1" s="1"/>
  <c r="X94" i="1"/>
  <c r="AX94" i="1"/>
  <c r="AZ94" i="1"/>
  <c r="X95" i="1"/>
  <c r="AX95" i="1" s="1"/>
  <c r="AZ95" i="1" s="1"/>
  <c r="X96" i="1"/>
  <c r="AX96" i="1" s="1"/>
  <c r="AZ96" i="1"/>
  <c r="X76" i="1"/>
  <c r="AX76" i="1"/>
  <c r="AZ76" i="1" s="1"/>
  <c r="X77" i="1"/>
  <c r="AX77" i="1"/>
  <c r="AZ77" i="1"/>
  <c r="X78" i="1"/>
  <c r="AX78" i="1" s="1"/>
  <c r="AZ78" i="1" s="1"/>
  <c r="X79" i="1"/>
  <c r="AX79" i="1"/>
  <c r="AZ79" i="1" s="1"/>
  <c r="X80" i="1"/>
  <c r="AX80" i="1"/>
  <c r="AZ80" i="1"/>
  <c r="X81" i="1"/>
  <c r="AX81" i="1" s="1"/>
  <c r="AZ81" i="1" s="1"/>
  <c r="X82" i="1"/>
  <c r="AY82" i="1" s="1"/>
  <c r="AX82" i="1"/>
  <c r="AZ82" i="1" s="1"/>
  <c r="X62" i="1"/>
  <c r="AX62" i="1" s="1"/>
  <c r="AZ62" i="1"/>
  <c r="X64" i="1"/>
  <c r="AX64" i="1" s="1"/>
  <c r="AZ64" i="1"/>
  <c r="X65" i="1"/>
  <c r="AX65" i="1"/>
  <c r="AZ65" i="1" s="1"/>
  <c r="X66" i="1"/>
  <c r="AX66" i="1"/>
  <c r="AZ66" i="1" s="1"/>
  <c r="X67" i="1"/>
  <c r="AX67" i="1" s="1"/>
  <c r="AZ67" i="1" s="1"/>
  <c r="X68" i="1"/>
  <c r="X61" i="1"/>
  <c r="X48" i="1"/>
  <c r="AX48" i="1" s="1"/>
  <c r="AZ48" i="1" s="1"/>
  <c r="X50" i="1"/>
  <c r="AX50" i="1" s="1"/>
  <c r="AZ50" i="1"/>
  <c r="X51" i="1"/>
  <c r="X52" i="1"/>
  <c r="AX52" i="1"/>
  <c r="AZ52" i="1" s="1"/>
  <c r="X53" i="1"/>
  <c r="AX53" i="1" s="1"/>
  <c r="AZ53" i="1"/>
  <c r="X54" i="1"/>
  <c r="AY54" i="1" s="1"/>
  <c r="AX54" i="1"/>
  <c r="AZ54" i="1" s="1"/>
  <c r="X47" i="1"/>
  <c r="AX47" i="1"/>
  <c r="AZ47" i="1" s="1"/>
  <c r="X34" i="1"/>
  <c r="AX34" i="1"/>
  <c r="AZ34" i="1" s="1"/>
  <c r="X35" i="1"/>
  <c r="AX35" i="1" s="1"/>
  <c r="AZ35" i="1" s="1"/>
  <c r="X36" i="1"/>
  <c r="AX36" i="1" s="1"/>
  <c r="AZ36" i="1" s="1"/>
  <c r="X37" i="1"/>
  <c r="AX37" i="1"/>
  <c r="AZ37" i="1" s="1"/>
  <c r="X38" i="1"/>
  <c r="AY38" i="1" s="1"/>
  <c r="AX38" i="1"/>
  <c r="AZ38" i="1" s="1"/>
  <c r="X39" i="1"/>
  <c r="AX39" i="1"/>
  <c r="AZ39" i="1" s="1"/>
  <c r="X40" i="1"/>
  <c r="AY40" i="1" s="1"/>
  <c r="AX40" i="1"/>
  <c r="AZ40" i="1" s="1"/>
  <c r="X33" i="1"/>
  <c r="AX33" i="1" s="1"/>
  <c r="AZ33" i="1" s="1"/>
  <c r="X20" i="1"/>
  <c r="AX20" i="1"/>
  <c r="AZ20" i="1" s="1"/>
  <c r="X21" i="1"/>
  <c r="AX21" i="1" s="1"/>
  <c r="AZ21" i="1"/>
  <c r="X22" i="1"/>
  <c r="AX22" i="1"/>
  <c r="AZ22" i="1" s="1"/>
  <c r="X24" i="1"/>
  <c r="X26" i="1"/>
  <c r="AX26" i="1" s="1"/>
  <c r="AZ26" i="1"/>
  <c r="X19" i="1"/>
  <c r="X12" i="1"/>
  <c r="AX12" i="1"/>
  <c r="AZ12" i="1" s="1"/>
  <c r="X6" i="1"/>
  <c r="AX6" i="1" s="1"/>
  <c r="AZ6" i="1"/>
  <c r="X7" i="1"/>
  <c r="AX7" i="1" s="1"/>
  <c r="AZ7" i="1" s="1"/>
  <c r="X8" i="1"/>
  <c r="AX8" i="1"/>
  <c r="AZ8" i="1"/>
  <c r="X9" i="1"/>
  <c r="AX9" i="1" s="1"/>
  <c r="AZ9" i="1" s="1"/>
  <c r="X10" i="1"/>
  <c r="AX10" i="1"/>
  <c r="AZ10" i="1" s="1"/>
  <c r="X11" i="1"/>
  <c r="AX11" i="1" s="1"/>
  <c r="AZ11" i="1"/>
  <c r="X5" i="1"/>
  <c r="AX5" i="1" s="1"/>
  <c r="AZ5" i="1" s="1"/>
  <c r="AY278" i="1"/>
  <c r="AY277" i="1"/>
  <c r="AY276" i="1"/>
  <c r="A275" i="1"/>
  <c r="Z275" i="1" s="1"/>
  <c r="AY275" i="1"/>
  <c r="A274" i="1"/>
  <c r="Z274" i="1" s="1"/>
  <c r="AY274" i="1"/>
  <c r="A273" i="1"/>
  <c r="Z273" i="1" s="1"/>
  <c r="A272" i="1"/>
  <c r="Z272" i="1" s="1"/>
  <c r="A271" i="1"/>
  <c r="Z271" i="1" s="1"/>
  <c r="AY262" i="1"/>
  <c r="A261" i="1"/>
  <c r="Z261" i="1" s="1"/>
  <c r="A260" i="1"/>
  <c r="Z260" i="1" s="1"/>
  <c r="A259" i="1"/>
  <c r="Z259" i="1" s="1"/>
  <c r="A258" i="1"/>
  <c r="Z258" i="1" s="1"/>
  <c r="A257" i="1"/>
  <c r="Z257" i="1" s="1"/>
  <c r="AY250" i="1"/>
  <c r="AY248" i="1"/>
  <c r="A247" i="1"/>
  <c r="Z247" i="1" s="1"/>
  <c r="AY247" i="1"/>
  <c r="A246" i="1"/>
  <c r="Z246" i="1" s="1"/>
  <c r="AY246" i="1"/>
  <c r="A245" i="1"/>
  <c r="Z245" i="1" s="1"/>
  <c r="A244" i="1"/>
  <c r="Z244" i="1" s="1"/>
  <c r="AY244" i="1"/>
  <c r="A243" i="1"/>
  <c r="Z243" i="1" s="1"/>
  <c r="AY243" i="1"/>
  <c r="AY234" i="1"/>
  <c r="A233" i="1"/>
  <c r="Z233" i="1" s="1"/>
  <c r="A232" i="1"/>
  <c r="Z232" i="1" s="1"/>
  <c r="A231" i="1"/>
  <c r="Z231" i="1" s="1"/>
  <c r="A230" i="1"/>
  <c r="Z230" i="1" s="1"/>
  <c r="A229" i="1"/>
  <c r="Z229" i="1" s="1"/>
  <c r="AY222" i="1"/>
  <c r="AY220" i="1"/>
  <c r="A219" i="1"/>
  <c r="Z219" i="1" s="1"/>
  <c r="A218" i="1"/>
  <c r="Z218" i="1" s="1"/>
  <c r="AY218" i="1"/>
  <c r="A217" i="1"/>
  <c r="Z217" i="1" s="1"/>
  <c r="AY217" i="1"/>
  <c r="A216" i="1"/>
  <c r="Z216" i="1" s="1"/>
  <c r="AY216" i="1"/>
  <c r="A215" i="1"/>
  <c r="Z215" i="1" s="1"/>
  <c r="AY206" i="1"/>
  <c r="A205" i="1"/>
  <c r="Z205" i="1" s="1"/>
  <c r="A204" i="1"/>
  <c r="Z204" i="1" s="1"/>
  <c r="A203" i="1"/>
  <c r="Z203" i="1" s="1"/>
  <c r="A202" i="1"/>
  <c r="Z202" i="1" s="1"/>
  <c r="A201" i="1"/>
  <c r="Z201" i="1" s="1"/>
  <c r="AY194" i="1"/>
  <c r="A191" i="1"/>
  <c r="Z191" i="1" s="1"/>
  <c r="AY191" i="1"/>
  <c r="A190" i="1"/>
  <c r="Z190" i="1" s="1"/>
  <c r="AY190" i="1"/>
  <c r="A189" i="1"/>
  <c r="Z189" i="1" s="1"/>
  <c r="AY189" i="1"/>
  <c r="A188" i="1"/>
  <c r="Z188" i="1" s="1"/>
  <c r="AY188" i="1"/>
  <c r="A187" i="1"/>
  <c r="Z187" i="1" s="1"/>
  <c r="AY180" i="1"/>
  <c r="AY179" i="1"/>
  <c r="AY178" i="1"/>
  <c r="A177" i="1"/>
  <c r="Z177" i="1" s="1"/>
  <c r="A176" i="1"/>
  <c r="Z176" i="1" s="1"/>
  <c r="A175" i="1"/>
  <c r="Z175" i="1" s="1"/>
  <c r="AY175" i="1"/>
  <c r="A174" i="1"/>
  <c r="Z174" i="1" s="1"/>
  <c r="A173" i="1"/>
  <c r="Z173" i="1" s="1"/>
  <c r="AY164" i="1"/>
  <c r="A163" i="1"/>
  <c r="Z163" i="1" s="1"/>
  <c r="AY163" i="1"/>
  <c r="A162" i="1"/>
  <c r="Z162" i="1" s="1"/>
  <c r="AY162" i="1"/>
  <c r="A161" i="1"/>
  <c r="Z161" i="1" s="1"/>
  <c r="A160" i="1"/>
  <c r="Z160" i="1" s="1"/>
  <c r="AY160" i="1"/>
  <c r="A159" i="1"/>
  <c r="Z159" i="1" s="1"/>
  <c r="AY151" i="1"/>
  <c r="A149" i="1"/>
  <c r="Z149" i="1" s="1"/>
  <c r="A148" i="1"/>
  <c r="Z148" i="1" s="1"/>
  <c r="A147" i="1"/>
  <c r="Z147" i="1" s="1"/>
  <c r="A146" i="1"/>
  <c r="Z146" i="1" s="1"/>
  <c r="AY146" i="1"/>
  <c r="A145" i="1"/>
  <c r="Z145" i="1" s="1"/>
  <c r="A135" i="1"/>
  <c r="Z135" i="1" s="1"/>
  <c r="A134" i="1"/>
  <c r="Z134" i="1" s="1"/>
  <c r="AY134" i="1"/>
  <c r="A133" i="1"/>
  <c r="Z133" i="1" s="1"/>
  <c r="A132" i="1"/>
  <c r="Z132" i="1" s="1"/>
  <c r="AY132" i="1"/>
  <c r="A131" i="1"/>
  <c r="Z131" i="1" s="1"/>
  <c r="AY131" i="1"/>
  <c r="AY124" i="1"/>
  <c r="AY122" i="1"/>
  <c r="A121" i="1"/>
  <c r="Z121" i="1" s="1"/>
  <c r="A120" i="1"/>
  <c r="Z120" i="1" s="1"/>
  <c r="AY120" i="1"/>
  <c r="A119" i="1"/>
  <c r="Z119" i="1" s="1"/>
  <c r="AY119" i="1"/>
  <c r="A118" i="1"/>
  <c r="Z118" i="1" s="1"/>
  <c r="AY118" i="1"/>
  <c r="A117" i="1"/>
  <c r="Z117" i="1" s="1"/>
  <c r="AY117" i="1"/>
  <c r="AY108" i="1"/>
  <c r="A107" i="1"/>
  <c r="Z107" i="1" s="1"/>
  <c r="A106" i="1"/>
  <c r="Z106" i="1" s="1"/>
  <c r="A105" i="1"/>
  <c r="Z105" i="1" s="1"/>
  <c r="A104" i="1"/>
  <c r="Z104" i="1" s="1"/>
  <c r="AY104" i="1"/>
  <c r="A103" i="1"/>
  <c r="Z103" i="1" s="1"/>
  <c r="AY103" i="1"/>
  <c r="AY96" i="1"/>
  <c r="AY95" i="1"/>
  <c r="AY94" i="1"/>
  <c r="A93" i="1"/>
  <c r="Z93" i="1" s="1"/>
  <c r="AY93" i="1"/>
  <c r="A92" i="1"/>
  <c r="Z92" i="1" s="1"/>
  <c r="AY92" i="1"/>
  <c r="A91" i="1"/>
  <c r="Z91" i="1" s="1"/>
  <c r="AY91" i="1"/>
  <c r="A90" i="1"/>
  <c r="Z90" i="1" s="1"/>
  <c r="A89" i="1"/>
  <c r="Z89" i="1" s="1"/>
  <c r="AY81" i="1"/>
  <c r="AY80" i="1"/>
  <c r="A79" i="1"/>
  <c r="Z79" i="1" s="1"/>
  <c r="AY79" i="1"/>
  <c r="A78" i="1"/>
  <c r="Z78" i="1" s="1"/>
  <c r="A77" i="1"/>
  <c r="Z77" i="1" s="1"/>
  <c r="AY77" i="1"/>
  <c r="A76" i="1"/>
  <c r="Z76" i="1" s="1"/>
  <c r="A75" i="1"/>
  <c r="Z75" i="1" s="1"/>
  <c r="AY66" i="1"/>
  <c r="A65" i="1"/>
  <c r="Z65" i="1" s="1"/>
  <c r="AY65" i="1"/>
  <c r="A64" i="1"/>
  <c r="Z64" i="1" s="1"/>
  <c r="AY64" i="1"/>
  <c r="A63" i="1"/>
  <c r="Z63" i="1" s="1"/>
  <c r="A62" i="1"/>
  <c r="Z62" i="1" s="1"/>
  <c r="AY62" i="1"/>
  <c r="A61" i="1"/>
  <c r="Z61" i="1" s="1"/>
  <c r="AY53" i="1"/>
  <c r="AY52" i="1"/>
  <c r="A51" i="1"/>
  <c r="Z51" i="1" s="1"/>
  <c r="A50" i="1"/>
  <c r="Z50" i="1" s="1"/>
  <c r="A49" i="1"/>
  <c r="Z49" i="1" s="1"/>
  <c r="A48" i="1"/>
  <c r="Z48" i="1" s="1"/>
  <c r="AY48" i="1"/>
  <c r="A47" i="1"/>
  <c r="Z47" i="1" s="1"/>
  <c r="AY39" i="1"/>
  <c r="A37" i="1"/>
  <c r="Z37" i="1" s="1"/>
  <c r="AY37" i="1"/>
  <c r="A36" i="1"/>
  <c r="Z36" i="1" s="1"/>
  <c r="A35" i="1"/>
  <c r="Z35" i="1" s="1"/>
  <c r="A34" i="1"/>
  <c r="Z34" i="1" s="1"/>
  <c r="AY34" i="1"/>
  <c r="A33" i="1"/>
  <c r="Z33" i="1" s="1"/>
  <c r="AY33" i="1"/>
  <c r="A23" i="1"/>
  <c r="Z23" i="1" s="1"/>
  <c r="A22" i="1"/>
  <c r="Z22" i="1" s="1"/>
  <c r="A21" i="1"/>
  <c r="Z21" i="1" s="1"/>
  <c r="AY21" i="1"/>
  <c r="A20" i="1"/>
  <c r="Z20" i="1" s="1"/>
  <c r="AY20" i="1"/>
  <c r="A19" i="1"/>
  <c r="Z19" i="1" s="1"/>
  <c r="A6" i="1"/>
  <c r="Z6" i="1" s="1"/>
  <c r="AY6" i="1"/>
  <c r="A7" i="1"/>
  <c r="AY7" i="1"/>
  <c r="A8" i="1"/>
  <c r="A9" i="1"/>
  <c r="AY9" i="1"/>
  <c r="AY10" i="1"/>
  <c r="AY11" i="1"/>
  <c r="AY12" i="1"/>
  <c r="A5" i="1"/>
  <c r="Z5" i="1" s="1"/>
  <c r="H153" i="71"/>
  <c r="H145" i="71"/>
  <c r="H137" i="71"/>
  <c r="H129" i="71"/>
  <c r="H121" i="71"/>
  <c r="H113" i="71"/>
  <c r="H105" i="71"/>
  <c r="H97" i="71"/>
  <c r="H89" i="71"/>
  <c r="H81" i="71"/>
  <c r="H73" i="71"/>
  <c r="H65" i="71"/>
  <c r="H57" i="71"/>
  <c r="H49" i="71"/>
  <c r="H41" i="71"/>
  <c r="H33" i="71"/>
  <c r="H25" i="71"/>
  <c r="H17" i="71"/>
  <c r="A1" i="71"/>
  <c r="H9" i="71"/>
  <c r="E153" i="71"/>
  <c r="A153" i="71"/>
  <c r="E145" i="71"/>
  <c r="A145" i="71"/>
  <c r="E137" i="71"/>
  <c r="A137" i="71"/>
  <c r="E129" i="71"/>
  <c r="A129" i="71"/>
  <c r="E121" i="71"/>
  <c r="A121" i="71"/>
  <c r="E113" i="71"/>
  <c r="A113" i="71"/>
  <c r="E105" i="71"/>
  <c r="A105" i="71"/>
  <c r="E97" i="71"/>
  <c r="A97" i="71"/>
  <c r="E89" i="71"/>
  <c r="A89" i="71"/>
  <c r="E81" i="71"/>
  <c r="A81" i="71"/>
  <c r="E73" i="71"/>
  <c r="A73" i="71"/>
  <c r="E65" i="71"/>
  <c r="A65" i="71"/>
  <c r="E57" i="71"/>
  <c r="A57" i="71"/>
  <c r="E49" i="71"/>
  <c r="A49" i="71"/>
  <c r="E41" i="71"/>
  <c r="A41" i="71"/>
  <c r="E33" i="71"/>
  <c r="A33" i="71"/>
  <c r="E25" i="71"/>
  <c r="A25" i="71"/>
  <c r="E17" i="71"/>
  <c r="A17" i="71"/>
  <c r="E9" i="71"/>
  <c r="A9" i="71"/>
  <c r="H1" i="71"/>
  <c r="E1" i="71"/>
  <c r="B159" i="70"/>
  <c r="C159" i="70"/>
  <c r="D159" i="70"/>
  <c r="E159" i="70"/>
  <c r="F159" i="70"/>
  <c r="G159" i="70"/>
  <c r="H159" i="70"/>
  <c r="I159" i="70"/>
  <c r="J159" i="70"/>
  <c r="K159" i="70"/>
  <c r="L159" i="70"/>
  <c r="M159" i="70"/>
  <c r="N159" i="70"/>
  <c r="O159" i="70"/>
  <c r="P159" i="70"/>
  <c r="Q159" i="70"/>
  <c r="R159" i="70"/>
  <c r="S159" i="70"/>
  <c r="T159" i="70"/>
  <c r="U159" i="70"/>
  <c r="V159" i="70"/>
  <c r="W159" i="70"/>
  <c r="X159" i="70"/>
  <c r="B158" i="70"/>
  <c r="C158" i="70"/>
  <c r="D158" i="70"/>
  <c r="E158" i="70"/>
  <c r="F158" i="70"/>
  <c r="G158" i="70"/>
  <c r="H158" i="70"/>
  <c r="I158" i="70"/>
  <c r="J158" i="70"/>
  <c r="K158" i="70"/>
  <c r="L158" i="70"/>
  <c r="M158" i="70"/>
  <c r="N158" i="70"/>
  <c r="O158" i="70"/>
  <c r="P158" i="70"/>
  <c r="Q158" i="70"/>
  <c r="R158" i="70"/>
  <c r="S158" i="70"/>
  <c r="T158" i="70"/>
  <c r="U158" i="70"/>
  <c r="V158" i="70"/>
  <c r="W158" i="70"/>
  <c r="X158" i="70"/>
  <c r="B157" i="70"/>
  <c r="C157" i="70"/>
  <c r="D157" i="70"/>
  <c r="E157" i="70"/>
  <c r="F157" i="70"/>
  <c r="G157" i="70"/>
  <c r="H157" i="70"/>
  <c r="I157" i="70"/>
  <c r="J157" i="70"/>
  <c r="K157" i="70"/>
  <c r="L157" i="70"/>
  <c r="M157" i="70"/>
  <c r="N157" i="70"/>
  <c r="O157" i="70"/>
  <c r="P157" i="70"/>
  <c r="Q157" i="70"/>
  <c r="R157" i="70"/>
  <c r="S157" i="70"/>
  <c r="T157" i="70"/>
  <c r="U157" i="70"/>
  <c r="V157" i="70"/>
  <c r="W157" i="70"/>
  <c r="X157" i="70"/>
  <c r="B156" i="70"/>
  <c r="C156" i="70"/>
  <c r="D156" i="70"/>
  <c r="E156" i="70"/>
  <c r="F156" i="70"/>
  <c r="G156" i="70"/>
  <c r="H156" i="70"/>
  <c r="I156" i="70"/>
  <c r="J156" i="70"/>
  <c r="K156" i="70"/>
  <c r="L156" i="70"/>
  <c r="M156" i="70"/>
  <c r="N156" i="70"/>
  <c r="O156" i="70"/>
  <c r="P156" i="70"/>
  <c r="Q156" i="70"/>
  <c r="R156" i="70"/>
  <c r="S156" i="70"/>
  <c r="T156" i="70"/>
  <c r="U156" i="70"/>
  <c r="V156" i="70"/>
  <c r="W156" i="70"/>
  <c r="X156" i="70"/>
  <c r="B155" i="70"/>
  <c r="C155" i="70"/>
  <c r="D155" i="70"/>
  <c r="E155" i="70"/>
  <c r="F155" i="70"/>
  <c r="G155" i="70"/>
  <c r="H155" i="70"/>
  <c r="I155" i="70"/>
  <c r="J155" i="70"/>
  <c r="K155" i="70"/>
  <c r="L155" i="70"/>
  <c r="M155" i="70"/>
  <c r="N155" i="70"/>
  <c r="O155" i="70"/>
  <c r="O160" i="70" s="1"/>
  <c r="P155" i="70"/>
  <c r="P160" i="70" s="1"/>
  <c r="Q155" i="70"/>
  <c r="Q160" i="70" s="1"/>
  <c r="R155" i="70"/>
  <c r="S155" i="70"/>
  <c r="T155" i="70"/>
  <c r="T160" i="70" s="1"/>
  <c r="U155" i="70"/>
  <c r="V155" i="70"/>
  <c r="V160" i="70" s="1"/>
  <c r="W155" i="70"/>
  <c r="X155" i="70"/>
  <c r="B151" i="70"/>
  <c r="C151" i="70"/>
  <c r="D151" i="70"/>
  <c r="E151" i="70"/>
  <c r="F151" i="70"/>
  <c r="G151" i="70"/>
  <c r="H151" i="70"/>
  <c r="I151" i="70"/>
  <c r="J151" i="70"/>
  <c r="K151" i="70"/>
  <c r="L151" i="70"/>
  <c r="M151" i="70"/>
  <c r="N151" i="70"/>
  <c r="O151" i="70"/>
  <c r="P151" i="70"/>
  <c r="Q151" i="70"/>
  <c r="R151" i="70"/>
  <c r="S151" i="70"/>
  <c r="T151" i="70"/>
  <c r="U151" i="70"/>
  <c r="V151" i="70"/>
  <c r="W151" i="70"/>
  <c r="X151" i="70"/>
  <c r="B150" i="70"/>
  <c r="C150" i="70"/>
  <c r="D150" i="70"/>
  <c r="E150" i="70"/>
  <c r="F150" i="70"/>
  <c r="G150" i="70"/>
  <c r="H150" i="70"/>
  <c r="I150" i="70"/>
  <c r="J150" i="70"/>
  <c r="K150" i="70"/>
  <c r="L150" i="70"/>
  <c r="M150" i="70"/>
  <c r="N150" i="70"/>
  <c r="O150" i="70"/>
  <c r="P150" i="70"/>
  <c r="Q150" i="70"/>
  <c r="R150" i="70"/>
  <c r="S150" i="70"/>
  <c r="T150" i="70"/>
  <c r="U150" i="70"/>
  <c r="V150" i="70"/>
  <c r="W150" i="70"/>
  <c r="X150" i="70"/>
  <c r="B149" i="70"/>
  <c r="C149" i="70"/>
  <c r="D149" i="70"/>
  <c r="E149" i="70"/>
  <c r="F149" i="70"/>
  <c r="G149" i="70"/>
  <c r="H149" i="70"/>
  <c r="I149" i="70"/>
  <c r="J149" i="70"/>
  <c r="K149" i="70"/>
  <c r="L149" i="70"/>
  <c r="M149" i="70"/>
  <c r="N149" i="70"/>
  <c r="O149" i="70"/>
  <c r="P149" i="70"/>
  <c r="Q149" i="70"/>
  <c r="R149" i="70"/>
  <c r="S149" i="70"/>
  <c r="T149" i="70"/>
  <c r="U149" i="70"/>
  <c r="V149" i="70"/>
  <c r="W149" i="70"/>
  <c r="X149" i="70"/>
  <c r="B148" i="70"/>
  <c r="C148" i="70"/>
  <c r="D148" i="70"/>
  <c r="E148" i="70"/>
  <c r="F148" i="70"/>
  <c r="G148" i="70"/>
  <c r="H148" i="70"/>
  <c r="I148" i="70"/>
  <c r="J148" i="70"/>
  <c r="K148" i="70"/>
  <c r="L148" i="70"/>
  <c r="M148" i="70"/>
  <c r="N148" i="70"/>
  <c r="O148" i="70"/>
  <c r="P148" i="70"/>
  <c r="Q148" i="70"/>
  <c r="R148" i="70"/>
  <c r="S148" i="70"/>
  <c r="T148" i="70"/>
  <c r="U148" i="70"/>
  <c r="V148" i="70"/>
  <c r="W148" i="70"/>
  <c r="X148" i="70"/>
  <c r="B147" i="70"/>
  <c r="C147" i="70"/>
  <c r="D147" i="70"/>
  <c r="E147" i="70"/>
  <c r="F147" i="70"/>
  <c r="G147" i="70"/>
  <c r="G152" i="70" s="1"/>
  <c r="H147" i="70"/>
  <c r="I147" i="70"/>
  <c r="I152" i="70" s="1"/>
  <c r="J147" i="70"/>
  <c r="K147" i="70"/>
  <c r="K152" i="70" s="1"/>
  <c r="L147" i="70"/>
  <c r="M147" i="70"/>
  <c r="N147" i="70"/>
  <c r="O147" i="70"/>
  <c r="P147" i="70"/>
  <c r="Q147" i="70"/>
  <c r="R147" i="70"/>
  <c r="S147" i="70"/>
  <c r="S152" i="70" s="1"/>
  <c r="T147" i="70"/>
  <c r="T152" i="70" s="1"/>
  <c r="U147" i="70"/>
  <c r="V147" i="70"/>
  <c r="V152" i="70" s="1"/>
  <c r="W147" i="70"/>
  <c r="X147" i="70"/>
  <c r="B143" i="70"/>
  <c r="C143" i="70"/>
  <c r="D143" i="70"/>
  <c r="E143" i="70"/>
  <c r="F143" i="70"/>
  <c r="G143" i="70"/>
  <c r="H143" i="70"/>
  <c r="I143" i="70"/>
  <c r="J143" i="70"/>
  <c r="K143" i="70"/>
  <c r="L143" i="70"/>
  <c r="M143" i="70"/>
  <c r="N143" i="70"/>
  <c r="O143" i="70"/>
  <c r="P143" i="70"/>
  <c r="Q143" i="70"/>
  <c r="R143" i="70"/>
  <c r="S143" i="70"/>
  <c r="T143" i="70"/>
  <c r="U143" i="70"/>
  <c r="V143" i="70"/>
  <c r="W143" i="70"/>
  <c r="X143" i="70"/>
  <c r="B142" i="70"/>
  <c r="C142" i="70"/>
  <c r="D142" i="70"/>
  <c r="E142" i="70"/>
  <c r="F142" i="70"/>
  <c r="G142" i="70"/>
  <c r="H142" i="70"/>
  <c r="I142" i="70"/>
  <c r="J142" i="70"/>
  <c r="K142" i="70"/>
  <c r="L142" i="70"/>
  <c r="M142" i="70"/>
  <c r="N142" i="70"/>
  <c r="O142" i="70"/>
  <c r="P142" i="70"/>
  <c r="Q142" i="70"/>
  <c r="R142" i="70"/>
  <c r="S142" i="70"/>
  <c r="T142" i="70"/>
  <c r="U142" i="70"/>
  <c r="V142" i="70"/>
  <c r="W142" i="70"/>
  <c r="X142" i="70"/>
  <c r="B141" i="70"/>
  <c r="C141" i="70"/>
  <c r="D141" i="70"/>
  <c r="E141" i="70"/>
  <c r="F141" i="70"/>
  <c r="G141" i="70"/>
  <c r="H141" i="70"/>
  <c r="I141" i="70"/>
  <c r="J141" i="70"/>
  <c r="K141" i="70"/>
  <c r="L141" i="70"/>
  <c r="M141" i="70"/>
  <c r="N141" i="70"/>
  <c r="O141" i="70"/>
  <c r="P141" i="70"/>
  <c r="Q141" i="70"/>
  <c r="R141" i="70"/>
  <c r="S141" i="70"/>
  <c r="T141" i="70"/>
  <c r="U141" i="70"/>
  <c r="V141" i="70"/>
  <c r="W141" i="70"/>
  <c r="X141" i="70"/>
  <c r="B140" i="70"/>
  <c r="C140" i="70"/>
  <c r="D140" i="70"/>
  <c r="E140" i="70"/>
  <c r="F140" i="70"/>
  <c r="G140" i="70"/>
  <c r="H140" i="70"/>
  <c r="I140" i="70"/>
  <c r="J140" i="70"/>
  <c r="K140" i="70"/>
  <c r="L140" i="70"/>
  <c r="M140" i="70"/>
  <c r="N140" i="70"/>
  <c r="O140" i="70"/>
  <c r="P140" i="70"/>
  <c r="Q140" i="70"/>
  <c r="R140" i="70"/>
  <c r="S140" i="70"/>
  <c r="T140" i="70"/>
  <c r="U140" i="70"/>
  <c r="V140" i="70"/>
  <c r="W140" i="70"/>
  <c r="X140" i="70"/>
  <c r="B139" i="70"/>
  <c r="C139" i="70"/>
  <c r="D139" i="70"/>
  <c r="E139" i="70"/>
  <c r="F139" i="70"/>
  <c r="G139" i="70"/>
  <c r="H139" i="70"/>
  <c r="I139" i="70"/>
  <c r="J139" i="70"/>
  <c r="J144" i="70" s="1"/>
  <c r="K139" i="70"/>
  <c r="K144" i="70" s="1"/>
  <c r="L139" i="70"/>
  <c r="M139" i="70"/>
  <c r="M144" i="70" s="1"/>
  <c r="N139" i="70"/>
  <c r="N144" i="70" s="1"/>
  <c r="O139" i="70"/>
  <c r="P139" i="70"/>
  <c r="Q139" i="70"/>
  <c r="R139" i="70"/>
  <c r="S139" i="70"/>
  <c r="T139" i="70"/>
  <c r="U139" i="70"/>
  <c r="V139" i="70"/>
  <c r="V144" i="70" s="1"/>
  <c r="W139" i="70"/>
  <c r="X139" i="70"/>
  <c r="B135" i="70"/>
  <c r="C135" i="70"/>
  <c r="D135" i="70"/>
  <c r="E135" i="70"/>
  <c r="F135" i="70"/>
  <c r="G135" i="70"/>
  <c r="H135" i="70"/>
  <c r="I135" i="70"/>
  <c r="J135" i="70"/>
  <c r="K135" i="70"/>
  <c r="L135" i="70"/>
  <c r="M135" i="70"/>
  <c r="N135" i="70"/>
  <c r="O135" i="70"/>
  <c r="P135" i="70"/>
  <c r="Q135" i="70"/>
  <c r="R135" i="70"/>
  <c r="S135" i="70"/>
  <c r="T135" i="70"/>
  <c r="U135" i="70"/>
  <c r="V135" i="70"/>
  <c r="W135" i="70"/>
  <c r="X135" i="70"/>
  <c r="B134" i="70"/>
  <c r="C134" i="70"/>
  <c r="D134" i="70"/>
  <c r="E134" i="70"/>
  <c r="F134" i="70"/>
  <c r="G134" i="70"/>
  <c r="H134" i="70"/>
  <c r="I134" i="70"/>
  <c r="J134" i="70"/>
  <c r="K134" i="70"/>
  <c r="L134" i="70"/>
  <c r="M134" i="70"/>
  <c r="N134" i="70"/>
  <c r="O134" i="70"/>
  <c r="P134" i="70"/>
  <c r="Q134" i="70"/>
  <c r="R134" i="70"/>
  <c r="S134" i="70"/>
  <c r="T134" i="70"/>
  <c r="U134" i="70"/>
  <c r="V134" i="70"/>
  <c r="W134" i="70"/>
  <c r="X134" i="70"/>
  <c r="B133" i="70"/>
  <c r="C133" i="70"/>
  <c r="D133" i="70"/>
  <c r="E133" i="70"/>
  <c r="F133" i="70"/>
  <c r="G133" i="70"/>
  <c r="H133" i="70"/>
  <c r="I133" i="70"/>
  <c r="J133" i="70"/>
  <c r="K133" i="70"/>
  <c r="L133" i="70"/>
  <c r="M133" i="70"/>
  <c r="N133" i="70"/>
  <c r="O133" i="70"/>
  <c r="P133" i="70"/>
  <c r="Q133" i="70"/>
  <c r="R133" i="70"/>
  <c r="S133" i="70"/>
  <c r="T133" i="70"/>
  <c r="U133" i="70"/>
  <c r="V133" i="70"/>
  <c r="W133" i="70"/>
  <c r="X133" i="70"/>
  <c r="B132" i="70"/>
  <c r="C132" i="70"/>
  <c r="D132" i="70"/>
  <c r="E132" i="70"/>
  <c r="F132" i="70"/>
  <c r="G132" i="70"/>
  <c r="H132" i="70"/>
  <c r="I132" i="70"/>
  <c r="J132" i="70"/>
  <c r="K132" i="70"/>
  <c r="L132" i="70"/>
  <c r="M132" i="70"/>
  <c r="N132" i="70"/>
  <c r="O132" i="70"/>
  <c r="P132" i="70"/>
  <c r="Q132" i="70"/>
  <c r="R132" i="70"/>
  <c r="S132" i="70"/>
  <c r="T132" i="70"/>
  <c r="U132" i="70"/>
  <c r="V132" i="70"/>
  <c r="W132" i="70"/>
  <c r="X132" i="70"/>
  <c r="B131" i="70"/>
  <c r="C131" i="70"/>
  <c r="D131" i="70"/>
  <c r="E131" i="70"/>
  <c r="F131" i="70"/>
  <c r="G131" i="70"/>
  <c r="G136" i="70" s="1"/>
  <c r="H131" i="70"/>
  <c r="I131" i="70"/>
  <c r="J131" i="70"/>
  <c r="K131" i="70"/>
  <c r="L131" i="70"/>
  <c r="M131" i="70"/>
  <c r="N131" i="70"/>
  <c r="O131" i="70"/>
  <c r="P131" i="70"/>
  <c r="P136" i="70" s="1"/>
  <c r="Q131" i="70"/>
  <c r="R131" i="70"/>
  <c r="S131" i="70"/>
  <c r="T131" i="70"/>
  <c r="U131" i="70"/>
  <c r="V131" i="70"/>
  <c r="W131" i="70"/>
  <c r="X131" i="70"/>
  <c r="X136" i="70" s="1"/>
  <c r="B127" i="70"/>
  <c r="C127" i="70"/>
  <c r="D127" i="70"/>
  <c r="E127" i="70"/>
  <c r="F127" i="70"/>
  <c r="G127" i="70"/>
  <c r="H127" i="70"/>
  <c r="I127" i="70"/>
  <c r="J127" i="70"/>
  <c r="K127" i="70"/>
  <c r="L127" i="70"/>
  <c r="M127" i="70"/>
  <c r="N127" i="70"/>
  <c r="O127" i="70"/>
  <c r="P127" i="70"/>
  <c r="Q127" i="70"/>
  <c r="R127" i="70"/>
  <c r="S127" i="70"/>
  <c r="T127" i="70"/>
  <c r="U127" i="70"/>
  <c r="V127" i="70"/>
  <c r="W127" i="70"/>
  <c r="X127" i="70"/>
  <c r="B126" i="70"/>
  <c r="C126" i="70"/>
  <c r="D126" i="70"/>
  <c r="E126" i="70"/>
  <c r="F126" i="70"/>
  <c r="G126" i="70"/>
  <c r="H126" i="70"/>
  <c r="I126" i="70"/>
  <c r="J126" i="70"/>
  <c r="K126" i="70"/>
  <c r="L126" i="70"/>
  <c r="M126" i="70"/>
  <c r="N126" i="70"/>
  <c r="O126" i="70"/>
  <c r="P126" i="70"/>
  <c r="Q126" i="70"/>
  <c r="R126" i="70"/>
  <c r="S126" i="70"/>
  <c r="T126" i="70"/>
  <c r="U126" i="70"/>
  <c r="V126" i="70"/>
  <c r="W126" i="70"/>
  <c r="X126" i="70"/>
  <c r="B125" i="70"/>
  <c r="C125" i="70"/>
  <c r="D125" i="70"/>
  <c r="E125" i="70"/>
  <c r="F125" i="70"/>
  <c r="G125" i="70"/>
  <c r="H125" i="70"/>
  <c r="I125" i="70"/>
  <c r="J125" i="70"/>
  <c r="K125" i="70"/>
  <c r="L125" i="70"/>
  <c r="M125" i="70"/>
  <c r="N125" i="70"/>
  <c r="O125" i="70"/>
  <c r="P125" i="70"/>
  <c r="Q125" i="70"/>
  <c r="R125" i="70"/>
  <c r="S125" i="70"/>
  <c r="T125" i="70"/>
  <c r="U125" i="70"/>
  <c r="V125" i="70"/>
  <c r="W125" i="70"/>
  <c r="X125" i="70"/>
  <c r="B124" i="70"/>
  <c r="C124" i="70"/>
  <c r="D124" i="70"/>
  <c r="E124" i="70"/>
  <c r="F124" i="70"/>
  <c r="G124" i="70"/>
  <c r="H124" i="70"/>
  <c r="I124" i="70"/>
  <c r="J124" i="70"/>
  <c r="K124" i="70"/>
  <c r="L124" i="70"/>
  <c r="M124" i="70"/>
  <c r="N124" i="70"/>
  <c r="O124" i="70"/>
  <c r="P124" i="70"/>
  <c r="Q124" i="70"/>
  <c r="R124" i="70"/>
  <c r="S124" i="70"/>
  <c r="T124" i="70"/>
  <c r="U124" i="70"/>
  <c r="V124" i="70"/>
  <c r="W124" i="70"/>
  <c r="X124" i="70"/>
  <c r="B123" i="70"/>
  <c r="C123" i="70"/>
  <c r="D123" i="70"/>
  <c r="D128" i="70" s="1"/>
  <c r="E123" i="70"/>
  <c r="F123" i="70"/>
  <c r="G123" i="70"/>
  <c r="H123" i="70"/>
  <c r="I123" i="70"/>
  <c r="J123" i="70"/>
  <c r="K123" i="70"/>
  <c r="L123" i="70"/>
  <c r="M123" i="70"/>
  <c r="N123" i="70"/>
  <c r="O123" i="70"/>
  <c r="P123" i="70"/>
  <c r="P128" i="70" s="1"/>
  <c r="Q123" i="70"/>
  <c r="R123" i="70"/>
  <c r="S123" i="70"/>
  <c r="T123" i="70"/>
  <c r="T128" i="70" s="1"/>
  <c r="U123" i="70"/>
  <c r="V123" i="70"/>
  <c r="W123" i="70"/>
  <c r="X123" i="70"/>
  <c r="B119" i="70"/>
  <c r="C119" i="70"/>
  <c r="D119" i="70"/>
  <c r="E119" i="70"/>
  <c r="F119" i="70"/>
  <c r="G119" i="70"/>
  <c r="H119" i="70"/>
  <c r="I119" i="70"/>
  <c r="J119" i="70"/>
  <c r="K119" i="70"/>
  <c r="L119" i="70"/>
  <c r="M119" i="70"/>
  <c r="N119" i="70"/>
  <c r="O119" i="70"/>
  <c r="P119" i="70"/>
  <c r="Q119" i="70"/>
  <c r="R119" i="70"/>
  <c r="S119" i="70"/>
  <c r="T119" i="70"/>
  <c r="U119" i="70"/>
  <c r="V119" i="70"/>
  <c r="W119" i="70"/>
  <c r="X119" i="70"/>
  <c r="B118" i="70"/>
  <c r="C118" i="70"/>
  <c r="D118" i="70"/>
  <c r="E118" i="70"/>
  <c r="F118" i="70"/>
  <c r="G118" i="70"/>
  <c r="H118" i="70"/>
  <c r="I118" i="70"/>
  <c r="J118" i="70"/>
  <c r="K118" i="70"/>
  <c r="L118" i="70"/>
  <c r="M118" i="70"/>
  <c r="N118" i="70"/>
  <c r="O118" i="70"/>
  <c r="P118" i="70"/>
  <c r="Q118" i="70"/>
  <c r="R118" i="70"/>
  <c r="S118" i="70"/>
  <c r="T118" i="70"/>
  <c r="U118" i="70"/>
  <c r="V118" i="70"/>
  <c r="W118" i="70"/>
  <c r="X118" i="70"/>
  <c r="B117" i="70"/>
  <c r="C117" i="70"/>
  <c r="D117" i="70"/>
  <c r="E117" i="70"/>
  <c r="F117" i="70"/>
  <c r="G117" i="70"/>
  <c r="H117" i="70"/>
  <c r="I117" i="70"/>
  <c r="J117" i="70"/>
  <c r="K117" i="70"/>
  <c r="L117" i="70"/>
  <c r="M117" i="70"/>
  <c r="N117" i="70"/>
  <c r="O117" i="70"/>
  <c r="P117" i="70"/>
  <c r="Q117" i="70"/>
  <c r="R117" i="70"/>
  <c r="S117" i="70"/>
  <c r="T117" i="70"/>
  <c r="U117" i="70"/>
  <c r="V117" i="70"/>
  <c r="W117" i="70"/>
  <c r="X117" i="70"/>
  <c r="B116" i="70"/>
  <c r="C116" i="70"/>
  <c r="D116" i="70"/>
  <c r="E116" i="70"/>
  <c r="F116" i="70"/>
  <c r="G116" i="70"/>
  <c r="H116" i="70"/>
  <c r="I116" i="70"/>
  <c r="J116" i="70"/>
  <c r="K116" i="70"/>
  <c r="L116" i="70"/>
  <c r="M116" i="70"/>
  <c r="N116" i="70"/>
  <c r="O116" i="70"/>
  <c r="P116" i="70"/>
  <c r="Q116" i="70"/>
  <c r="R116" i="70"/>
  <c r="S116" i="70"/>
  <c r="T116" i="70"/>
  <c r="U116" i="70"/>
  <c r="V116" i="70"/>
  <c r="W116" i="70"/>
  <c r="X116" i="70"/>
  <c r="B115" i="70"/>
  <c r="C115" i="70"/>
  <c r="D115" i="70"/>
  <c r="E115" i="70"/>
  <c r="F115" i="70"/>
  <c r="G115" i="70"/>
  <c r="H115" i="70"/>
  <c r="I115" i="70"/>
  <c r="I120" i="70" s="1"/>
  <c r="J115" i="70"/>
  <c r="K115" i="70"/>
  <c r="L115" i="70"/>
  <c r="M115" i="70"/>
  <c r="N115" i="70"/>
  <c r="O115" i="70"/>
  <c r="P115" i="70"/>
  <c r="Q115" i="70"/>
  <c r="Q120" i="70" s="1"/>
  <c r="R115" i="70"/>
  <c r="S115" i="70"/>
  <c r="S120" i="70" s="1"/>
  <c r="T115" i="70"/>
  <c r="U115" i="70"/>
  <c r="U120" i="70" s="1"/>
  <c r="V115" i="70"/>
  <c r="V120" i="70" s="1"/>
  <c r="W115" i="70"/>
  <c r="X115" i="70"/>
  <c r="X120" i="70" s="1"/>
  <c r="B111" i="70"/>
  <c r="C111" i="70"/>
  <c r="D111" i="70"/>
  <c r="E111" i="70"/>
  <c r="F111" i="70"/>
  <c r="G111" i="70"/>
  <c r="H111" i="70"/>
  <c r="I111" i="70"/>
  <c r="J111" i="70"/>
  <c r="K111" i="70"/>
  <c r="L111" i="70"/>
  <c r="M111" i="70"/>
  <c r="N111" i="70"/>
  <c r="O111" i="70"/>
  <c r="P111" i="70"/>
  <c r="Q111" i="70"/>
  <c r="R111" i="70"/>
  <c r="S111" i="70"/>
  <c r="T111" i="70"/>
  <c r="U111" i="70"/>
  <c r="V111" i="70"/>
  <c r="W111" i="70"/>
  <c r="X111" i="70"/>
  <c r="B110" i="70"/>
  <c r="C110" i="70"/>
  <c r="D110" i="70"/>
  <c r="E110" i="70"/>
  <c r="F110" i="70"/>
  <c r="G110" i="70"/>
  <c r="H110" i="70"/>
  <c r="I110" i="70"/>
  <c r="J110" i="70"/>
  <c r="K110" i="70"/>
  <c r="L110" i="70"/>
  <c r="M110" i="70"/>
  <c r="N110" i="70"/>
  <c r="O110" i="70"/>
  <c r="P110" i="70"/>
  <c r="Q110" i="70"/>
  <c r="R110" i="70"/>
  <c r="S110" i="70"/>
  <c r="T110" i="70"/>
  <c r="U110" i="70"/>
  <c r="V110" i="70"/>
  <c r="W110" i="70"/>
  <c r="X110" i="70"/>
  <c r="B109" i="70"/>
  <c r="C109" i="70"/>
  <c r="D109" i="70"/>
  <c r="E109" i="70"/>
  <c r="F109" i="70"/>
  <c r="G109" i="70"/>
  <c r="H109" i="70"/>
  <c r="I109" i="70"/>
  <c r="J109" i="70"/>
  <c r="K109" i="70"/>
  <c r="L109" i="70"/>
  <c r="M109" i="70"/>
  <c r="N109" i="70"/>
  <c r="O109" i="70"/>
  <c r="P109" i="70"/>
  <c r="Q109" i="70"/>
  <c r="R109" i="70"/>
  <c r="S109" i="70"/>
  <c r="T109" i="70"/>
  <c r="U109" i="70"/>
  <c r="V109" i="70"/>
  <c r="W109" i="70"/>
  <c r="X109" i="70"/>
  <c r="B108" i="70"/>
  <c r="C108" i="70"/>
  <c r="D108" i="70"/>
  <c r="E108" i="70"/>
  <c r="F108" i="70"/>
  <c r="G108" i="70"/>
  <c r="H108" i="70"/>
  <c r="I108" i="70"/>
  <c r="J108" i="70"/>
  <c r="K108" i="70"/>
  <c r="L108" i="70"/>
  <c r="M108" i="70"/>
  <c r="N108" i="70"/>
  <c r="O108" i="70"/>
  <c r="P108" i="70"/>
  <c r="Q108" i="70"/>
  <c r="R108" i="70"/>
  <c r="S108" i="70"/>
  <c r="T108" i="70"/>
  <c r="U108" i="70"/>
  <c r="V108" i="70"/>
  <c r="W108" i="70"/>
  <c r="X108" i="70"/>
  <c r="B107" i="70"/>
  <c r="C107" i="70"/>
  <c r="D107" i="70"/>
  <c r="D112" i="70" s="1"/>
  <c r="E107" i="70"/>
  <c r="F107" i="70"/>
  <c r="F112" i="70" s="1"/>
  <c r="G107" i="70"/>
  <c r="H107" i="70"/>
  <c r="H112" i="70" s="1"/>
  <c r="I107" i="70"/>
  <c r="J107" i="70"/>
  <c r="J112" i="70" s="1"/>
  <c r="K107" i="70"/>
  <c r="K112" i="70" s="1"/>
  <c r="L107" i="70"/>
  <c r="L112" i="70" s="1"/>
  <c r="M107" i="70"/>
  <c r="N107" i="70"/>
  <c r="N112" i="70" s="1"/>
  <c r="O107" i="70"/>
  <c r="O112" i="70" s="1"/>
  <c r="P107" i="70"/>
  <c r="Q107" i="70"/>
  <c r="R107" i="70"/>
  <c r="S107" i="70"/>
  <c r="T107" i="70"/>
  <c r="U107" i="70"/>
  <c r="V107" i="70"/>
  <c r="W107" i="70"/>
  <c r="X107" i="70"/>
  <c r="B103" i="70"/>
  <c r="C103" i="70"/>
  <c r="D103" i="70"/>
  <c r="E103" i="70"/>
  <c r="F103" i="70"/>
  <c r="G103" i="70"/>
  <c r="H103" i="70"/>
  <c r="I103" i="70"/>
  <c r="J103" i="70"/>
  <c r="K103" i="70"/>
  <c r="L103" i="70"/>
  <c r="M103" i="70"/>
  <c r="N103" i="70"/>
  <c r="O103" i="70"/>
  <c r="P103" i="70"/>
  <c r="Q103" i="70"/>
  <c r="R103" i="70"/>
  <c r="S103" i="70"/>
  <c r="T103" i="70"/>
  <c r="U103" i="70"/>
  <c r="V103" i="70"/>
  <c r="W103" i="70"/>
  <c r="X103" i="70"/>
  <c r="B102" i="70"/>
  <c r="C102" i="70"/>
  <c r="D102" i="70"/>
  <c r="E102" i="70"/>
  <c r="F102" i="70"/>
  <c r="G102" i="70"/>
  <c r="H102" i="70"/>
  <c r="I102" i="70"/>
  <c r="J102" i="70"/>
  <c r="K102" i="70"/>
  <c r="L102" i="70"/>
  <c r="M102" i="70"/>
  <c r="N102" i="70"/>
  <c r="O102" i="70"/>
  <c r="P102" i="70"/>
  <c r="Q102" i="70"/>
  <c r="R102" i="70"/>
  <c r="S102" i="70"/>
  <c r="T102" i="70"/>
  <c r="U102" i="70"/>
  <c r="V102" i="70"/>
  <c r="W102" i="70"/>
  <c r="X102" i="70"/>
  <c r="B101" i="70"/>
  <c r="C101" i="70"/>
  <c r="D101" i="70"/>
  <c r="E101" i="70"/>
  <c r="F101" i="70"/>
  <c r="G101" i="70"/>
  <c r="H101" i="70"/>
  <c r="I101" i="70"/>
  <c r="J101" i="70"/>
  <c r="K101" i="70"/>
  <c r="L101" i="70"/>
  <c r="M101" i="70"/>
  <c r="N101" i="70"/>
  <c r="O101" i="70"/>
  <c r="P101" i="70"/>
  <c r="Q101" i="70"/>
  <c r="R101" i="70"/>
  <c r="S101" i="70"/>
  <c r="T101" i="70"/>
  <c r="U101" i="70"/>
  <c r="V101" i="70"/>
  <c r="W101" i="70"/>
  <c r="X101" i="70"/>
  <c r="B100" i="70"/>
  <c r="C100" i="70"/>
  <c r="D100" i="70"/>
  <c r="E100" i="70"/>
  <c r="F100" i="70"/>
  <c r="G100" i="70"/>
  <c r="H100" i="70"/>
  <c r="I100" i="70"/>
  <c r="J100" i="70"/>
  <c r="K100" i="70"/>
  <c r="L100" i="70"/>
  <c r="M100" i="70"/>
  <c r="N100" i="70"/>
  <c r="O100" i="70"/>
  <c r="P100" i="70"/>
  <c r="Q100" i="70"/>
  <c r="R100" i="70"/>
  <c r="S100" i="70"/>
  <c r="T100" i="70"/>
  <c r="U100" i="70"/>
  <c r="V100" i="70"/>
  <c r="W100" i="70"/>
  <c r="X100" i="70"/>
  <c r="B99" i="70"/>
  <c r="C99" i="70"/>
  <c r="C104" i="70" s="1"/>
  <c r="D99" i="70"/>
  <c r="D104" i="70" s="1"/>
  <c r="E99" i="70"/>
  <c r="E104" i="70" s="1"/>
  <c r="F99" i="70"/>
  <c r="G99" i="70"/>
  <c r="H99" i="70"/>
  <c r="H104" i="70" s="1"/>
  <c r="I99" i="70"/>
  <c r="J99" i="70"/>
  <c r="J104" i="70" s="1"/>
  <c r="K99" i="70"/>
  <c r="L99" i="70"/>
  <c r="M99" i="70"/>
  <c r="N99" i="70"/>
  <c r="O99" i="70"/>
  <c r="P99" i="70"/>
  <c r="Q99" i="70"/>
  <c r="R99" i="70"/>
  <c r="S99" i="70"/>
  <c r="T99" i="70"/>
  <c r="U99" i="70"/>
  <c r="V99" i="70"/>
  <c r="W99" i="70"/>
  <c r="X99" i="70"/>
  <c r="X104" i="70" s="1"/>
  <c r="B95" i="70"/>
  <c r="C95" i="70"/>
  <c r="D95" i="70"/>
  <c r="E95" i="70"/>
  <c r="F95" i="70"/>
  <c r="G95" i="70"/>
  <c r="H95" i="70"/>
  <c r="I95" i="70"/>
  <c r="J95" i="70"/>
  <c r="K95" i="70"/>
  <c r="L95" i="70"/>
  <c r="M95" i="70"/>
  <c r="N95" i="70"/>
  <c r="O95" i="70"/>
  <c r="P95" i="70"/>
  <c r="Q95" i="70"/>
  <c r="R95" i="70"/>
  <c r="S95" i="70"/>
  <c r="T95" i="70"/>
  <c r="U95" i="70"/>
  <c r="V95" i="70"/>
  <c r="W95" i="70"/>
  <c r="X95" i="70"/>
  <c r="B94" i="70"/>
  <c r="C94" i="70"/>
  <c r="D94" i="70"/>
  <c r="E94" i="70"/>
  <c r="F94" i="70"/>
  <c r="G94" i="70"/>
  <c r="H94" i="70"/>
  <c r="I94" i="70"/>
  <c r="J94" i="70"/>
  <c r="K94" i="70"/>
  <c r="L94" i="70"/>
  <c r="M94" i="70"/>
  <c r="N94" i="70"/>
  <c r="O94" i="70"/>
  <c r="P94" i="70"/>
  <c r="Q94" i="70"/>
  <c r="R94" i="70"/>
  <c r="S94" i="70"/>
  <c r="T94" i="70"/>
  <c r="U94" i="70"/>
  <c r="V94" i="70"/>
  <c r="W94" i="70"/>
  <c r="X94" i="70"/>
  <c r="B93" i="70"/>
  <c r="C93" i="70"/>
  <c r="D93" i="70"/>
  <c r="E93" i="70"/>
  <c r="F93" i="70"/>
  <c r="G93" i="70"/>
  <c r="H93" i="70"/>
  <c r="I93" i="70"/>
  <c r="J93" i="70"/>
  <c r="K93" i="70"/>
  <c r="L93" i="70"/>
  <c r="M93" i="70"/>
  <c r="N93" i="70"/>
  <c r="O93" i="70"/>
  <c r="P93" i="70"/>
  <c r="Q93" i="70"/>
  <c r="R93" i="70"/>
  <c r="S93" i="70"/>
  <c r="T93" i="70"/>
  <c r="U93" i="70"/>
  <c r="V93" i="70"/>
  <c r="W93" i="70"/>
  <c r="X93" i="70"/>
  <c r="B92" i="70"/>
  <c r="C92" i="70"/>
  <c r="D92" i="70"/>
  <c r="E92" i="70"/>
  <c r="F92" i="70"/>
  <c r="G92" i="70"/>
  <c r="H92" i="70"/>
  <c r="I92" i="70"/>
  <c r="J92" i="70"/>
  <c r="K92" i="70"/>
  <c r="L92" i="70"/>
  <c r="M92" i="70"/>
  <c r="N92" i="70"/>
  <c r="O92" i="70"/>
  <c r="P92" i="70"/>
  <c r="Q92" i="70"/>
  <c r="R92" i="70"/>
  <c r="S92" i="70"/>
  <c r="T92" i="70"/>
  <c r="U92" i="70"/>
  <c r="V92" i="70"/>
  <c r="W92" i="70"/>
  <c r="X92" i="70"/>
  <c r="B91" i="70"/>
  <c r="C91" i="70"/>
  <c r="D91" i="70"/>
  <c r="E91" i="70"/>
  <c r="F91" i="70"/>
  <c r="G91" i="70"/>
  <c r="H91" i="70"/>
  <c r="I91" i="70"/>
  <c r="J91" i="70"/>
  <c r="K91" i="70"/>
  <c r="L91" i="70"/>
  <c r="M91" i="70"/>
  <c r="N91" i="70"/>
  <c r="O91" i="70"/>
  <c r="O96" i="70" s="1"/>
  <c r="P91" i="70"/>
  <c r="Q91" i="70"/>
  <c r="Q96" i="70" s="1"/>
  <c r="R91" i="70"/>
  <c r="R96" i="70" s="1"/>
  <c r="S91" i="70"/>
  <c r="S96" i="70" s="1"/>
  <c r="T91" i="70"/>
  <c r="T96" i="70" s="1"/>
  <c r="U91" i="70"/>
  <c r="U96" i="70" s="1"/>
  <c r="V91" i="70"/>
  <c r="W91" i="70"/>
  <c r="X91" i="70"/>
  <c r="B87" i="70"/>
  <c r="C87" i="70"/>
  <c r="D87" i="70"/>
  <c r="E87" i="70"/>
  <c r="F87" i="70"/>
  <c r="G87" i="70"/>
  <c r="H87" i="70"/>
  <c r="I87" i="70"/>
  <c r="J87" i="70"/>
  <c r="K87" i="70"/>
  <c r="L87" i="70"/>
  <c r="M87" i="70"/>
  <c r="N87" i="70"/>
  <c r="O87" i="70"/>
  <c r="P87" i="70"/>
  <c r="Q87" i="70"/>
  <c r="R87" i="70"/>
  <c r="S87" i="70"/>
  <c r="T87" i="70"/>
  <c r="U87" i="70"/>
  <c r="V87" i="70"/>
  <c r="W87" i="70"/>
  <c r="X87" i="70"/>
  <c r="B86" i="70"/>
  <c r="C86" i="70"/>
  <c r="D86" i="70"/>
  <c r="E86" i="70"/>
  <c r="F86" i="70"/>
  <c r="G86" i="70"/>
  <c r="H86" i="70"/>
  <c r="I86" i="70"/>
  <c r="J86" i="70"/>
  <c r="K86" i="70"/>
  <c r="L86" i="70"/>
  <c r="M86" i="70"/>
  <c r="N86" i="70"/>
  <c r="O86" i="70"/>
  <c r="P86" i="70"/>
  <c r="Q86" i="70"/>
  <c r="R86" i="70"/>
  <c r="S86" i="70"/>
  <c r="T86" i="70"/>
  <c r="U86" i="70"/>
  <c r="V86" i="70"/>
  <c r="W86" i="70"/>
  <c r="X86" i="70"/>
  <c r="B85" i="70"/>
  <c r="C85" i="70"/>
  <c r="D85" i="70"/>
  <c r="E85" i="70"/>
  <c r="F85" i="70"/>
  <c r="G85" i="70"/>
  <c r="H85" i="70"/>
  <c r="I85" i="70"/>
  <c r="J85" i="70"/>
  <c r="K85" i="70"/>
  <c r="L85" i="70"/>
  <c r="M85" i="70"/>
  <c r="N85" i="70"/>
  <c r="O85" i="70"/>
  <c r="P85" i="70"/>
  <c r="Q85" i="70"/>
  <c r="R85" i="70"/>
  <c r="S85" i="70"/>
  <c r="T85" i="70"/>
  <c r="U85" i="70"/>
  <c r="V85" i="70"/>
  <c r="W85" i="70"/>
  <c r="X85" i="70"/>
  <c r="B84" i="70"/>
  <c r="C84" i="70"/>
  <c r="D84" i="70"/>
  <c r="E84" i="70"/>
  <c r="F84" i="70"/>
  <c r="G84" i="70"/>
  <c r="H84" i="70"/>
  <c r="I84" i="70"/>
  <c r="J84" i="70"/>
  <c r="K84" i="70"/>
  <c r="L84" i="70"/>
  <c r="M84" i="70"/>
  <c r="N84" i="70"/>
  <c r="O84" i="70"/>
  <c r="P84" i="70"/>
  <c r="Q84" i="70"/>
  <c r="R84" i="70"/>
  <c r="S84" i="70"/>
  <c r="T84" i="70"/>
  <c r="U84" i="70"/>
  <c r="V84" i="70"/>
  <c r="W84" i="70"/>
  <c r="X84" i="70"/>
  <c r="B83" i="70"/>
  <c r="C83" i="70"/>
  <c r="D83" i="70"/>
  <c r="E83" i="70"/>
  <c r="F83" i="70"/>
  <c r="F88" i="70" s="1"/>
  <c r="G83" i="70"/>
  <c r="G88" i="70" s="1"/>
  <c r="H83" i="70"/>
  <c r="I83" i="70"/>
  <c r="J83" i="70"/>
  <c r="J88" i="70" s="1"/>
  <c r="K83" i="70"/>
  <c r="K88" i="70" s="1"/>
  <c r="L83" i="70"/>
  <c r="M83" i="70"/>
  <c r="N83" i="70"/>
  <c r="O83" i="70"/>
  <c r="P83" i="70"/>
  <c r="Q83" i="70"/>
  <c r="Q88" i="70" s="1"/>
  <c r="R83" i="70"/>
  <c r="S83" i="70"/>
  <c r="S88" i="70" s="1"/>
  <c r="T83" i="70"/>
  <c r="U83" i="70"/>
  <c r="V83" i="70"/>
  <c r="V88" i="70" s="1"/>
  <c r="W83" i="70"/>
  <c r="X83" i="70"/>
  <c r="B79" i="70"/>
  <c r="C79" i="70"/>
  <c r="D79" i="70"/>
  <c r="E79" i="70"/>
  <c r="F79" i="70"/>
  <c r="G79" i="70"/>
  <c r="H79" i="70"/>
  <c r="I79" i="70"/>
  <c r="J79" i="70"/>
  <c r="K79" i="70"/>
  <c r="L79" i="70"/>
  <c r="M79" i="70"/>
  <c r="N79" i="70"/>
  <c r="O79" i="70"/>
  <c r="P79" i="70"/>
  <c r="Q79" i="70"/>
  <c r="R79" i="70"/>
  <c r="S79" i="70"/>
  <c r="T79" i="70"/>
  <c r="U79" i="70"/>
  <c r="V79" i="70"/>
  <c r="W79" i="70"/>
  <c r="X79" i="70"/>
  <c r="B78" i="70"/>
  <c r="C78" i="70"/>
  <c r="D78" i="70"/>
  <c r="E78" i="70"/>
  <c r="F78" i="70"/>
  <c r="G78" i="70"/>
  <c r="H78" i="70"/>
  <c r="I78" i="70"/>
  <c r="J78" i="70"/>
  <c r="K78" i="70"/>
  <c r="L78" i="70"/>
  <c r="M78" i="70"/>
  <c r="N78" i="70"/>
  <c r="O78" i="70"/>
  <c r="P78" i="70"/>
  <c r="Q78" i="70"/>
  <c r="R78" i="70"/>
  <c r="S78" i="70"/>
  <c r="T78" i="70"/>
  <c r="U78" i="70"/>
  <c r="V78" i="70"/>
  <c r="W78" i="70"/>
  <c r="X78" i="70"/>
  <c r="B77" i="70"/>
  <c r="C77" i="70"/>
  <c r="D77" i="70"/>
  <c r="E77" i="70"/>
  <c r="F77" i="70"/>
  <c r="G77" i="70"/>
  <c r="H77" i="70"/>
  <c r="I77" i="70"/>
  <c r="J77" i="70"/>
  <c r="K77" i="70"/>
  <c r="L77" i="70"/>
  <c r="M77" i="70"/>
  <c r="N77" i="70"/>
  <c r="O77" i="70"/>
  <c r="P77" i="70"/>
  <c r="Q77" i="70"/>
  <c r="R77" i="70"/>
  <c r="S77" i="70"/>
  <c r="T77" i="70"/>
  <c r="U77" i="70"/>
  <c r="V77" i="70"/>
  <c r="W77" i="70"/>
  <c r="X77" i="70"/>
  <c r="B76" i="70"/>
  <c r="C76" i="70"/>
  <c r="D76" i="70"/>
  <c r="E76" i="70"/>
  <c r="F76" i="70"/>
  <c r="G76" i="70"/>
  <c r="H76" i="70"/>
  <c r="I76" i="70"/>
  <c r="J76" i="70"/>
  <c r="K76" i="70"/>
  <c r="L76" i="70"/>
  <c r="M76" i="70"/>
  <c r="N76" i="70"/>
  <c r="O76" i="70"/>
  <c r="P76" i="70"/>
  <c r="Q76" i="70"/>
  <c r="R76" i="70"/>
  <c r="S76" i="70"/>
  <c r="T76" i="70"/>
  <c r="U76" i="70"/>
  <c r="V76" i="70"/>
  <c r="W76" i="70"/>
  <c r="X76" i="70"/>
  <c r="B75" i="70"/>
  <c r="C75" i="70"/>
  <c r="D75" i="70"/>
  <c r="E75" i="70"/>
  <c r="F75" i="70"/>
  <c r="F80" i="70" s="1"/>
  <c r="G75" i="70"/>
  <c r="H75" i="70"/>
  <c r="I75" i="70"/>
  <c r="J75" i="70"/>
  <c r="K75" i="70"/>
  <c r="L75" i="70"/>
  <c r="M75" i="70"/>
  <c r="N75" i="70"/>
  <c r="O75" i="70"/>
  <c r="O80" i="70" s="1"/>
  <c r="P75" i="70"/>
  <c r="Q75" i="70"/>
  <c r="Q80" i="70" s="1"/>
  <c r="R75" i="70"/>
  <c r="R80" i="70" s="1"/>
  <c r="S75" i="70"/>
  <c r="T75" i="70"/>
  <c r="U75" i="70"/>
  <c r="U80" i="70" s="1"/>
  <c r="V75" i="70"/>
  <c r="W75" i="70"/>
  <c r="X75" i="70"/>
  <c r="B71" i="70"/>
  <c r="C71" i="70"/>
  <c r="D71" i="70"/>
  <c r="E71" i="70"/>
  <c r="F71" i="70"/>
  <c r="G71" i="70"/>
  <c r="H71" i="70"/>
  <c r="I71" i="70"/>
  <c r="J71" i="70"/>
  <c r="K71" i="70"/>
  <c r="L71" i="70"/>
  <c r="M71" i="70"/>
  <c r="N71" i="70"/>
  <c r="O71" i="70"/>
  <c r="P71" i="70"/>
  <c r="Q71" i="70"/>
  <c r="R71" i="70"/>
  <c r="S71" i="70"/>
  <c r="T71" i="70"/>
  <c r="U71" i="70"/>
  <c r="V71" i="70"/>
  <c r="W71" i="70"/>
  <c r="X71" i="70"/>
  <c r="B70" i="70"/>
  <c r="C70" i="70"/>
  <c r="D70" i="70"/>
  <c r="E70" i="70"/>
  <c r="F70" i="70"/>
  <c r="G70" i="70"/>
  <c r="H70" i="70"/>
  <c r="I70" i="70"/>
  <c r="J70" i="70"/>
  <c r="K70" i="70"/>
  <c r="L70" i="70"/>
  <c r="M70" i="70"/>
  <c r="N70" i="70"/>
  <c r="O70" i="70"/>
  <c r="P70" i="70"/>
  <c r="Q70" i="70"/>
  <c r="R70" i="70"/>
  <c r="S70" i="70"/>
  <c r="T70" i="70"/>
  <c r="U70" i="70"/>
  <c r="V70" i="70"/>
  <c r="W70" i="70"/>
  <c r="X70" i="70"/>
  <c r="B69" i="70"/>
  <c r="C69" i="70"/>
  <c r="D69" i="70"/>
  <c r="E69" i="70"/>
  <c r="F69" i="70"/>
  <c r="G69" i="70"/>
  <c r="H69" i="70"/>
  <c r="I69" i="70"/>
  <c r="J69" i="70"/>
  <c r="K69" i="70"/>
  <c r="L69" i="70"/>
  <c r="M69" i="70"/>
  <c r="N69" i="70"/>
  <c r="O69" i="70"/>
  <c r="P69" i="70"/>
  <c r="Q69" i="70"/>
  <c r="R69" i="70"/>
  <c r="S69" i="70"/>
  <c r="T69" i="70"/>
  <c r="U69" i="70"/>
  <c r="V69" i="70"/>
  <c r="W69" i="70"/>
  <c r="X69" i="70"/>
  <c r="B68" i="70"/>
  <c r="C68" i="70"/>
  <c r="D68" i="70"/>
  <c r="E68" i="70"/>
  <c r="F68" i="70"/>
  <c r="G68" i="70"/>
  <c r="H68" i="70"/>
  <c r="I68" i="70"/>
  <c r="J68" i="70"/>
  <c r="K68" i="70"/>
  <c r="L68" i="70"/>
  <c r="M68" i="70"/>
  <c r="N68" i="70"/>
  <c r="O68" i="70"/>
  <c r="P68" i="70"/>
  <c r="Q68" i="70"/>
  <c r="R68" i="70"/>
  <c r="S68" i="70"/>
  <c r="T68" i="70"/>
  <c r="U68" i="70"/>
  <c r="V68" i="70"/>
  <c r="W68" i="70"/>
  <c r="X68" i="70"/>
  <c r="B67" i="70"/>
  <c r="C67" i="70"/>
  <c r="D67" i="70"/>
  <c r="E67" i="70"/>
  <c r="F67" i="70"/>
  <c r="G67" i="70"/>
  <c r="H67" i="70"/>
  <c r="I67" i="70"/>
  <c r="J67" i="70"/>
  <c r="J72" i="70" s="1"/>
  <c r="K67" i="70"/>
  <c r="L67" i="70"/>
  <c r="L72" i="70" s="1"/>
  <c r="M67" i="70"/>
  <c r="M72" i="70" s="1"/>
  <c r="N67" i="70"/>
  <c r="N72" i="70" s="1"/>
  <c r="O67" i="70"/>
  <c r="O72" i="70" s="1"/>
  <c r="P67" i="70"/>
  <c r="Q67" i="70"/>
  <c r="R67" i="70"/>
  <c r="S67" i="70"/>
  <c r="T67" i="70"/>
  <c r="U67" i="70"/>
  <c r="U72" i="70" s="1"/>
  <c r="V67" i="70"/>
  <c r="W67" i="70"/>
  <c r="W72" i="70" s="1"/>
  <c r="X67" i="70"/>
  <c r="X72" i="70" s="1"/>
  <c r="B63" i="70"/>
  <c r="C63" i="70"/>
  <c r="D63" i="70"/>
  <c r="E63" i="70"/>
  <c r="F63" i="70"/>
  <c r="G63" i="70"/>
  <c r="H63" i="70"/>
  <c r="I63" i="70"/>
  <c r="J63" i="70"/>
  <c r="K63" i="70"/>
  <c r="L63" i="70"/>
  <c r="M63" i="70"/>
  <c r="N63" i="70"/>
  <c r="O63" i="70"/>
  <c r="P63" i="70"/>
  <c r="Q63" i="70"/>
  <c r="R63" i="70"/>
  <c r="S63" i="70"/>
  <c r="T63" i="70"/>
  <c r="U63" i="70"/>
  <c r="V63" i="70"/>
  <c r="W63" i="70"/>
  <c r="X63" i="70"/>
  <c r="B62" i="70"/>
  <c r="C62" i="70"/>
  <c r="D62" i="70"/>
  <c r="E62" i="70"/>
  <c r="F62" i="70"/>
  <c r="G62" i="70"/>
  <c r="H62" i="70"/>
  <c r="I62" i="70"/>
  <c r="J62" i="70"/>
  <c r="K62" i="70"/>
  <c r="L62" i="70"/>
  <c r="M62" i="70"/>
  <c r="N62" i="70"/>
  <c r="O62" i="70"/>
  <c r="P62" i="70"/>
  <c r="Q62" i="70"/>
  <c r="R62" i="70"/>
  <c r="S62" i="70"/>
  <c r="T62" i="70"/>
  <c r="U62" i="70"/>
  <c r="V62" i="70"/>
  <c r="W62" i="70"/>
  <c r="X62" i="70"/>
  <c r="B61" i="70"/>
  <c r="C61" i="70"/>
  <c r="D61" i="70"/>
  <c r="E61" i="70"/>
  <c r="F61" i="70"/>
  <c r="G61" i="70"/>
  <c r="H61" i="70"/>
  <c r="I61" i="70"/>
  <c r="J61" i="70"/>
  <c r="K61" i="70"/>
  <c r="L61" i="70"/>
  <c r="M61" i="70"/>
  <c r="N61" i="70"/>
  <c r="O61" i="70"/>
  <c r="P61" i="70"/>
  <c r="Q61" i="70"/>
  <c r="R61" i="70"/>
  <c r="S61" i="70"/>
  <c r="T61" i="70"/>
  <c r="U61" i="70"/>
  <c r="V61" i="70"/>
  <c r="W61" i="70"/>
  <c r="X61" i="70"/>
  <c r="B60" i="70"/>
  <c r="C60" i="70"/>
  <c r="D60" i="70"/>
  <c r="E60" i="70"/>
  <c r="F60" i="70"/>
  <c r="G60" i="70"/>
  <c r="H60" i="70"/>
  <c r="I60" i="70"/>
  <c r="J60" i="70"/>
  <c r="K60" i="70"/>
  <c r="L60" i="70"/>
  <c r="M60" i="70"/>
  <c r="N60" i="70"/>
  <c r="O60" i="70"/>
  <c r="P60" i="70"/>
  <c r="Q60" i="70"/>
  <c r="R60" i="70"/>
  <c r="S60" i="70"/>
  <c r="T60" i="70"/>
  <c r="U60" i="70"/>
  <c r="V60" i="70"/>
  <c r="W60" i="70"/>
  <c r="X60" i="70"/>
  <c r="B59" i="70"/>
  <c r="C59" i="70"/>
  <c r="D59" i="70"/>
  <c r="E59" i="70"/>
  <c r="F59" i="70"/>
  <c r="G59" i="70"/>
  <c r="H59" i="70"/>
  <c r="I59" i="70"/>
  <c r="J59" i="70"/>
  <c r="J64" i="70" s="1"/>
  <c r="K59" i="70"/>
  <c r="K64" i="70" s="1"/>
  <c r="L59" i="70"/>
  <c r="M59" i="70"/>
  <c r="N59" i="70"/>
  <c r="O59" i="70"/>
  <c r="P59" i="70"/>
  <c r="Q59" i="70"/>
  <c r="R59" i="70"/>
  <c r="R64" i="70" s="1"/>
  <c r="S59" i="70"/>
  <c r="S64" i="70" s="1"/>
  <c r="T59" i="70"/>
  <c r="U59" i="70"/>
  <c r="V59" i="70"/>
  <c r="W59" i="70"/>
  <c r="X59" i="70"/>
  <c r="B55" i="70"/>
  <c r="C55" i="70"/>
  <c r="D55" i="70"/>
  <c r="E55" i="70"/>
  <c r="F55" i="70"/>
  <c r="G55" i="70"/>
  <c r="H55" i="70"/>
  <c r="I55" i="70"/>
  <c r="J55" i="70"/>
  <c r="K55" i="70"/>
  <c r="L55" i="70"/>
  <c r="M55" i="70"/>
  <c r="N55" i="70"/>
  <c r="O55" i="70"/>
  <c r="P55" i="70"/>
  <c r="Q55" i="70"/>
  <c r="R55" i="70"/>
  <c r="S55" i="70"/>
  <c r="T55" i="70"/>
  <c r="U55" i="70"/>
  <c r="V55" i="70"/>
  <c r="W55" i="70"/>
  <c r="X55" i="70"/>
  <c r="B54" i="70"/>
  <c r="C54" i="70"/>
  <c r="D54" i="70"/>
  <c r="E54" i="70"/>
  <c r="F54" i="70"/>
  <c r="G54" i="70"/>
  <c r="H54" i="70"/>
  <c r="I54" i="70"/>
  <c r="J54" i="70"/>
  <c r="K54" i="70"/>
  <c r="L54" i="70"/>
  <c r="M54" i="70"/>
  <c r="N54" i="70"/>
  <c r="O54" i="70"/>
  <c r="P54" i="70"/>
  <c r="Q54" i="70"/>
  <c r="R54" i="70"/>
  <c r="S54" i="70"/>
  <c r="T54" i="70"/>
  <c r="U54" i="70"/>
  <c r="V54" i="70"/>
  <c r="W54" i="70"/>
  <c r="X54" i="70"/>
  <c r="B53" i="70"/>
  <c r="C53" i="70"/>
  <c r="D53" i="70"/>
  <c r="E53" i="70"/>
  <c r="F53" i="70"/>
  <c r="G53" i="70"/>
  <c r="H53" i="70"/>
  <c r="I53" i="70"/>
  <c r="J53" i="70"/>
  <c r="K53" i="70"/>
  <c r="L53" i="70"/>
  <c r="M53" i="70"/>
  <c r="N53" i="70"/>
  <c r="O53" i="70"/>
  <c r="P53" i="70"/>
  <c r="Q53" i="70"/>
  <c r="R53" i="70"/>
  <c r="S53" i="70"/>
  <c r="T53" i="70"/>
  <c r="U53" i="70"/>
  <c r="V53" i="70"/>
  <c r="W53" i="70"/>
  <c r="X53" i="70"/>
  <c r="B52" i="70"/>
  <c r="C52" i="70"/>
  <c r="D52" i="70"/>
  <c r="E52" i="70"/>
  <c r="F52" i="70"/>
  <c r="G52" i="70"/>
  <c r="H52" i="70"/>
  <c r="I52" i="70"/>
  <c r="J52" i="70"/>
  <c r="K52" i="70"/>
  <c r="L52" i="70"/>
  <c r="M52" i="70"/>
  <c r="N52" i="70"/>
  <c r="O52" i="70"/>
  <c r="P52" i="70"/>
  <c r="Q52" i="70"/>
  <c r="R52" i="70"/>
  <c r="S52" i="70"/>
  <c r="T52" i="70"/>
  <c r="U52" i="70"/>
  <c r="V52" i="70"/>
  <c r="W52" i="70"/>
  <c r="X52" i="70"/>
  <c r="B51" i="70"/>
  <c r="C51" i="70"/>
  <c r="C56" i="70" s="1"/>
  <c r="D51" i="70"/>
  <c r="E51" i="70"/>
  <c r="F51" i="70"/>
  <c r="F56" i="70" s="1"/>
  <c r="G51" i="70"/>
  <c r="H51" i="70"/>
  <c r="I51" i="70"/>
  <c r="J51" i="70"/>
  <c r="J56" i="70" s="1"/>
  <c r="K51" i="70"/>
  <c r="L51" i="70"/>
  <c r="L56" i="70" s="1"/>
  <c r="M51" i="70"/>
  <c r="N51" i="70"/>
  <c r="N56" i="70" s="1"/>
  <c r="O51" i="70"/>
  <c r="P51" i="70"/>
  <c r="P56" i="70" s="1"/>
  <c r="Q51" i="70"/>
  <c r="R51" i="70"/>
  <c r="S51" i="70"/>
  <c r="T51" i="70"/>
  <c r="U51" i="70"/>
  <c r="V51" i="70"/>
  <c r="W51" i="70"/>
  <c r="X51" i="70"/>
  <c r="B47" i="70"/>
  <c r="C47" i="70"/>
  <c r="D47" i="70"/>
  <c r="E47" i="70"/>
  <c r="F47" i="70"/>
  <c r="G47" i="70"/>
  <c r="H47" i="70"/>
  <c r="I47" i="70"/>
  <c r="J47" i="70"/>
  <c r="K47" i="70"/>
  <c r="L47" i="70"/>
  <c r="M47" i="70"/>
  <c r="N47" i="70"/>
  <c r="O47" i="70"/>
  <c r="P47" i="70"/>
  <c r="Q47" i="70"/>
  <c r="R47" i="70"/>
  <c r="S47" i="70"/>
  <c r="T47" i="70"/>
  <c r="U47" i="70"/>
  <c r="V47" i="70"/>
  <c r="W47" i="70"/>
  <c r="X47" i="70"/>
  <c r="B46" i="70"/>
  <c r="C46" i="70"/>
  <c r="D46" i="70"/>
  <c r="E46" i="70"/>
  <c r="F46" i="70"/>
  <c r="G46" i="70"/>
  <c r="H46" i="70"/>
  <c r="I46" i="70"/>
  <c r="J46" i="70"/>
  <c r="K46" i="70"/>
  <c r="L46" i="70"/>
  <c r="M46" i="70"/>
  <c r="N46" i="70"/>
  <c r="O46" i="70"/>
  <c r="P46" i="70"/>
  <c r="Q46" i="70"/>
  <c r="R46" i="70"/>
  <c r="S46" i="70"/>
  <c r="T46" i="70"/>
  <c r="U46" i="70"/>
  <c r="V46" i="70"/>
  <c r="W46" i="70"/>
  <c r="X46" i="70"/>
  <c r="B45" i="70"/>
  <c r="C45" i="70"/>
  <c r="D45" i="70"/>
  <c r="E45" i="70"/>
  <c r="F45" i="70"/>
  <c r="G45" i="70"/>
  <c r="H45" i="70"/>
  <c r="I45" i="70"/>
  <c r="J45" i="70"/>
  <c r="K45" i="70"/>
  <c r="L45" i="70"/>
  <c r="M45" i="70"/>
  <c r="N45" i="70"/>
  <c r="O45" i="70"/>
  <c r="P45" i="70"/>
  <c r="Q45" i="70"/>
  <c r="R45" i="70"/>
  <c r="S45" i="70"/>
  <c r="T45" i="70"/>
  <c r="U45" i="70"/>
  <c r="V45" i="70"/>
  <c r="W45" i="70"/>
  <c r="X45" i="70"/>
  <c r="B44" i="70"/>
  <c r="C44" i="70"/>
  <c r="D44" i="70"/>
  <c r="E44" i="70"/>
  <c r="F44" i="70"/>
  <c r="G44" i="70"/>
  <c r="H44" i="70"/>
  <c r="I44" i="70"/>
  <c r="J44" i="70"/>
  <c r="K44" i="70"/>
  <c r="L44" i="70"/>
  <c r="M44" i="70"/>
  <c r="N44" i="70"/>
  <c r="O44" i="70"/>
  <c r="P44" i="70"/>
  <c r="Q44" i="70"/>
  <c r="R44" i="70"/>
  <c r="S44" i="70"/>
  <c r="T44" i="70"/>
  <c r="U44" i="70"/>
  <c r="V44" i="70"/>
  <c r="W44" i="70"/>
  <c r="X44" i="70"/>
  <c r="B43" i="70"/>
  <c r="C43" i="70"/>
  <c r="D43" i="70"/>
  <c r="D48" i="70" s="1"/>
  <c r="E43" i="70"/>
  <c r="F43" i="70"/>
  <c r="F48" i="70" s="1"/>
  <c r="G43" i="70"/>
  <c r="H43" i="70"/>
  <c r="H48" i="70" s="1"/>
  <c r="I43" i="70"/>
  <c r="J43" i="70"/>
  <c r="K43" i="70"/>
  <c r="L43" i="70"/>
  <c r="M43" i="70"/>
  <c r="N43" i="70"/>
  <c r="O43" i="70"/>
  <c r="P43" i="70"/>
  <c r="Q43" i="70"/>
  <c r="R43" i="70"/>
  <c r="S43" i="70"/>
  <c r="T43" i="70"/>
  <c r="U43" i="70"/>
  <c r="U48" i="70" s="1"/>
  <c r="V43" i="70"/>
  <c r="W43" i="70"/>
  <c r="X43" i="70"/>
  <c r="B39" i="70"/>
  <c r="C39" i="70"/>
  <c r="D39" i="70"/>
  <c r="E39" i="70"/>
  <c r="F39" i="70"/>
  <c r="G39" i="70"/>
  <c r="H39" i="70"/>
  <c r="I39" i="70"/>
  <c r="J39" i="70"/>
  <c r="K39" i="70"/>
  <c r="L39" i="70"/>
  <c r="M39" i="70"/>
  <c r="N39" i="70"/>
  <c r="O39" i="70"/>
  <c r="P39" i="70"/>
  <c r="Q39" i="70"/>
  <c r="R39" i="70"/>
  <c r="S39" i="70"/>
  <c r="T39" i="70"/>
  <c r="U39" i="70"/>
  <c r="V39" i="70"/>
  <c r="W39" i="70"/>
  <c r="X39" i="70"/>
  <c r="B38" i="70"/>
  <c r="C38" i="70"/>
  <c r="D38" i="70"/>
  <c r="E38" i="70"/>
  <c r="F38" i="70"/>
  <c r="G38" i="70"/>
  <c r="H38" i="70"/>
  <c r="I38" i="70"/>
  <c r="J38" i="70"/>
  <c r="K38" i="70"/>
  <c r="L38" i="70"/>
  <c r="M38" i="70"/>
  <c r="N38" i="70"/>
  <c r="O38" i="70"/>
  <c r="P38" i="70"/>
  <c r="Q38" i="70"/>
  <c r="R38" i="70"/>
  <c r="S38" i="70"/>
  <c r="T38" i="70"/>
  <c r="U38" i="70"/>
  <c r="V38" i="70"/>
  <c r="W38" i="70"/>
  <c r="X38" i="70"/>
  <c r="B37" i="70"/>
  <c r="C37" i="70"/>
  <c r="D37" i="70"/>
  <c r="E37" i="70"/>
  <c r="F37" i="70"/>
  <c r="G37" i="70"/>
  <c r="H37" i="70"/>
  <c r="I37" i="70"/>
  <c r="J37" i="70"/>
  <c r="K37" i="70"/>
  <c r="L37" i="70"/>
  <c r="M37" i="70"/>
  <c r="N37" i="70"/>
  <c r="O37" i="70"/>
  <c r="P37" i="70"/>
  <c r="Q37" i="70"/>
  <c r="R37" i="70"/>
  <c r="S37" i="70"/>
  <c r="T37" i="70"/>
  <c r="U37" i="70"/>
  <c r="V37" i="70"/>
  <c r="W37" i="70"/>
  <c r="X37" i="70"/>
  <c r="B36" i="70"/>
  <c r="C36" i="70"/>
  <c r="D36" i="70"/>
  <c r="E36" i="70"/>
  <c r="F36" i="70"/>
  <c r="G36" i="70"/>
  <c r="H36" i="70"/>
  <c r="I36" i="70"/>
  <c r="J36" i="70"/>
  <c r="K36" i="70"/>
  <c r="L36" i="70"/>
  <c r="M36" i="70"/>
  <c r="N36" i="70"/>
  <c r="O36" i="70"/>
  <c r="P36" i="70"/>
  <c r="Q36" i="70"/>
  <c r="R36" i="70"/>
  <c r="S36" i="70"/>
  <c r="T36" i="70"/>
  <c r="U36" i="70"/>
  <c r="V36" i="70"/>
  <c r="W36" i="70"/>
  <c r="X36" i="70"/>
  <c r="B35" i="70"/>
  <c r="C35" i="70"/>
  <c r="D35" i="70"/>
  <c r="E35" i="70"/>
  <c r="F35" i="70"/>
  <c r="G35" i="70"/>
  <c r="G40" i="70" s="1"/>
  <c r="H35" i="70"/>
  <c r="H40" i="70" s="1"/>
  <c r="I35" i="70"/>
  <c r="J35" i="70"/>
  <c r="K35" i="70"/>
  <c r="L35" i="70"/>
  <c r="M35" i="70"/>
  <c r="N35" i="70"/>
  <c r="O35" i="70"/>
  <c r="P35" i="70"/>
  <c r="Q35" i="70"/>
  <c r="R35" i="70"/>
  <c r="R40" i="70" s="1"/>
  <c r="S35" i="70"/>
  <c r="T35" i="70"/>
  <c r="U35" i="70"/>
  <c r="U40" i="70" s="1"/>
  <c r="V35" i="70"/>
  <c r="W35" i="70"/>
  <c r="W40" i="70" s="1"/>
  <c r="X35" i="70"/>
  <c r="B31" i="70"/>
  <c r="C31" i="70"/>
  <c r="D31" i="70"/>
  <c r="E31" i="70"/>
  <c r="F31" i="70"/>
  <c r="G31" i="70"/>
  <c r="H31" i="70"/>
  <c r="I31" i="70"/>
  <c r="J31" i="70"/>
  <c r="K31" i="70"/>
  <c r="L31" i="70"/>
  <c r="M31" i="70"/>
  <c r="N31" i="70"/>
  <c r="O31" i="70"/>
  <c r="P31" i="70"/>
  <c r="Q31" i="70"/>
  <c r="R31" i="70"/>
  <c r="S31" i="70"/>
  <c r="T31" i="70"/>
  <c r="U31" i="70"/>
  <c r="V31" i="70"/>
  <c r="W31" i="70"/>
  <c r="X31" i="70"/>
  <c r="B30" i="70"/>
  <c r="C30" i="70"/>
  <c r="D30" i="70"/>
  <c r="E30" i="70"/>
  <c r="F30" i="70"/>
  <c r="G30" i="70"/>
  <c r="H30" i="70"/>
  <c r="I30" i="70"/>
  <c r="J30" i="70"/>
  <c r="K30" i="70"/>
  <c r="L30" i="70"/>
  <c r="M30" i="70"/>
  <c r="N30" i="70"/>
  <c r="O30" i="70"/>
  <c r="P30" i="70"/>
  <c r="Q30" i="70"/>
  <c r="R30" i="70"/>
  <c r="S30" i="70"/>
  <c r="T30" i="70"/>
  <c r="U30" i="70"/>
  <c r="V30" i="70"/>
  <c r="W30" i="70"/>
  <c r="X30" i="70"/>
  <c r="B29" i="70"/>
  <c r="C29" i="70"/>
  <c r="D29" i="70"/>
  <c r="E29" i="70"/>
  <c r="F29" i="70"/>
  <c r="G29" i="70"/>
  <c r="H29" i="70"/>
  <c r="I29" i="70"/>
  <c r="J29" i="70"/>
  <c r="K29" i="70"/>
  <c r="L29" i="70"/>
  <c r="M29" i="70"/>
  <c r="N29" i="70"/>
  <c r="O29" i="70"/>
  <c r="P29" i="70"/>
  <c r="Q29" i="70"/>
  <c r="R29" i="70"/>
  <c r="S29" i="70"/>
  <c r="T29" i="70"/>
  <c r="U29" i="70"/>
  <c r="V29" i="70"/>
  <c r="W29" i="70"/>
  <c r="X29" i="70"/>
  <c r="B28" i="70"/>
  <c r="C28" i="70"/>
  <c r="D28" i="70"/>
  <c r="E28" i="70"/>
  <c r="F28" i="70"/>
  <c r="G28" i="70"/>
  <c r="H28" i="70"/>
  <c r="I28" i="70"/>
  <c r="J28" i="70"/>
  <c r="K28" i="70"/>
  <c r="L28" i="70"/>
  <c r="M28" i="70"/>
  <c r="N28" i="70"/>
  <c r="O28" i="70"/>
  <c r="P28" i="70"/>
  <c r="Q28" i="70"/>
  <c r="R28" i="70"/>
  <c r="S28" i="70"/>
  <c r="T28" i="70"/>
  <c r="U28" i="70"/>
  <c r="V28" i="70"/>
  <c r="W28" i="70"/>
  <c r="X28" i="70"/>
  <c r="B27" i="70"/>
  <c r="C27" i="70"/>
  <c r="D27" i="70"/>
  <c r="E27" i="70"/>
  <c r="E32" i="70" s="1"/>
  <c r="F27" i="70"/>
  <c r="G27" i="70"/>
  <c r="H27" i="70"/>
  <c r="I27" i="70"/>
  <c r="J27" i="70"/>
  <c r="K27" i="70"/>
  <c r="L27" i="70"/>
  <c r="M27" i="70"/>
  <c r="N27" i="70"/>
  <c r="N32" i="70" s="1"/>
  <c r="O27" i="70"/>
  <c r="O32" i="70" s="1"/>
  <c r="P27" i="70"/>
  <c r="P32" i="70" s="1"/>
  <c r="Q27" i="70"/>
  <c r="Q32" i="70" s="1"/>
  <c r="R27" i="70"/>
  <c r="R32" i="70" s="1"/>
  <c r="S27" i="70"/>
  <c r="S32" i="70" s="1"/>
  <c r="T27" i="70"/>
  <c r="U27" i="70"/>
  <c r="V27" i="70"/>
  <c r="W27" i="70"/>
  <c r="X27" i="70"/>
  <c r="X32" i="70" s="1"/>
  <c r="B23" i="70"/>
  <c r="C23" i="70"/>
  <c r="D23" i="70"/>
  <c r="E23" i="70"/>
  <c r="F23" i="70"/>
  <c r="G23" i="70"/>
  <c r="H23" i="70"/>
  <c r="I23" i="70"/>
  <c r="J23" i="70"/>
  <c r="K23" i="70"/>
  <c r="L23" i="70"/>
  <c r="M23" i="70"/>
  <c r="N23" i="70"/>
  <c r="O23" i="70"/>
  <c r="P23" i="70"/>
  <c r="Q23" i="70"/>
  <c r="R23" i="70"/>
  <c r="S23" i="70"/>
  <c r="T23" i="70"/>
  <c r="U23" i="70"/>
  <c r="V23" i="70"/>
  <c r="W23" i="70"/>
  <c r="X23" i="70"/>
  <c r="B22" i="70"/>
  <c r="C22" i="70"/>
  <c r="D22" i="70"/>
  <c r="E22" i="70"/>
  <c r="F22" i="70"/>
  <c r="G22" i="70"/>
  <c r="H22" i="70"/>
  <c r="I22" i="70"/>
  <c r="J22" i="70"/>
  <c r="K22" i="70"/>
  <c r="L22" i="70"/>
  <c r="M22" i="70"/>
  <c r="N22" i="70"/>
  <c r="O22" i="70"/>
  <c r="P22" i="70"/>
  <c r="Q22" i="70"/>
  <c r="R22" i="70"/>
  <c r="S22" i="70"/>
  <c r="T22" i="70"/>
  <c r="U22" i="70"/>
  <c r="V22" i="70"/>
  <c r="W22" i="70"/>
  <c r="X22" i="70"/>
  <c r="B21" i="70"/>
  <c r="C21" i="70"/>
  <c r="D21" i="70"/>
  <c r="E21" i="70"/>
  <c r="F21" i="70"/>
  <c r="G21" i="70"/>
  <c r="H21" i="70"/>
  <c r="I21" i="70"/>
  <c r="J21" i="70"/>
  <c r="K21" i="70"/>
  <c r="L21" i="70"/>
  <c r="M21" i="70"/>
  <c r="N21" i="70"/>
  <c r="O21" i="70"/>
  <c r="P21" i="70"/>
  <c r="Q21" i="70"/>
  <c r="R21" i="70"/>
  <c r="S21" i="70"/>
  <c r="T21" i="70"/>
  <c r="U21" i="70"/>
  <c r="V21" i="70"/>
  <c r="W21" i="70"/>
  <c r="X21" i="70"/>
  <c r="B20" i="70"/>
  <c r="C20" i="70"/>
  <c r="D20" i="70"/>
  <c r="E20" i="70"/>
  <c r="F20" i="70"/>
  <c r="G20" i="70"/>
  <c r="H20" i="70"/>
  <c r="I20" i="70"/>
  <c r="J20" i="70"/>
  <c r="K20" i="70"/>
  <c r="L20" i="70"/>
  <c r="M20" i="70"/>
  <c r="N20" i="70"/>
  <c r="O20" i="70"/>
  <c r="P20" i="70"/>
  <c r="Q20" i="70"/>
  <c r="R20" i="70"/>
  <c r="S20" i="70"/>
  <c r="T20" i="70"/>
  <c r="U20" i="70"/>
  <c r="V20" i="70"/>
  <c r="W20" i="70"/>
  <c r="X20" i="70"/>
  <c r="B19" i="70"/>
  <c r="C19" i="70"/>
  <c r="D19" i="70"/>
  <c r="E19" i="70"/>
  <c r="F19" i="70"/>
  <c r="G19" i="70"/>
  <c r="H19" i="70"/>
  <c r="I19" i="70"/>
  <c r="J19" i="70"/>
  <c r="J24" i="70" s="1"/>
  <c r="K19" i="70"/>
  <c r="K24" i="70" s="1"/>
  <c r="L19" i="70"/>
  <c r="M19" i="70"/>
  <c r="M24" i="70" s="1"/>
  <c r="N19" i="70"/>
  <c r="N24" i="70" s="1"/>
  <c r="O19" i="70"/>
  <c r="P19" i="70"/>
  <c r="Q19" i="70"/>
  <c r="R19" i="70"/>
  <c r="S19" i="70"/>
  <c r="T19" i="70"/>
  <c r="U19" i="70"/>
  <c r="U24" i="70" s="1"/>
  <c r="V19" i="70"/>
  <c r="W19" i="70"/>
  <c r="X19" i="70"/>
  <c r="B15" i="70"/>
  <c r="C15" i="70"/>
  <c r="D15" i="70"/>
  <c r="E15" i="70"/>
  <c r="F15" i="70"/>
  <c r="G15" i="70"/>
  <c r="H15" i="70"/>
  <c r="I15" i="70"/>
  <c r="J15" i="70"/>
  <c r="K15" i="70"/>
  <c r="L15" i="70"/>
  <c r="M15" i="70"/>
  <c r="N15" i="70"/>
  <c r="O15" i="70"/>
  <c r="P15" i="70"/>
  <c r="Q15" i="70"/>
  <c r="R15" i="70"/>
  <c r="S15" i="70"/>
  <c r="T15" i="70"/>
  <c r="U15" i="70"/>
  <c r="V15" i="70"/>
  <c r="W15" i="70"/>
  <c r="X15" i="70"/>
  <c r="B14" i="70"/>
  <c r="C14" i="70"/>
  <c r="D14" i="70"/>
  <c r="E14" i="70"/>
  <c r="F14" i="70"/>
  <c r="G14" i="70"/>
  <c r="H14" i="70"/>
  <c r="I14" i="70"/>
  <c r="J14" i="70"/>
  <c r="K14" i="70"/>
  <c r="L14" i="70"/>
  <c r="M14" i="70"/>
  <c r="N14" i="70"/>
  <c r="O14" i="70"/>
  <c r="P14" i="70"/>
  <c r="Q14" i="70"/>
  <c r="R14" i="70"/>
  <c r="S14" i="70"/>
  <c r="T14" i="70"/>
  <c r="U14" i="70"/>
  <c r="V14" i="70"/>
  <c r="W14" i="70"/>
  <c r="X14" i="70"/>
  <c r="B13" i="70"/>
  <c r="C13" i="70"/>
  <c r="D13" i="70"/>
  <c r="E13" i="70"/>
  <c r="F13" i="70"/>
  <c r="G13" i="70"/>
  <c r="H13" i="70"/>
  <c r="I13" i="70"/>
  <c r="J13" i="70"/>
  <c r="K13" i="70"/>
  <c r="L13" i="70"/>
  <c r="M13" i="70"/>
  <c r="N13" i="70"/>
  <c r="O13" i="70"/>
  <c r="P13" i="70"/>
  <c r="Q13" i="70"/>
  <c r="R13" i="70"/>
  <c r="S13" i="70"/>
  <c r="T13" i="70"/>
  <c r="U13" i="70"/>
  <c r="V13" i="70"/>
  <c r="W13" i="70"/>
  <c r="X13" i="70"/>
  <c r="B12" i="70"/>
  <c r="C12" i="70"/>
  <c r="D12" i="70"/>
  <c r="E12" i="70"/>
  <c r="F12" i="70"/>
  <c r="G12" i="70"/>
  <c r="H12" i="70"/>
  <c r="I12" i="70"/>
  <c r="J12" i="70"/>
  <c r="K12" i="70"/>
  <c r="L12" i="70"/>
  <c r="M12" i="70"/>
  <c r="N12" i="70"/>
  <c r="O12" i="70"/>
  <c r="P12" i="70"/>
  <c r="Q12" i="70"/>
  <c r="R12" i="70"/>
  <c r="S12" i="70"/>
  <c r="T12" i="70"/>
  <c r="U12" i="70"/>
  <c r="V12" i="70"/>
  <c r="W12" i="70"/>
  <c r="X12" i="70"/>
  <c r="B11" i="70"/>
  <c r="C11" i="70"/>
  <c r="C16" i="70" s="1"/>
  <c r="D11" i="70"/>
  <c r="E11" i="70"/>
  <c r="F11" i="70"/>
  <c r="G11" i="70"/>
  <c r="H11" i="70"/>
  <c r="I11" i="70"/>
  <c r="J11" i="70"/>
  <c r="K11" i="70"/>
  <c r="L11" i="70"/>
  <c r="M11" i="70"/>
  <c r="N11" i="70"/>
  <c r="N16" i="70" s="1"/>
  <c r="O11" i="70"/>
  <c r="O16" i="70" s="1"/>
  <c r="P11" i="70"/>
  <c r="P16" i="70" s="1"/>
  <c r="Q11" i="70"/>
  <c r="R11" i="70"/>
  <c r="S11" i="70"/>
  <c r="T11" i="70"/>
  <c r="T16" i="70" s="1"/>
  <c r="U11" i="70"/>
  <c r="U16" i="70" s="1"/>
  <c r="V11" i="70"/>
  <c r="W11" i="70"/>
  <c r="X11" i="70"/>
  <c r="B4" i="70"/>
  <c r="C4" i="70"/>
  <c r="D4" i="70"/>
  <c r="E4" i="70"/>
  <c r="F4" i="70"/>
  <c r="G4" i="70"/>
  <c r="H4" i="70"/>
  <c r="I4" i="70"/>
  <c r="J4" i="70"/>
  <c r="K4" i="70"/>
  <c r="L4" i="70"/>
  <c r="M4" i="70"/>
  <c r="N4" i="70"/>
  <c r="O4" i="70"/>
  <c r="P4" i="70"/>
  <c r="Q4" i="70"/>
  <c r="R4" i="70"/>
  <c r="S4" i="70"/>
  <c r="T4" i="70"/>
  <c r="U4" i="70"/>
  <c r="V4" i="70"/>
  <c r="W4" i="70"/>
  <c r="X4" i="70"/>
  <c r="B5" i="70"/>
  <c r="C5" i="70"/>
  <c r="D5" i="70"/>
  <c r="E5" i="70"/>
  <c r="F5" i="70"/>
  <c r="G5" i="70"/>
  <c r="H5" i="70"/>
  <c r="I5" i="70"/>
  <c r="J5" i="70"/>
  <c r="K5" i="70"/>
  <c r="L5" i="70"/>
  <c r="M5" i="70"/>
  <c r="N5" i="70"/>
  <c r="O5" i="70"/>
  <c r="P5" i="70"/>
  <c r="Q5" i="70"/>
  <c r="R5" i="70"/>
  <c r="S5" i="70"/>
  <c r="T5" i="70"/>
  <c r="U5" i="70"/>
  <c r="V5" i="70"/>
  <c r="W5" i="70"/>
  <c r="X5" i="70"/>
  <c r="B6" i="70"/>
  <c r="C6" i="70"/>
  <c r="D6" i="70"/>
  <c r="E6" i="70"/>
  <c r="F6" i="70"/>
  <c r="G6" i="70"/>
  <c r="H6" i="70"/>
  <c r="I6" i="70"/>
  <c r="J6" i="70"/>
  <c r="K6" i="70"/>
  <c r="L6" i="70"/>
  <c r="M6" i="70"/>
  <c r="N6" i="70"/>
  <c r="O6" i="70"/>
  <c r="P6" i="70"/>
  <c r="Q6" i="70"/>
  <c r="R6" i="70"/>
  <c r="S6" i="70"/>
  <c r="T6" i="70"/>
  <c r="U6" i="70"/>
  <c r="V6" i="70"/>
  <c r="W6" i="70"/>
  <c r="X6" i="70"/>
  <c r="B7" i="70"/>
  <c r="C7" i="70"/>
  <c r="D7" i="70"/>
  <c r="E7" i="70"/>
  <c r="F7" i="70"/>
  <c r="G7" i="70"/>
  <c r="H7" i="70"/>
  <c r="I7" i="70"/>
  <c r="J7" i="70"/>
  <c r="K7" i="70"/>
  <c r="L7" i="70"/>
  <c r="M7" i="70"/>
  <c r="N7" i="70"/>
  <c r="O7" i="70"/>
  <c r="P7" i="70"/>
  <c r="Q7" i="70"/>
  <c r="R7" i="70"/>
  <c r="S7" i="70"/>
  <c r="T7" i="70"/>
  <c r="U7" i="70"/>
  <c r="V7" i="70"/>
  <c r="W7" i="70"/>
  <c r="X7" i="70"/>
  <c r="B3" i="70"/>
  <c r="C3" i="70"/>
  <c r="C8" i="70" s="1"/>
  <c r="D3" i="70"/>
  <c r="D8" i="70" s="1"/>
  <c r="E3" i="70"/>
  <c r="F3" i="70"/>
  <c r="F8" i="70" s="1"/>
  <c r="G3" i="70"/>
  <c r="G8" i="70" s="1"/>
  <c r="H3" i="70"/>
  <c r="H8" i="70" s="1"/>
  <c r="I3" i="70"/>
  <c r="I8" i="70" s="1"/>
  <c r="J3" i="70"/>
  <c r="J8" i="70" s="1"/>
  <c r="K3" i="70"/>
  <c r="K8" i="70" s="1"/>
  <c r="L3" i="70"/>
  <c r="L8" i="70" s="1"/>
  <c r="M3" i="70"/>
  <c r="N3" i="70"/>
  <c r="O3" i="70"/>
  <c r="P3" i="70"/>
  <c r="Q3" i="70"/>
  <c r="R3" i="70"/>
  <c r="S3" i="70"/>
  <c r="T3" i="70"/>
  <c r="U3" i="70"/>
  <c r="V3" i="70"/>
  <c r="W3" i="70"/>
  <c r="X3" i="70"/>
  <c r="F122" i="25"/>
  <c r="A155" i="70" s="1"/>
  <c r="F123" i="25"/>
  <c r="A156" i="70" s="1"/>
  <c r="F124" i="25"/>
  <c r="A157" i="70" s="1"/>
  <c r="F125" i="25"/>
  <c r="A158" i="70" s="1"/>
  <c r="F126" i="25"/>
  <c r="A159" i="70" s="1"/>
  <c r="F109" i="25"/>
  <c r="A147" i="70" s="1"/>
  <c r="F110" i="25"/>
  <c r="A148" i="70" s="1"/>
  <c r="F111" i="25"/>
  <c r="A149" i="70" s="1"/>
  <c r="F112" i="25"/>
  <c r="A150" i="70" s="1"/>
  <c r="F113" i="25"/>
  <c r="A151" i="70" s="1"/>
  <c r="F96" i="25"/>
  <c r="A139" i="70" s="1"/>
  <c r="F97" i="25"/>
  <c r="A140" i="70" s="1"/>
  <c r="F98" i="25"/>
  <c r="A141" i="70" s="1"/>
  <c r="F99" i="25"/>
  <c r="A142" i="70" s="1"/>
  <c r="F100" i="25"/>
  <c r="A143" i="70" s="1"/>
  <c r="F83" i="25"/>
  <c r="A131" i="70" s="1"/>
  <c r="F84" i="25"/>
  <c r="A132" i="70" s="1"/>
  <c r="F85" i="25"/>
  <c r="A133" i="70" s="1"/>
  <c r="F86" i="25"/>
  <c r="A134" i="70" s="1"/>
  <c r="F87" i="25"/>
  <c r="A135" i="70" s="1"/>
  <c r="F70" i="25"/>
  <c r="A123" i="70" s="1"/>
  <c r="F71" i="25"/>
  <c r="A124" i="70" s="1"/>
  <c r="F72" i="25"/>
  <c r="A125" i="70" s="1"/>
  <c r="F73" i="25"/>
  <c r="A126" i="70" s="1"/>
  <c r="F74" i="25"/>
  <c r="A127" i="70" s="1"/>
  <c r="F57" i="25"/>
  <c r="A115" i="70" s="1"/>
  <c r="F58" i="25"/>
  <c r="A116" i="70" s="1"/>
  <c r="F59" i="25"/>
  <c r="A117" i="70" s="1"/>
  <c r="F60" i="25"/>
  <c r="A118" i="70" s="1"/>
  <c r="F61" i="25"/>
  <c r="A119" i="70" s="1"/>
  <c r="F44" i="25"/>
  <c r="A107" i="70" s="1"/>
  <c r="F45" i="25"/>
  <c r="A108" i="70" s="1"/>
  <c r="F46" i="25"/>
  <c r="A109" i="70" s="1"/>
  <c r="F47" i="25"/>
  <c r="A110" i="70" s="1"/>
  <c r="F48" i="25"/>
  <c r="A111" i="70" s="1"/>
  <c r="F31" i="25"/>
  <c r="A99" i="70" s="1"/>
  <c r="F32" i="25"/>
  <c r="A100" i="70" s="1"/>
  <c r="F33" i="25"/>
  <c r="A101" i="70" s="1"/>
  <c r="F34" i="25"/>
  <c r="A102" i="70" s="1"/>
  <c r="F35" i="25"/>
  <c r="A103" i="70" s="1"/>
  <c r="F18" i="25"/>
  <c r="A91" i="70" s="1"/>
  <c r="F19" i="25"/>
  <c r="A92" i="70" s="1"/>
  <c r="F20" i="25"/>
  <c r="A93" i="70" s="1"/>
  <c r="F21" i="25"/>
  <c r="A94" i="70" s="1"/>
  <c r="F22" i="25"/>
  <c r="A95" i="70" s="1"/>
  <c r="F5" i="25"/>
  <c r="A83" i="70" s="1"/>
  <c r="F6" i="25"/>
  <c r="A84" i="70" s="1"/>
  <c r="F7" i="25"/>
  <c r="A85" i="70" s="1"/>
  <c r="F8" i="25"/>
  <c r="A86" i="70" s="1"/>
  <c r="F9" i="25"/>
  <c r="A87" i="70" s="1"/>
  <c r="A122" i="25"/>
  <c r="A75" i="70" s="1"/>
  <c r="A123" i="25"/>
  <c r="A76" i="70" s="1"/>
  <c r="A124" i="25"/>
  <c r="A77" i="70" s="1"/>
  <c r="A125" i="25"/>
  <c r="A78" i="70" s="1"/>
  <c r="A126" i="25"/>
  <c r="A79" i="70" s="1"/>
  <c r="A109" i="25"/>
  <c r="A67" i="70" s="1"/>
  <c r="A110" i="25"/>
  <c r="A68" i="70" s="1"/>
  <c r="A111" i="25"/>
  <c r="A69" i="70" s="1"/>
  <c r="A112" i="25"/>
  <c r="A70" i="70" s="1"/>
  <c r="A113" i="25"/>
  <c r="A71" i="70" s="1"/>
  <c r="A96" i="25"/>
  <c r="A59" i="70" s="1"/>
  <c r="A97" i="25"/>
  <c r="A60" i="70" s="1"/>
  <c r="A98" i="25"/>
  <c r="A61" i="70" s="1"/>
  <c r="A99" i="25"/>
  <c r="A62" i="70" s="1"/>
  <c r="A100" i="25"/>
  <c r="A63" i="70" s="1"/>
  <c r="A83" i="25"/>
  <c r="A51" i="70" s="1"/>
  <c r="A84" i="25"/>
  <c r="A52" i="70" s="1"/>
  <c r="A85" i="25"/>
  <c r="A53" i="70" s="1"/>
  <c r="A86" i="25"/>
  <c r="A54" i="70" s="1"/>
  <c r="A87" i="25"/>
  <c r="A55" i="70" s="1"/>
  <c r="A70" i="25"/>
  <c r="A43" i="70" s="1"/>
  <c r="A71" i="25"/>
  <c r="A44" i="70" s="1"/>
  <c r="A72" i="25"/>
  <c r="A45" i="70" s="1"/>
  <c r="A73" i="25"/>
  <c r="A46" i="70" s="1"/>
  <c r="A74" i="25"/>
  <c r="A47" i="70" s="1"/>
  <c r="A57" i="25"/>
  <c r="A35" i="70" s="1"/>
  <c r="A58" i="25"/>
  <c r="A36" i="70" s="1"/>
  <c r="A59" i="25"/>
  <c r="A37" i="70" s="1"/>
  <c r="A60" i="25"/>
  <c r="A38" i="70" s="1"/>
  <c r="A61" i="25"/>
  <c r="A39" i="70" s="1"/>
  <c r="A44" i="25"/>
  <c r="A27" i="70" s="1"/>
  <c r="A45" i="25"/>
  <c r="A28" i="70" s="1"/>
  <c r="A46" i="25"/>
  <c r="A29" i="70" s="1"/>
  <c r="A47" i="25"/>
  <c r="A30" i="70" s="1"/>
  <c r="A48" i="25"/>
  <c r="A31" i="70" s="1"/>
  <c r="A31" i="25"/>
  <c r="A19" i="70" s="1"/>
  <c r="A32" i="25"/>
  <c r="A20" i="70" s="1"/>
  <c r="A33" i="25"/>
  <c r="A21" i="70" s="1"/>
  <c r="A34" i="25"/>
  <c r="A22" i="70" s="1"/>
  <c r="A35" i="25"/>
  <c r="A23" i="70" s="1"/>
  <c r="A18" i="25"/>
  <c r="A11" i="70" s="1"/>
  <c r="A19" i="25"/>
  <c r="A12" i="70" s="1"/>
  <c r="A20" i="25"/>
  <c r="A13" i="70" s="1"/>
  <c r="A21" i="25"/>
  <c r="A14" i="70" s="1"/>
  <c r="A22" i="25"/>
  <c r="A15" i="70" s="1"/>
  <c r="A5" i="25"/>
  <c r="A3" i="70" s="1"/>
  <c r="A6" i="25"/>
  <c r="A4" i="70" s="1"/>
  <c r="A7" i="25"/>
  <c r="A5" i="70" s="1"/>
  <c r="A8" i="25"/>
  <c r="A6" i="70" s="1"/>
  <c r="A9" i="25"/>
  <c r="A7" i="70" s="1"/>
  <c r="D88" i="70"/>
  <c r="E88" i="70"/>
  <c r="H88" i="70"/>
  <c r="I88" i="70"/>
  <c r="L88" i="70"/>
  <c r="P88" i="70"/>
  <c r="D96" i="70"/>
  <c r="H96" i="70"/>
  <c r="I96" i="70"/>
  <c r="K96" i="70"/>
  <c r="L96" i="70"/>
  <c r="P96" i="70"/>
  <c r="W96" i="70"/>
  <c r="X96" i="70"/>
  <c r="F104" i="70"/>
  <c r="I104" i="70"/>
  <c r="K104" i="70"/>
  <c r="M104" i="70"/>
  <c r="N104" i="70"/>
  <c r="O104" i="70"/>
  <c r="Q104" i="70"/>
  <c r="S104" i="70"/>
  <c r="T104" i="70"/>
  <c r="I112" i="70"/>
  <c r="M112" i="70"/>
  <c r="P112" i="70"/>
  <c r="Q112" i="70"/>
  <c r="R112" i="70"/>
  <c r="T112" i="70"/>
  <c r="U112" i="70"/>
  <c r="V112" i="70"/>
  <c r="C120" i="70"/>
  <c r="D120" i="70"/>
  <c r="F120" i="70"/>
  <c r="G120" i="70"/>
  <c r="W120" i="70"/>
  <c r="C128" i="70"/>
  <c r="E128" i="70"/>
  <c r="F128" i="70"/>
  <c r="G128" i="70"/>
  <c r="H128" i="70"/>
  <c r="I128" i="70"/>
  <c r="J128" i="70"/>
  <c r="K128" i="70"/>
  <c r="L128" i="70"/>
  <c r="M128" i="70"/>
  <c r="N128" i="70"/>
  <c r="O128" i="70"/>
  <c r="H136" i="70"/>
  <c r="J136" i="70"/>
  <c r="K136" i="70"/>
  <c r="L136" i="70"/>
  <c r="N136" i="70"/>
  <c r="O136" i="70"/>
  <c r="Q136" i="70"/>
  <c r="R136" i="70"/>
  <c r="S136" i="70"/>
  <c r="T136" i="70"/>
  <c r="U136" i="70"/>
  <c r="V136" i="70"/>
  <c r="G144" i="70"/>
  <c r="H144" i="70"/>
  <c r="O144" i="70"/>
  <c r="Q144" i="70"/>
  <c r="S144" i="70"/>
  <c r="T144" i="70"/>
  <c r="U144" i="70"/>
  <c r="X144" i="70"/>
  <c r="D152" i="70"/>
  <c r="E152" i="70"/>
  <c r="L152" i="70"/>
  <c r="M152" i="70"/>
  <c r="N152" i="70"/>
  <c r="O152" i="70"/>
  <c r="U152" i="70"/>
  <c r="C160" i="70"/>
  <c r="D160" i="70"/>
  <c r="E160" i="70"/>
  <c r="G160" i="70"/>
  <c r="H160" i="70"/>
  <c r="I160" i="70"/>
  <c r="J160" i="70"/>
  <c r="K160" i="70"/>
  <c r="L160" i="70"/>
  <c r="M160" i="70"/>
  <c r="R160" i="70"/>
  <c r="S160" i="70"/>
  <c r="U160" i="70"/>
  <c r="F121" i="25"/>
  <c r="A154" i="70" s="1"/>
  <c r="F108" i="25"/>
  <c r="A146" i="70" s="1"/>
  <c r="F95" i="25"/>
  <c r="A138" i="70" s="1"/>
  <c r="F82" i="25"/>
  <c r="A130" i="70" s="1"/>
  <c r="F69" i="25"/>
  <c r="A122" i="70" s="1"/>
  <c r="F56" i="25"/>
  <c r="A114" i="70" s="1"/>
  <c r="F43" i="25"/>
  <c r="A106" i="70" s="1"/>
  <c r="F30" i="25"/>
  <c r="A98" i="70" s="1"/>
  <c r="F17" i="25"/>
  <c r="A90" i="70" s="1"/>
  <c r="F4" i="25"/>
  <c r="A82" i="70"/>
  <c r="A121" i="25"/>
  <c r="A74" i="70" s="1"/>
  <c r="A108" i="25"/>
  <c r="A66" i="70" s="1"/>
  <c r="A95" i="25"/>
  <c r="A58" i="70" s="1"/>
  <c r="A82" i="25"/>
  <c r="A50" i="70" s="1"/>
  <c r="A69" i="25"/>
  <c r="A42" i="70" s="1"/>
  <c r="A56" i="25"/>
  <c r="A34" i="70" s="1"/>
  <c r="A43" i="25"/>
  <c r="A26" i="70" s="1"/>
  <c r="A30" i="25"/>
  <c r="A18" i="70" s="1"/>
  <c r="A17" i="25"/>
  <c r="A10" i="70" s="1"/>
  <c r="A4" i="25"/>
  <c r="A2" i="70" s="1"/>
  <c r="G447" i="2"/>
  <c r="C80" i="70"/>
  <c r="H80" i="70"/>
  <c r="X80" i="70"/>
  <c r="V80" i="70"/>
  <c r="N80" i="70"/>
  <c r="K80" i="70"/>
  <c r="J80" i="70"/>
  <c r="C72" i="70"/>
  <c r="H72" i="70"/>
  <c r="G72" i="70"/>
  <c r="S72" i="70"/>
  <c r="R72" i="70"/>
  <c r="Q72" i="70"/>
  <c r="K72" i="70"/>
  <c r="I72" i="70"/>
  <c r="H64" i="70"/>
  <c r="G64" i="70"/>
  <c r="F64" i="70"/>
  <c r="E64" i="70"/>
  <c r="D64" i="70"/>
  <c r="X64" i="70"/>
  <c r="V64" i="70"/>
  <c r="U64" i="70"/>
  <c r="T64" i="70"/>
  <c r="N64" i="70"/>
  <c r="M64" i="70"/>
  <c r="I64" i="70"/>
  <c r="G56" i="70"/>
  <c r="E56" i="70"/>
  <c r="X56" i="70"/>
  <c r="W56" i="70"/>
  <c r="V56" i="70"/>
  <c r="U56" i="70"/>
  <c r="T56" i="70"/>
  <c r="S56" i="70"/>
  <c r="R56" i="70"/>
  <c r="Q56" i="70"/>
  <c r="O56" i="70"/>
  <c r="I56" i="70"/>
  <c r="C48" i="70"/>
  <c r="X48" i="70"/>
  <c r="T48" i="70"/>
  <c r="S48" i="70"/>
  <c r="R48" i="70"/>
  <c r="Q48" i="70"/>
  <c r="P48" i="70"/>
  <c r="O48" i="70"/>
  <c r="N48" i="70"/>
  <c r="L48" i="70"/>
  <c r="K48" i="70"/>
  <c r="J48" i="70"/>
  <c r="F40" i="70"/>
  <c r="E40" i="70"/>
  <c r="S40" i="70"/>
  <c r="Q40" i="70"/>
  <c r="O40" i="70"/>
  <c r="N40" i="70"/>
  <c r="M40" i="70"/>
  <c r="K40" i="70"/>
  <c r="J40" i="70"/>
  <c r="I40" i="70"/>
  <c r="F32" i="70"/>
  <c r="V32" i="70"/>
  <c r="T32" i="70"/>
  <c r="L32" i="70"/>
  <c r="J32" i="70"/>
  <c r="I32" i="70"/>
  <c r="C24" i="70"/>
  <c r="H24" i="70"/>
  <c r="G24" i="70"/>
  <c r="F24" i="70"/>
  <c r="E24" i="70"/>
  <c r="D24" i="70"/>
  <c r="X24" i="70"/>
  <c r="L24" i="70"/>
  <c r="I24" i="70"/>
  <c r="H16" i="70"/>
  <c r="E16" i="70"/>
  <c r="D16" i="70"/>
  <c r="X16" i="70"/>
  <c r="W16" i="70"/>
  <c r="V16" i="70"/>
  <c r="S16" i="70"/>
  <c r="R16" i="70"/>
  <c r="L16" i="70"/>
  <c r="E8" i="70"/>
  <c r="V8" i="70"/>
  <c r="U8" i="70"/>
  <c r="S8" i="70"/>
  <c r="R8" i="70"/>
  <c r="Q8" i="70"/>
  <c r="O8" i="70"/>
  <c r="N8" i="70"/>
  <c r="M8" i="70"/>
  <c r="A3" i="69"/>
  <c r="X280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AN278" i="1"/>
  <c r="AO278" i="1"/>
  <c r="AP278" i="1"/>
  <c r="AQ278" i="1"/>
  <c r="AQ279" i="1" s="1"/>
  <c r="AR278" i="1"/>
  <c r="AS278" i="1"/>
  <c r="AT278" i="1"/>
  <c r="AU278" i="1"/>
  <c r="AV278" i="1"/>
  <c r="X266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 s="1"/>
  <c r="Y258" i="1" s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Y263" i="1" s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X252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 s="1"/>
  <c r="Y248" i="1" s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X238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X224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Y217" i="1" s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X210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Y206" i="1" s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Y207" i="1" s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X196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AM195" i="1" s="1"/>
  <c r="AN194" i="1"/>
  <c r="AO194" i="1"/>
  <c r="AP194" i="1"/>
  <c r="AQ194" i="1"/>
  <c r="AR194" i="1"/>
  <c r="AS194" i="1"/>
  <c r="AT194" i="1"/>
  <c r="AU194" i="1"/>
  <c r="AV194" i="1"/>
  <c r="X182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X168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Y160" i="1" s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Y165" i="1" s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X154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 s="1"/>
  <c r="Y150" i="1" s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X140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Y134" i="1" s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X126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Y118" i="1" s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Y119" i="1" s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Y124" i="1" s="1"/>
  <c r="X112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Y110" i="1" s="1"/>
  <c r="X98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X84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N83" i="1" s="1"/>
  <c r="AO82" i="1"/>
  <c r="AP82" i="1"/>
  <c r="AQ82" i="1"/>
  <c r="AR82" i="1"/>
  <c r="AS82" i="1"/>
  <c r="AT82" i="1"/>
  <c r="AU82" i="1"/>
  <c r="AV82" i="1"/>
  <c r="X70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Y61" i="1" s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X56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X42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X28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Y19" i="1" s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Y24" i="1" s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U279" i="1"/>
  <c r="AM279" i="1"/>
  <c r="AI279" i="1"/>
  <c r="AC279" i="1"/>
  <c r="AL265" i="1"/>
  <c r="AK265" i="1"/>
  <c r="AH265" i="1"/>
  <c r="AG265" i="1"/>
  <c r="AS251" i="1"/>
  <c r="AK251" i="1"/>
  <c r="AI251" i="1"/>
  <c r="AC251" i="1"/>
  <c r="AS237" i="1"/>
  <c r="AV223" i="1"/>
  <c r="AQ223" i="1"/>
  <c r="AM223" i="1"/>
  <c r="AG223" i="1"/>
  <c r="AU209" i="1"/>
  <c r="AS209" i="1"/>
  <c r="AP209" i="1"/>
  <c r="AO209" i="1"/>
  <c r="AM209" i="1"/>
  <c r="AG209" i="1"/>
  <c r="AO195" i="1"/>
  <c r="AJ195" i="1"/>
  <c r="AI195" i="1"/>
  <c r="AE195" i="1"/>
  <c r="AC181" i="1"/>
  <c r="AV167" i="1"/>
  <c r="AU167" i="1"/>
  <c r="AK167" i="1"/>
  <c r="AC167" i="1"/>
  <c r="AA167" i="1"/>
  <c r="AT153" i="1"/>
  <c r="AS153" i="1"/>
  <c r="AQ153" i="1"/>
  <c r="AP153" i="1"/>
  <c r="AO153" i="1"/>
  <c r="AK153" i="1"/>
  <c r="AS139" i="1"/>
  <c r="AQ139" i="1"/>
  <c r="AN139" i="1"/>
  <c r="AM139" i="1"/>
  <c r="AI139" i="1"/>
  <c r="AG125" i="1"/>
  <c r="AU111" i="1"/>
  <c r="AG111" i="1"/>
  <c r="AE111" i="1"/>
  <c r="AT97" i="1"/>
  <c r="AS97" i="1"/>
  <c r="AO97" i="1"/>
  <c r="AU83" i="1"/>
  <c r="AQ83" i="1"/>
  <c r="AO83" i="1"/>
  <c r="AM83" i="1"/>
  <c r="AI83" i="1"/>
  <c r="AO69" i="1"/>
  <c r="AL69" i="1"/>
  <c r="AI69" i="1"/>
  <c r="AE55" i="1"/>
  <c r="AC55" i="1"/>
  <c r="AE41" i="1"/>
  <c r="AA41" i="1"/>
  <c r="AV27" i="1"/>
  <c r="AU27" i="1"/>
  <c r="AQ27" i="1"/>
  <c r="AM27" i="1"/>
  <c r="AC13" i="1"/>
  <c r="AD13" i="1"/>
  <c r="AE13" i="1"/>
  <c r="AF13" i="1"/>
  <c r="AG13" i="1"/>
  <c r="AJ13" i="1"/>
  <c r="AK13" i="1"/>
  <c r="AL13" i="1"/>
  <c r="AM13" i="1"/>
  <c r="AN13" i="1"/>
  <c r="AO13" i="1"/>
  <c r="AP13" i="1"/>
  <c r="AQ13" i="1"/>
  <c r="AS13" i="1"/>
  <c r="AT13" i="1"/>
  <c r="AV13" i="1"/>
  <c r="AA13" i="1"/>
  <c r="BE99" i="1"/>
  <c r="Y35" i="1"/>
  <c r="Z269" i="1"/>
  <c r="Z255" i="1"/>
  <c r="Z242" i="1"/>
  <c r="Z241" i="1"/>
  <c r="Z227" i="1"/>
  <c r="Z213" i="1"/>
  <c r="Z199" i="1"/>
  <c r="Z185" i="1"/>
  <c r="Z171" i="1"/>
  <c r="Z157" i="1"/>
  <c r="Z143" i="1"/>
  <c r="Z129" i="1"/>
  <c r="Z115" i="1"/>
  <c r="Z101" i="1"/>
  <c r="Z88" i="1"/>
  <c r="Z87" i="1"/>
  <c r="Z73" i="1"/>
  <c r="Z60" i="1"/>
  <c r="Z59" i="1"/>
  <c r="Z46" i="1"/>
  <c r="Z45" i="1"/>
  <c r="Z31" i="1"/>
  <c r="Z17" i="1"/>
  <c r="A278" i="1"/>
  <c r="Z278" i="1" s="1"/>
  <c r="A277" i="1"/>
  <c r="Z277" i="1" s="1"/>
  <c r="A276" i="1"/>
  <c r="Z276" i="1" s="1"/>
  <c r="A264" i="1"/>
  <c r="Z264" i="1" s="1"/>
  <c r="A263" i="1"/>
  <c r="Z263" i="1" s="1"/>
  <c r="A262" i="1"/>
  <c r="Z262" i="1" s="1"/>
  <c r="A250" i="1"/>
  <c r="Z250" i="1" s="1"/>
  <c r="A249" i="1"/>
  <c r="Z249" i="1" s="1"/>
  <c r="A248" i="1"/>
  <c r="Z248" i="1" s="1"/>
  <c r="A236" i="1"/>
  <c r="Z236" i="1" s="1"/>
  <c r="A235" i="1"/>
  <c r="Z235" i="1" s="1"/>
  <c r="A234" i="1"/>
  <c r="Z234" i="1" s="1"/>
  <c r="A222" i="1"/>
  <c r="Z222" i="1" s="1"/>
  <c r="A221" i="1"/>
  <c r="Z221" i="1" s="1"/>
  <c r="A220" i="1"/>
  <c r="Z220" i="1" s="1"/>
  <c r="A208" i="1"/>
  <c r="Z208" i="1"/>
  <c r="A207" i="1"/>
  <c r="Z207" i="1" s="1"/>
  <c r="A206" i="1"/>
  <c r="Z206" i="1" s="1"/>
  <c r="A194" i="1"/>
  <c r="Z194" i="1" s="1"/>
  <c r="A193" i="1"/>
  <c r="Z193" i="1" s="1"/>
  <c r="A192" i="1"/>
  <c r="Z192" i="1" s="1"/>
  <c r="A180" i="1"/>
  <c r="Z180" i="1" s="1"/>
  <c r="A179" i="1"/>
  <c r="Z179" i="1" s="1"/>
  <c r="A178" i="1"/>
  <c r="Z178" i="1" s="1"/>
  <c r="A166" i="1"/>
  <c r="Z166" i="1" s="1"/>
  <c r="A165" i="1"/>
  <c r="Z165" i="1" s="1"/>
  <c r="A164" i="1"/>
  <c r="Z164" i="1" s="1"/>
  <c r="A152" i="1"/>
  <c r="Z152" i="1" s="1"/>
  <c r="A151" i="1"/>
  <c r="Z151" i="1" s="1"/>
  <c r="A150" i="1"/>
  <c r="Z150" i="1" s="1"/>
  <c r="A138" i="1"/>
  <c r="Z138" i="1" s="1"/>
  <c r="A137" i="1"/>
  <c r="Z137" i="1" s="1"/>
  <c r="A136" i="1"/>
  <c r="Z136" i="1" s="1"/>
  <c r="A124" i="1"/>
  <c r="Z124" i="1" s="1"/>
  <c r="A123" i="1"/>
  <c r="Z123" i="1" s="1"/>
  <c r="A122" i="1"/>
  <c r="Z122" i="1" s="1"/>
  <c r="A110" i="1"/>
  <c r="Z110" i="1" s="1"/>
  <c r="A109" i="1"/>
  <c r="Z109" i="1" s="1"/>
  <c r="A108" i="1"/>
  <c r="Z108" i="1" s="1"/>
  <c r="A96" i="1"/>
  <c r="Z96" i="1" s="1"/>
  <c r="A95" i="1"/>
  <c r="Z95" i="1"/>
  <c r="A94" i="1"/>
  <c r="Z94" i="1" s="1"/>
  <c r="A82" i="1"/>
  <c r="Z82" i="1" s="1"/>
  <c r="A81" i="1"/>
  <c r="Z81" i="1" s="1"/>
  <c r="A80" i="1"/>
  <c r="Z80" i="1" s="1"/>
  <c r="A68" i="1"/>
  <c r="Z68" i="1" s="1"/>
  <c r="A67" i="1"/>
  <c r="Z67" i="1" s="1"/>
  <c r="A66" i="1"/>
  <c r="Z66" i="1" s="1"/>
  <c r="A54" i="1"/>
  <c r="Z54" i="1" s="1"/>
  <c r="A53" i="1"/>
  <c r="Z53" i="1" s="1"/>
  <c r="A52" i="1"/>
  <c r="Z52" i="1" s="1"/>
  <c r="A40" i="1"/>
  <c r="Z40" i="1" s="1"/>
  <c r="A39" i="1"/>
  <c r="Z39" i="1" s="1"/>
  <c r="A38" i="1"/>
  <c r="Z38" i="1" s="1"/>
  <c r="A26" i="1"/>
  <c r="Z26" i="1" s="1"/>
  <c r="A25" i="1"/>
  <c r="Z25" i="1" s="1"/>
  <c r="A24" i="1"/>
  <c r="Z24" i="1" s="1"/>
  <c r="Z3" i="1"/>
  <c r="X14" i="1"/>
  <c r="A4" i="67"/>
  <c r="F4" i="67"/>
  <c r="A5" i="67"/>
  <c r="F5" i="67"/>
  <c r="A6" i="67"/>
  <c r="F6" i="67"/>
  <c r="A7" i="67"/>
  <c r="F7" i="67"/>
  <c r="A8" i="67"/>
  <c r="F8" i="67"/>
  <c r="A9" i="67"/>
  <c r="F9" i="67"/>
  <c r="A10" i="67"/>
  <c r="F10" i="67"/>
  <c r="A11" i="67"/>
  <c r="F11" i="67"/>
  <c r="A12" i="67"/>
  <c r="F12" i="67"/>
  <c r="B14" i="67"/>
  <c r="C14" i="67"/>
  <c r="D14" i="67"/>
  <c r="G14" i="67"/>
  <c r="H14" i="67"/>
  <c r="I14" i="67"/>
  <c r="A17" i="67"/>
  <c r="F17" i="67"/>
  <c r="A18" i="67"/>
  <c r="F18" i="67"/>
  <c r="A19" i="67"/>
  <c r="F19" i="67"/>
  <c r="A20" i="67"/>
  <c r="F20" i="67"/>
  <c r="A21" i="67"/>
  <c r="F21" i="67"/>
  <c r="A22" i="67"/>
  <c r="F22" i="67"/>
  <c r="A23" i="67"/>
  <c r="F23" i="67"/>
  <c r="A24" i="67"/>
  <c r="F24" i="67"/>
  <c r="A25" i="67"/>
  <c r="F25" i="67"/>
  <c r="B27" i="67"/>
  <c r="C27" i="67"/>
  <c r="D27" i="67"/>
  <c r="G27" i="67"/>
  <c r="H27" i="67"/>
  <c r="I27" i="67"/>
  <c r="A30" i="67"/>
  <c r="F30" i="67"/>
  <c r="A31" i="67"/>
  <c r="F31" i="67"/>
  <c r="A32" i="67"/>
  <c r="F32" i="67"/>
  <c r="A33" i="67"/>
  <c r="F33" i="67"/>
  <c r="A34" i="67"/>
  <c r="F34" i="67"/>
  <c r="A35" i="67"/>
  <c r="F35" i="67"/>
  <c r="A36" i="67"/>
  <c r="F36" i="67"/>
  <c r="A37" i="67"/>
  <c r="F37" i="67"/>
  <c r="A38" i="67"/>
  <c r="F38" i="67"/>
  <c r="B40" i="67"/>
  <c r="C40" i="67"/>
  <c r="D40" i="67"/>
  <c r="G40" i="67"/>
  <c r="H40" i="67"/>
  <c r="I40" i="67"/>
  <c r="A43" i="67"/>
  <c r="F43" i="67"/>
  <c r="A44" i="67"/>
  <c r="F44" i="67"/>
  <c r="A45" i="67"/>
  <c r="F45" i="67"/>
  <c r="A46" i="67"/>
  <c r="F46" i="67"/>
  <c r="A47" i="67"/>
  <c r="F47" i="67"/>
  <c r="A48" i="67"/>
  <c r="F48" i="67"/>
  <c r="A49" i="67"/>
  <c r="F49" i="67"/>
  <c r="A50" i="67"/>
  <c r="F50" i="67"/>
  <c r="A51" i="67"/>
  <c r="F51" i="67"/>
  <c r="B53" i="67"/>
  <c r="C53" i="67"/>
  <c r="D53" i="67"/>
  <c r="G53" i="67"/>
  <c r="H53" i="67"/>
  <c r="I53" i="67"/>
  <c r="A56" i="67"/>
  <c r="F56" i="67"/>
  <c r="A57" i="67"/>
  <c r="F57" i="67"/>
  <c r="A58" i="67"/>
  <c r="F58" i="67"/>
  <c r="A59" i="67"/>
  <c r="F59" i="67"/>
  <c r="A60" i="67"/>
  <c r="F60" i="67"/>
  <c r="A61" i="67"/>
  <c r="F61" i="67"/>
  <c r="A62" i="67"/>
  <c r="F62" i="67"/>
  <c r="A63" i="67"/>
  <c r="F63" i="67"/>
  <c r="A64" i="67"/>
  <c r="F64" i="67"/>
  <c r="B66" i="67"/>
  <c r="C66" i="67"/>
  <c r="D66" i="67"/>
  <c r="G66" i="67"/>
  <c r="H66" i="67"/>
  <c r="I66" i="67"/>
  <c r="A69" i="67"/>
  <c r="F69" i="67"/>
  <c r="A70" i="67"/>
  <c r="F70" i="67"/>
  <c r="A71" i="67"/>
  <c r="F71" i="67"/>
  <c r="A72" i="67"/>
  <c r="F72" i="67"/>
  <c r="A73" i="67"/>
  <c r="F73" i="67"/>
  <c r="A74" i="67"/>
  <c r="F74" i="67"/>
  <c r="A75" i="67"/>
  <c r="F75" i="67"/>
  <c r="A76" i="67"/>
  <c r="F76" i="67"/>
  <c r="A77" i="67"/>
  <c r="F77" i="67"/>
  <c r="B79" i="67"/>
  <c r="C79" i="67"/>
  <c r="D79" i="67"/>
  <c r="G79" i="67"/>
  <c r="H79" i="67"/>
  <c r="I79" i="67"/>
  <c r="A82" i="67"/>
  <c r="F82" i="67"/>
  <c r="A83" i="67"/>
  <c r="F83" i="67"/>
  <c r="A84" i="67"/>
  <c r="F84" i="67"/>
  <c r="A85" i="67"/>
  <c r="F85" i="67"/>
  <c r="A86" i="67"/>
  <c r="F86" i="67"/>
  <c r="A87" i="67"/>
  <c r="F87" i="67"/>
  <c r="A88" i="67"/>
  <c r="F88" i="67"/>
  <c r="A89" i="67"/>
  <c r="F89" i="67"/>
  <c r="A90" i="67"/>
  <c r="F90" i="67"/>
  <c r="B92" i="67"/>
  <c r="C92" i="67"/>
  <c r="D92" i="67"/>
  <c r="G92" i="67"/>
  <c r="H92" i="67"/>
  <c r="I92" i="67"/>
  <c r="A95" i="67"/>
  <c r="F95" i="67"/>
  <c r="A96" i="67"/>
  <c r="F96" i="67"/>
  <c r="A97" i="67"/>
  <c r="F97" i="67"/>
  <c r="A98" i="67"/>
  <c r="F98" i="67"/>
  <c r="A99" i="67"/>
  <c r="F99" i="67"/>
  <c r="A100" i="67"/>
  <c r="F100" i="67"/>
  <c r="A101" i="67"/>
  <c r="F101" i="67"/>
  <c r="A102" i="67"/>
  <c r="F102" i="67"/>
  <c r="A103" i="67"/>
  <c r="F103" i="67"/>
  <c r="B105" i="67"/>
  <c r="C105" i="67"/>
  <c r="D105" i="67"/>
  <c r="G105" i="67"/>
  <c r="H105" i="67"/>
  <c r="I105" i="67"/>
  <c r="A108" i="67"/>
  <c r="F108" i="67"/>
  <c r="A109" i="67"/>
  <c r="F109" i="67"/>
  <c r="A110" i="67"/>
  <c r="F110" i="67"/>
  <c r="A111" i="67"/>
  <c r="F111" i="67"/>
  <c r="A112" i="67"/>
  <c r="F112" i="67"/>
  <c r="A113" i="67"/>
  <c r="F113" i="67"/>
  <c r="A114" i="67"/>
  <c r="F114" i="67"/>
  <c r="A115" i="67"/>
  <c r="F115" i="67"/>
  <c r="A116" i="67"/>
  <c r="F116" i="67"/>
  <c r="B118" i="67"/>
  <c r="C118" i="67"/>
  <c r="D118" i="67"/>
  <c r="G118" i="67"/>
  <c r="H118" i="67"/>
  <c r="I118" i="67"/>
  <c r="A121" i="67"/>
  <c r="F121" i="67"/>
  <c r="A122" i="67"/>
  <c r="F122" i="67"/>
  <c r="A123" i="67"/>
  <c r="F123" i="67"/>
  <c r="A124" i="67"/>
  <c r="F124" i="67"/>
  <c r="A125" i="67"/>
  <c r="F125" i="67"/>
  <c r="A126" i="67"/>
  <c r="F126" i="67"/>
  <c r="A127" i="67"/>
  <c r="F127" i="67"/>
  <c r="A128" i="67"/>
  <c r="F128" i="67"/>
  <c r="A129" i="67"/>
  <c r="F129" i="67"/>
  <c r="B131" i="67"/>
  <c r="C131" i="67"/>
  <c r="D131" i="67"/>
  <c r="G131" i="67"/>
  <c r="H131" i="67"/>
  <c r="I131" i="67"/>
  <c r="A4" i="66"/>
  <c r="F4" i="66"/>
  <c r="A5" i="66"/>
  <c r="F5" i="66"/>
  <c r="A6" i="66"/>
  <c r="F6" i="66"/>
  <c r="A7" i="66"/>
  <c r="F7" i="66"/>
  <c r="A8" i="66"/>
  <c r="F8" i="66"/>
  <c r="A9" i="66"/>
  <c r="F9" i="66"/>
  <c r="A10" i="66"/>
  <c r="F10" i="66"/>
  <c r="A11" i="66"/>
  <c r="F11" i="66"/>
  <c r="A12" i="66"/>
  <c r="F12" i="66"/>
  <c r="B14" i="66"/>
  <c r="C14" i="66"/>
  <c r="D14" i="66"/>
  <c r="G14" i="66"/>
  <c r="H14" i="66"/>
  <c r="I14" i="66"/>
  <c r="A17" i="66"/>
  <c r="F17" i="66"/>
  <c r="A18" i="66"/>
  <c r="F18" i="66"/>
  <c r="A19" i="66"/>
  <c r="F19" i="66"/>
  <c r="A20" i="66"/>
  <c r="F20" i="66"/>
  <c r="A21" i="66"/>
  <c r="F21" i="66"/>
  <c r="A22" i="66"/>
  <c r="F22" i="66"/>
  <c r="A23" i="66"/>
  <c r="F23" i="66"/>
  <c r="A24" i="66"/>
  <c r="F24" i="66"/>
  <c r="A25" i="66"/>
  <c r="F25" i="66"/>
  <c r="B27" i="66"/>
  <c r="C27" i="66"/>
  <c r="D27" i="66"/>
  <c r="G27" i="66"/>
  <c r="H27" i="66"/>
  <c r="I27" i="66"/>
  <c r="A30" i="66"/>
  <c r="F30" i="66"/>
  <c r="A31" i="66"/>
  <c r="F31" i="66"/>
  <c r="A32" i="66"/>
  <c r="F32" i="66"/>
  <c r="A33" i="66"/>
  <c r="F33" i="66"/>
  <c r="A34" i="66"/>
  <c r="F34" i="66"/>
  <c r="A35" i="66"/>
  <c r="F35" i="66"/>
  <c r="A36" i="66"/>
  <c r="F36" i="66"/>
  <c r="A37" i="66"/>
  <c r="F37" i="66"/>
  <c r="A38" i="66"/>
  <c r="F38" i="66"/>
  <c r="B40" i="66"/>
  <c r="C40" i="66"/>
  <c r="D40" i="66"/>
  <c r="G40" i="66"/>
  <c r="H40" i="66"/>
  <c r="I40" i="66"/>
  <c r="A43" i="66"/>
  <c r="F43" i="66"/>
  <c r="A44" i="66"/>
  <c r="F44" i="66"/>
  <c r="A45" i="66"/>
  <c r="F45" i="66"/>
  <c r="A46" i="66"/>
  <c r="F46" i="66"/>
  <c r="A47" i="66"/>
  <c r="F47" i="66"/>
  <c r="A48" i="66"/>
  <c r="F48" i="66"/>
  <c r="A49" i="66"/>
  <c r="F49" i="66"/>
  <c r="A50" i="66"/>
  <c r="F50" i="66"/>
  <c r="A51" i="66"/>
  <c r="F51" i="66"/>
  <c r="B53" i="66"/>
  <c r="C53" i="66"/>
  <c r="D53" i="66"/>
  <c r="G53" i="66"/>
  <c r="H53" i="66"/>
  <c r="I53" i="66"/>
  <c r="A56" i="66"/>
  <c r="F56" i="66"/>
  <c r="A57" i="66"/>
  <c r="F57" i="66"/>
  <c r="A58" i="66"/>
  <c r="F58" i="66"/>
  <c r="A59" i="66"/>
  <c r="F59" i="66"/>
  <c r="A60" i="66"/>
  <c r="F60" i="66"/>
  <c r="A61" i="66"/>
  <c r="F61" i="66"/>
  <c r="A62" i="66"/>
  <c r="F62" i="66"/>
  <c r="A63" i="66"/>
  <c r="F63" i="66"/>
  <c r="A64" i="66"/>
  <c r="F64" i="66"/>
  <c r="B66" i="66"/>
  <c r="C66" i="66"/>
  <c r="D66" i="66"/>
  <c r="G66" i="66"/>
  <c r="H66" i="66"/>
  <c r="I66" i="66"/>
  <c r="A69" i="66"/>
  <c r="F69" i="66"/>
  <c r="A70" i="66"/>
  <c r="F70" i="66"/>
  <c r="A71" i="66"/>
  <c r="F71" i="66"/>
  <c r="A72" i="66"/>
  <c r="F72" i="66"/>
  <c r="A73" i="66"/>
  <c r="F73" i="66"/>
  <c r="A74" i="66"/>
  <c r="F74" i="66"/>
  <c r="A75" i="66"/>
  <c r="F75" i="66"/>
  <c r="A76" i="66"/>
  <c r="F76" i="66"/>
  <c r="A77" i="66"/>
  <c r="F77" i="66"/>
  <c r="B79" i="66"/>
  <c r="C79" i="66"/>
  <c r="D79" i="66"/>
  <c r="G79" i="66"/>
  <c r="H79" i="66"/>
  <c r="I79" i="66"/>
  <c r="A82" i="66"/>
  <c r="F82" i="66"/>
  <c r="A83" i="66"/>
  <c r="F83" i="66"/>
  <c r="A84" i="66"/>
  <c r="F84" i="66"/>
  <c r="A85" i="66"/>
  <c r="F85" i="66"/>
  <c r="A86" i="66"/>
  <c r="F86" i="66"/>
  <c r="A87" i="66"/>
  <c r="F87" i="66"/>
  <c r="A88" i="66"/>
  <c r="F88" i="66"/>
  <c r="A89" i="66"/>
  <c r="F89" i="66"/>
  <c r="A90" i="66"/>
  <c r="F90" i="66"/>
  <c r="B92" i="66"/>
  <c r="C92" i="66"/>
  <c r="D92" i="66"/>
  <c r="G92" i="66"/>
  <c r="H92" i="66"/>
  <c r="I92" i="66"/>
  <c r="A95" i="66"/>
  <c r="F95" i="66"/>
  <c r="A96" i="66"/>
  <c r="F96" i="66"/>
  <c r="A97" i="66"/>
  <c r="F97" i="66"/>
  <c r="A98" i="66"/>
  <c r="F98" i="66"/>
  <c r="A99" i="66"/>
  <c r="F99" i="66"/>
  <c r="A100" i="66"/>
  <c r="F100" i="66"/>
  <c r="A101" i="66"/>
  <c r="F101" i="66"/>
  <c r="A102" i="66"/>
  <c r="F102" i="66"/>
  <c r="A103" i="66"/>
  <c r="F103" i="66"/>
  <c r="B105" i="66"/>
  <c r="C105" i="66"/>
  <c r="D105" i="66"/>
  <c r="G105" i="66"/>
  <c r="H105" i="66"/>
  <c r="I105" i="66"/>
  <c r="A108" i="66"/>
  <c r="F108" i="66"/>
  <c r="A109" i="66"/>
  <c r="F109" i="66"/>
  <c r="A110" i="66"/>
  <c r="F110" i="66"/>
  <c r="A111" i="66"/>
  <c r="F111" i="66"/>
  <c r="A112" i="66"/>
  <c r="F112" i="66"/>
  <c r="A113" i="66"/>
  <c r="F113" i="66"/>
  <c r="A114" i="66"/>
  <c r="F114" i="66"/>
  <c r="A115" i="66"/>
  <c r="F115" i="66"/>
  <c r="A116" i="66"/>
  <c r="F116" i="66"/>
  <c r="B118" i="66"/>
  <c r="C118" i="66"/>
  <c r="D118" i="66"/>
  <c r="G118" i="66"/>
  <c r="H118" i="66"/>
  <c r="I118" i="66"/>
  <c r="A121" i="66"/>
  <c r="F121" i="66"/>
  <c r="A122" i="66"/>
  <c r="F122" i="66"/>
  <c r="A123" i="66"/>
  <c r="F123" i="66"/>
  <c r="A124" i="66"/>
  <c r="F124" i="66"/>
  <c r="A125" i="66"/>
  <c r="F125" i="66"/>
  <c r="A126" i="66"/>
  <c r="F126" i="66"/>
  <c r="A127" i="66"/>
  <c r="F127" i="66"/>
  <c r="A128" i="66"/>
  <c r="F128" i="66"/>
  <c r="A129" i="66"/>
  <c r="F129" i="66"/>
  <c r="B131" i="66"/>
  <c r="C131" i="66"/>
  <c r="D131" i="66"/>
  <c r="G131" i="66"/>
  <c r="H131" i="66"/>
  <c r="I131" i="66"/>
  <c r="A4" i="65"/>
  <c r="F4" i="65"/>
  <c r="A5" i="65"/>
  <c r="F5" i="65"/>
  <c r="A6" i="65"/>
  <c r="F6" i="65"/>
  <c r="A7" i="65"/>
  <c r="F7" i="65"/>
  <c r="A8" i="65"/>
  <c r="F8" i="65"/>
  <c r="A9" i="65"/>
  <c r="F9" i="65"/>
  <c r="A10" i="65"/>
  <c r="F10" i="65"/>
  <c r="A11" i="65"/>
  <c r="F11" i="65"/>
  <c r="A12" i="65"/>
  <c r="F12" i="65"/>
  <c r="B14" i="65"/>
  <c r="C14" i="65"/>
  <c r="D14" i="65"/>
  <c r="G14" i="65"/>
  <c r="H14" i="65"/>
  <c r="I14" i="65"/>
  <c r="A17" i="65"/>
  <c r="F17" i="65"/>
  <c r="A18" i="65"/>
  <c r="F18" i="65"/>
  <c r="A19" i="65"/>
  <c r="F19" i="65"/>
  <c r="A20" i="65"/>
  <c r="F20" i="65"/>
  <c r="A21" i="65"/>
  <c r="F21" i="65"/>
  <c r="A22" i="65"/>
  <c r="F22" i="65"/>
  <c r="A23" i="65"/>
  <c r="F23" i="65"/>
  <c r="A24" i="65"/>
  <c r="F24" i="65"/>
  <c r="A25" i="65"/>
  <c r="F25" i="65"/>
  <c r="B27" i="65"/>
  <c r="C27" i="65"/>
  <c r="D27" i="65"/>
  <c r="G27" i="65"/>
  <c r="H27" i="65"/>
  <c r="I27" i="65"/>
  <c r="A30" i="65"/>
  <c r="F30" i="65"/>
  <c r="A31" i="65"/>
  <c r="F31" i="65"/>
  <c r="A32" i="65"/>
  <c r="F32" i="65"/>
  <c r="A33" i="65"/>
  <c r="F33" i="65"/>
  <c r="A34" i="65"/>
  <c r="F34" i="65"/>
  <c r="A35" i="65"/>
  <c r="F35" i="65"/>
  <c r="A36" i="65"/>
  <c r="F36" i="65"/>
  <c r="A37" i="65"/>
  <c r="F37" i="65"/>
  <c r="A38" i="65"/>
  <c r="F38" i="65"/>
  <c r="B40" i="65"/>
  <c r="C40" i="65"/>
  <c r="D40" i="65"/>
  <c r="G40" i="65"/>
  <c r="H40" i="65"/>
  <c r="I40" i="65"/>
  <c r="A43" i="65"/>
  <c r="F43" i="65"/>
  <c r="A44" i="65"/>
  <c r="F44" i="65"/>
  <c r="A45" i="65"/>
  <c r="F45" i="65"/>
  <c r="A46" i="65"/>
  <c r="F46" i="65"/>
  <c r="A47" i="65"/>
  <c r="F47" i="65"/>
  <c r="A48" i="65"/>
  <c r="F48" i="65"/>
  <c r="A49" i="65"/>
  <c r="F49" i="65"/>
  <c r="A50" i="65"/>
  <c r="F50" i="65"/>
  <c r="A51" i="65"/>
  <c r="F51" i="65"/>
  <c r="B53" i="65"/>
  <c r="C53" i="65"/>
  <c r="D53" i="65"/>
  <c r="G53" i="65"/>
  <c r="H53" i="65"/>
  <c r="I53" i="65"/>
  <c r="A56" i="65"/>
  <c r="F56" i="65"/>
  <c r="A57" i="65"/>
  <c r="F57" i="65"/>
  <c r="A58" i="65"/>
  <c r="F58" i="65"/>
  <c r="A59" i="65"/>
  <c r="F59" i="65"/>
  <c r="A60" i="65"/>
  <c r="F60" i="65"/>
  <c r="A61" i="65"/>
  <c r="F61" i="65"/>
  <c r="A62" i="65"/>
  <c r="F62" i="65"/>
  <c r="A63" i="65"/>
  <c r="F63" i="65"/>
  <c r="A64" i="65"/>
  <c r="F64" i="65"/>
  <c r="B66" i="65"/>
  <c r="C66" i="65"/>
  <c r="D66" i="65"/>
  <c r="G66" i="65"/>
  <c r="H66" i="65"/>
  <c r="I66" i="65"/>
  <c r="A69" i="65"/>
  <c r="F69" i="65"/>
  <c r="A70" i="65"/>
  <c r="F70" i="65"/>
  <c r="A71" i="65"/>
  <c r="F71" i="65"/>
  <c r="A72" i="65"/>
  <c r="F72" i="65"/>
  <c r="A73" i="65"/>
  <c r="F73" i="65"/>
  <c r="A74" i="65"/>
  <c r="F74" i="65"/>
  <c r="A75" i="65"/>
  <c r="F75" i="65"/>
  <c r="A76" i="65"/>
  <c r="F76" i="65"/>
  <c r="A77" i="65"/>
  <c r="F77" i="65"/>
  <c r="B79" i="65"/>
  <c r="C79" i="65"/>
  <c r="D79" i="65"/>
  <c r="G79" i="65"/>
  <c r="H79" i="65"/>
  <c r="I79" i="65"/>
  <c r="A82" i="65"/>
  <c r="F82" i="65"/>
  <c r="A83" i="65"/>
  <c r="F83" i="65"/>
  <c r="A84" i="65"/>
  <c r="F84" i="65"/>
  <c r="A85" i="65"/>
  <c r="F85" i="65"/>
  <c r="A86" i="65"/>
  <c r="F86" i="65"/>
  <c r="A87" i="65"/>
  <c r="F87" i="65"/>
  <c r="A88" i="65"/>
  <c r="F88" i="65"/>
  <c r="A89" i="65"/>
  <c r="F89" i="65"/>
  <c r="A90" i="65"/>
  <c r="F90" i="65"/>
  <c r="B92" i="65"/>
  <c r="C92" i="65"/>
  <c r="D92" i="65"/>
  <c r="G92" i="65"/>
  <c r="H92" i="65"/>
  <c r="I92" i="65"/>
  <c r="A95" i="65"/>
  <c r="F95" i="65"/>
  <c r="A96" i="65"/>
  <c r="F96" i="65"/>
  <c r="A97" i="65"/>
  <c r="F97" i="65"/>
  <c r="A98" i="65"/>
  <c r="F98" i="65"/>
  <c r="A99" i="65"/>
  <c r="F99" i="65"/>
  <c r="A100" i="65"/>
  <c r="F100" i="65"/>
  <c r="A101" i="65"/>
  <c r="F101" i="65"/>
  <c r="A102" i="65"/>
  <c r="F102" i="65"/>
  <c r="A103" i="65"/>
  <c r="F103" i="65"/>
  <c r="B105" i="65"/>
  <c r="C105" i="65"/>
  <c r="D105" i="65"/>
  <c r="G105" i="65"/>
  <c r="H105" i="65"/>
  <c r="I105" i="65"/>
  <c r="A108" i="65"/>
  <c r="F108" i="65"/>
  <c r="A109" i="65"/>
  <c r="F109" i="65"/>
  <c r="A110" i="65"/>
  <c r="F110" i="65"/>
  <c r="A111" i="65"/>
  <c r="F111" i="65"/>
  <c r="A112" i="65"/>
  <c r="F112" i="65"/>
  <c r="A113" i="65"/>
  <c r="F113" i="65"/>
  <c r="A114" i="65"/>
  <c r="F114" i="65"/>
  <c r="A115" i="65"/>
  <c r="F115" i="65"/>
  <c r="A116" i="65"/>
  <c r="F116" i="65"/>
  <c r="B118" i="65"/>
  <c r="C118" i="65"/>
  <c r="D118" i="65"/>
  <c r="G118" i="65"/>
  <c r="H118" i="65"/>
  <c r="I118" i="65"/>
  <c r="A121" i="65"/>
  <c r="F121" i="65"/>
  <c r="A122" i="65"/>
  <c r="F122" i="65"/>
  <c r="A123" i="65"/>
  <c r="F123" i="65"/>
  <c r="A124" i="65"/>
  <c r="F124" i="65"/>
  <c r="A125" i="65"/>
  <c r="F125" i="65"/>
  <c r="A126" i="65"/>
  <c r="F126" i="65"/>
  <c r="A127" i="65"/>
  <c r="F127" i="65"/>
  <c r="A128" i="65"/>
  <c r="F128" i="65"/>
  <c r="A129" i="65"/>
  <c r="F129" i="65"/>
  <c r="B131" i="65"/>
  <c r="C131" i="65"/>
  <c r="D131" i="65"/>
  <c r="G131" i="65"/>
  <c r="H131" i="65"/>
  <c r="I131" i="65"/>
  <c r="A4" i="64"/>
  <c r="F4" i="64"/>
  <c r="A5" i="64"/>
  <c r="F5" i="64"/>
  <c r="A6" i="64"/>
  <c r="F6" i="64"/>
  <c r="A7" i="64"/>
  <c r="F7" i="64"/>
  <c r="A8" i="64"/>
  <c r="F8" i="64"/>
  <c r="A9" i="64"/>
  <c r="F9" i="64"/>
  <c r="A10" i="64"/>
  <c r="F10" i="64"/>
  <c r="A11" i="64"/>
  <c r="F11" i="64"/>
  <c r="A12" i="64"/>
  <c r="F12" i="64"/>
  <c r="B14" i="64"/>
  <c r="C14" i="64"/>
  <c r="D14" i="64"/>
  <c r="G14" i="64"/>
  <c r="H14" i="64"/>
  <c r="I14" i="64"/>
  <c r="A17" i="64"/>
  <c r="F17" i="64"/>
  <c r="A18" i="64"/>
  <c r="F18" i="64"/>
  <c r="A19" i="64"/>
  <c r="F19" i="64"/>
  <c r="A20" i="64"/>
  <c r="F20" i="64"/>
  <c r="A21" i="64"/>
  <c r="F21" i="64"/>
  <c r="A22" i="64"/>
  <c r="F22" i="64"/>
  <c r="A23" i="64"/>
  <c r="F23" i="64"/>
  <c r="A24" i="64"/>
  <c r="F24" i="64"/>
  <c r="A25" i="64"/>
  <c r="F25" i="64"/>
  <c r="B27" i="64"/>
  <c r="C27" i="64"/>
  <c r="D27" i="64"/>
  <c r="G27" i="64"/>
  <c r="H27" i="64"/>
  <c r="I27" i="64"/>
  <c r="A30" i="64"/>
  <c r="F30" i="64"/>
  <c r="A31" i="64"/>
  <c r="F31" i="64"/>
  <c r="A32" i="64"/>
  <c r="F32" i="64"/>
  <c r="A33" i="64"/>
  <c r="F33" i="64"/>
  <c r="A34" i="64"/>
  <c r="F34" i="64"/>
  <c r="A35" i="64"/>
  <c r="F35" i="64"/>
  <c r="A36" i="64"/>
  <c r="F36" i="64"/>
  <c r="A37" i="64"/>
  <c r="F37" i="64"/>
  <c r="A38" i="64"/>
  <c r="F38" i="64"/>
  <c r="B40" i="64"/>
  <c r="C40" i="64"/>
  <c r="D40" i="64"/>
  <c r="G40" i="64"/>
  <c r="H40" i="64"/>
  <c r="I40" i="64"/>
  <c r="A43" i="64"/>
  <c r="F43" i="64"/>
  <c r="A44" i="64"/>
  <c r="F44" i="64"/>
  <c r="A45" i="64"/>
  <c r="F45" i="64"/>
  <c r="A46" i="64"/>
  <c r="F46" i="64"/>
  <c r="A47" i="64"/>
  <c r="F47" i="64"/>
  <c r="A48" i="64"/>
  <c r="F48" i="64"/>
  <c r="A49" i="64"/>
  <c r="F49" i="64"/>
  <c r="A50" i="64"/>
  <c r="F50" i="64"/>
  <c r="A51" i="64"/>
  <c r="F51" i="64"/>
  <c r="B53" i="64"/>
  <c r="C53" i="64"/>
  <c r="D53" i="64"/>
  <c r="G53" i="64"/>
  <c r="H53" i="64"/>
  <c r="I53" i="64"/>
  <c r="A56" i="64"/>
  <c r="F56" i="64"/>
  <c r="A57" i="64"/>
  <c r="F57" i="64"/>
  <c r="A58" i="64"/>
  <c r="F58" i="64"/>
  <c r="A59" i="64"/>
  <c r="F59" i="64"/>
  <c r="A60" i="64"/>
  <c r="F60" i="64"/>
  <c r="A61" i="64"/>
  <c r="F61" i="64"/>
  <c r="A62" i="64"/>
  <c r="F62" i="64"/>
  <c r="A63" i="64"/>
  <c r="F63" i="64"/>
  <c r="A64" i="64"/>
  <c r="F64" i="64"/>
  <c r="B66" i="64"/>
  <c r="C66" i="64"/>
  <c r="D66" i="64"/>
  <c r="G66" i="64"/>
  <c r="H66" i="64"/>
  <c r="I66" i="64"/>
  <c r="A69" i="64"/>
  <c r="F69" i="64"/>
  <c r="A70" i="64"/>
  <c r="F70" i="64"/>
  <c r="A71" i="64"/>
  <c r="F71" i="64"/>
  <c r="A72" i="64"/>
  <c r="F72" i="64"/>
  <c r="A73" i="64"/>
  <c r="F73" i="64"/>
  <c r="A74" i="64"/>
  <c r="F74" i="64"/>
  <c r="A75" i="64"/>
  <c r="F75" i="64"/>
  <c r="A76" i="64"/>
  <c r="F76" i="64"/>
  <c r="A77" i="64"/>
  <c r="F77" i="64"/>
  <c r="B79" i="64"/>
  <c r="C79" i="64"/>
  <c r="D79" i="64"/>
  <c r="G79" i="64"/>
  <c r="H79" i="64"/>
  <c r="I79" i="64"/>
  <c r="A82" i="64"/>
  <c r="F82" i="64"/>
  <c r="A83" i="64"/>
  <c r="F83" i="64"/>
  <c r="A84" i="64"/>
  <c r="F84" i="64"/>
  <c r="A85" i="64"/>
  <c r="F85" i="64"/>
  <c r="A86" i="64"/>
  <c r="F86" i="64"/>
  <c r="A87" i="64"/>
  <c r="F87" i="64"/>
  <c r="A88" i="64"/>
  <c r="F88" i="64"/>
  <c r="A89" i="64"/>
  <c r="F89" i="64"/>
  <c r="A90" i="64"/>
  <c r="F90" i="64"/>
  <c r="B92" i="64"/>
  <c r="C92" i="64"/>
  <c r="D92" i="64"/>
  <c r="G92" i="64"/>
  <c r="H92" i="64"/>
  <c r="I92" i="64"/>
  <c r="A95" i="64"/>
  <c r="F95" i="64"/>
  <c r="A96" i="64"/>
  <c r="F96" i="64"/>
  <c r="A97" i="64"/>
  <c r="F97" i="64"/>
  <c r="A98" i="64"/>
  <c r="F98" i="64"/>
  <c r="A99" i="64"/>
  <c r="F99" i="64"/>
  <c r="A100" i="64"/>
  <c r="F100" i="64"/>
  <c r="A101" i="64"/>
  <c r="F101" i="64"/>
  <c r="A102" i="64"/>
  <c r="F102" i="64"/>
  <c r="A103" i="64"/>
  <c r="F103" i="64"/>
  <c r="B105" i="64"/>
  <c r="C105" i="64"/>
  <c r="D105" i="64"/>
  <c r="G105" i="64"/>
  <c r="H105" i="64"/>
  <c r="I105" i="64"/>
  <c r="A108" i="64"/>
  <c r="F108" i="64"/>
  <c r="A109" i="64"/>
  <c r="F109" i="64"/>
  <c r="A110" i="64"/>
  <c r="F110" i="64"/>
  <c r="A111" i="64"/>
  <c r="F111" i="64"/>
  <c r="A112" i="64"/>
  <c r="F112" i="64"/>
  <c r="A113" i="64"/>
  <c r="F113" i="64"/>
  <c r="A114" i="64"/>
  <c r="F114" i="64"/>
  <c r="A115" i="64"/>
  <c r="F115" i="64"/>
  <c r="A116" i="64"/>
  <c r="F116" i="64"/>
  <c r="B118" i="64"/>
  <c r="C118" i="64"/>
  <c r="D118" i="64"/>
  <c r="G118" i="64"/>
  <c r="H118" i="64"/>
  <c r="I118" i="64"/>
  <c r="A121" i="64"/>
  <c r="F121" i="64"/>
  <c r="A122" i="64"/>
  <c r="F122" i="64"/>
  <c r="A123" i="64"/>
  <c r="F123" i="64"/>
  <c r="A124" i="64"/>
  <c r="F124" i="64"/>
  <c r="A125" i="64"/>
  <c r="F125" i="64"/>
  <c r="A126" i="64"/>
  <c r="F126" i="64"/>
  <c r="A127" i="64"/>
  <c r="F127" i="64"/>
  <c r="A128" i="64"/>
  <c r="F128" i="64"/>
  <c r="A129" i="64"/>
  <c r="F129" i="64"/>
  <c r="B131" i="64"/>
  <c r="C131" i="64"/>
  <c r="D131" i="64"/>
  <c r="G131" i="64"/>
  <c r="H131" i="64"/>
  <c r="I131" i="64"/>
  <c r="A4" i="63"/>
  <c r="F4" i="63"/>
  <c r="A5" i="63"/>
  <c r="F5" i="63"/>
  <c r="A6" i="63"/>
  <c r="F6" i="63"/>
  <c r="A7" i="63"/>
  <c r="F7" i="63"/>
  <c r="A8" i="63"/>
  <c r="F8" i="63"/>
  <c r="A9" i="63"/>
  <c r="F9" i="63"/>
  <c r="A10" i="63"/>
  <c r="F10" i="63"/>
  <c r="A11" i="63"/>
  <c r="F11" i="63"/>
  <c r="A12" i="63"/>
  <c r="F12" i="63"/>
  <c r="B14" i="63"/>
  <c r="C14" i="63"/>
  <c r="D14" i="63"/>
  <c r="G14" i="63"/>
  <c r="H14" i="63"/>
  <c r="I14" i="63"/>
  <c r="A17" i="63"/>
  <c r="F17" i="63"/>
  <c r="A18" i="63"/>
  <c r="F18" i="63"/>
  <c r="A19" i="63"/>
  <c r="F19" i="63"/>
  <c r="A20" i="63"/>
  <c r="F20" i="63"/>
  <c r="A21" i="63"/>
  <c r="F21" i="63"/>
  <c r="A22" i="63"/>
  <c r="F22" i="63"/>
  <c r="A23" i="63"/>
  <c r="F23" i="63"/>
  <c r="A24" i="63"/>
  <c r="F24" i="63"/>
  <c r="A25" i="63"/>
  <c r="F25" i="63"/>
  <c r="B27" i="63"/>
  <c r="C27" i="63"/>
  <c r="D27" i="63"/>
  <c r="G27" i="63"/>
  <c r="H27" i="63"/>
  <c r="I27" i="63"/>
  <c r="A30" i="63"/>
  <c r="F30" i="63"/>
  <c r="A31" i="63"/>
  <c r="F31" i="63"/>
  <c r="A32" i="63"/>
  <c r="F32" i="63"/>
  <c r="A33" i="63"/>
  <c r="F33" i="63"/>
  <c r="A34" i="63"/>
  <c r="F34" i="63"/>
  <c r="A35" i="63"/>
  <c r="F35" i="63"/>
  <c r="A36" i="63"/>
  <c r="F36" i="63"/>
  <c r="A37" i="63"/>
  <c r="F37" i="63"/>
  <c r="A38" i="63"/>
  <c r="F38" i="63"/>
  <c r="B40" i="63"/>
  <c r="C40" i="63"/>
  <c r="D40" i="63"/>
  <c r="G40" i="63"/>
  <c r="H40" i="63"/>
  <c r="I40" i="63"/>
  <c r="A43" i="63"/>
  <c r="F43" i="63"/>
  <c r="A44" i="63"/>
  <c r="F44" i="63"/>
  <c r="A45" i="63"/>
  <c r="F45" i="63"/>
  <c r="A46" i="63"/>
  <c r="F46" i="63"/>
  <c r="A47" i="63"/>
  <c r="F47" i="63"/>
  <c r="A48" i="63"/>
  <c r="F48" i="63"/>
  <c r="A49" i="63"/>
  <c r="F49" i="63"/>
  <c r="A50" i="63"/>
  <c r="F50" i="63"/>
  <c r="A51" i="63"/>
  <c r="F51" i="63"/>
  <c r="B53" i="63"/>
  <c r="C53" i="63"/>
  <c r="D53" i="63"/>
  <c r="G53" i="63"/>
  <c r="H53" i="63"/>
  <c r="I53" i="63"/>
  <c r="A56" i="63"/>
  <c r="F56" i="63"/>
  <c r="A57" i="63"/>
  <c r="F57" i="63"/>
  <c r="A58" i="63"/>
  <c r="F58" i="63"/>
  <c r="A59" i="63"/>
  <c r="F59" i="63"/>
  <c r="A60" i="63"/>
  <c r="F60" i="63"/>
  <c r="A61" i="63"/>
  <c r="F61" i="63"/>
  <c r="A62" i="63"/>
  <c r="F62" i="63"/>
  <c r="A63" i="63"/>
  <c r="F63" i="63"/>
  <c r="A64" i="63"/>
  <c r="F64" i="63"/>
  <c r="B66" i="63"/>
  <c r="C66" i="63"/>
  <c r="D66" i="63"/>
  <c r="G66" i="63"/>
  <c r="H66" i="63"/>
  <c r="I66" i="63"/>
  <c r="A69" i="63"/>
  <c r="F69" i="63"/>
  <c r="A70" i="63"/>
  <c r="F70" i="63"/>
  <c r="A71" i="63"/>
  <c r="F71" i="63"/>
  <c r="A72" i="63"/>
  <c r="F72" i="63"/>
  <c r="A73" i="63"/>
  <c r="F73" i="63"/>
  <c r="A74" i="63"/>
  <c r="F74" i="63"/>
  <c r="A75" i="63"/>
  <c r="F75" i="63"/>
  <c r="A76" i="63"/>
  <c r="F76" i="63"/>
  <c r="A77" i="63"/>
  <c r="F77" i="63"/>
  <c r="B79" i="63"/>
  <c r="C79" i="63"/>
  <c r="D79" i="63"/>
  <c r="G79" i="63"/>
  <c r="H79" i="63"/>
  <c r="I79" i="63"/>
  <c r="A82" i="63"/>
  <c r="F82" i="63"/>
  <c r="A83" i="63"/>
  <c r="F83" i="63"/>
  <c r="A84" i="63"/>
  <c r="F84" i="63"/>
  <c r="A85" i="63"/>
  <c r="F85" i="63"/>
  <c r="A86" i="63"/>
  <c r="F86" i="63"/>
  <c r="A87" i="63"/>
  <c r="F87" i="63"/>
  <c r="A88" i="63"/>
  <c r="F88" i="63"/>
  <c r="A89" i="63"/>
  <c r="F89" i="63"/>
  <c r="A90" i="63"/>
  <c r="F90" i="63"/>
  <c r="B92" i="63"/>
  <c r="C92" i="63"/>
  <c r="D92" i="63"/>
  <c r="G92" i="63"/>
  <c r="H92" i="63"/>
  <c r="I92" i="63"/>
  <c r="A95" i="63"/>
  <c r="F95" i="63"/>
  <c r="A96" i="63"/>
  <c r="F96" i="63"/>
  <c r="A97" i="63"/>
  <c r="F97" i="63"/>
  <c r="A98" i="63"/>
  <c r="F98" i="63"/>
  <c r="A99" i="63"/>
  <c r="F99" i="63"/>
  <c r="A100" i="63"/>
  <c r="F100" i="63"/>
  <c r="A101" i="63"/>
  <c r="F101" i="63"/>
  <c r="A102" i="63"/>
  <c r="F102" i="63"/>
  <c r="A103" i="63"/>
  <c r="F103" i="63"/>
  <c r="B105" i="63"/>
  <c r="C105" i="63"/>
  <c r="D105" i="63"/>
  <c r="G105" i="63"/>
  <c r="H105" i="63"/>
  <c r="I105" i="63"/>
  <c r="A108" i="63"/>
  <c r="F108" i="63"/>
  <c r="A109" i="63"/>
  <c r="F109" i="63"/>
  <c r="A110" i="63"/>
  <c r="F110" i="63"/>
  <c r="A111" i="63"/>
  <c r="F111" i="63"/>
  <c r="A112" i="63"/>
  <c r="F112" i="63"/>
  <c r="A113" i="63"/>
  <c r="F113" i="63"/>
  <c r="A114" i="63"/>
  <c r="F114" i="63"/>
  <c r="A115" i="63"/>
  <c r="F115" i="63"/>
  <c r="A116" i="63"/>
  <c r="F116" i="63"/>
  <c r="B118" i="63"/>
  <c r="C118" i="63"/>
  <c r="D118" i="63"/>
  <c r="G118" i="63"/>
  <c r="H118" i="63"/>
  <c r="I118" i="63"/>
  <c r="A121" i="63"/>
  <c r="F121" i="63"/>
  <c r="A122" i="63"/>
  <c r="F122" i="63"/>
  <c r="A123" i="63"/>
  <c r="F123" i="63"/>
  <c r="A124" i="63"/>
  <c r="F124" i="63"/>
  <c r="A125" i="63"/>
  <c r="F125" i="63"/>
  <c r="A126" i="63"/>
  <c r="F126" i="63"/>
  <c r="A127" i="63"/>
  <c r="F127" i="63"/>
  <c r="A128" i="63"/>
  <c r="F128" i="63"/>
  <c r="A129" i="63"/>
  <c r="F129" i="63"/>
  <c r="B131" i="63"/>
  <c r="C131" i="63"/>
  <c r="D131" i="63"/>
  <c r="G131" i="63"/>
  <c r="H131" i="63"/>
  <c r="I131" i="63"/>
  <c r="A4" i="62"/>
  <c r="F4" i="62"/>
  <c r="A5" i="62"/>
  <c r="F5" i="62"/>
  <c r="A6" i="62"/>
  <c r="F6" i="62"/>
  <c r="A7" i="62"/>
  <c r="F7" i="62"/>
  <c r="A8" i="62"/>
  <c r="F8" i="62"/>
  <c r="A9" i="62"/>
  <c r="F9" i="62"/>
  <c r="A10" i="62"/>
  <c r="F10" i="62"/>
  <c r="A11" i="62"/>
  <c r="F11" i="62"/>
  <c r="A12" i="62"/>
  <c r="F12" i="62"/>
  <c r="B14" i="62"/>
  <c r="C14" i="62"/>
  <c r="D14" i="62"/>
  <c r="G14" i="62"/>
  <c r="H14" i="62"/>
  <c r="I14" i="62"/>
  <c r="A17" i="62"/>
  <c r="F17" i="62"/>
  <c r="A18" i="62"/>
  <c r="F18" i="62"/>
  <c r="A19" i="62"/>
  <c r="F19" i="62"/>
  <c r="A20" i="62"/>
  <c r="F20" i="62"/>
  <c r="A21" i="62"/>
  <c r="F21" i="62"/>
  <c r="A22" i="62"/>
  <c r="F22" i="62"/>
  <c r="A23" i="62"/>
  <c r="F23" i="62"/>
  <c r="A24" i="62"/>
  <c r="F24" i="62"/>
  <c r="A25" i="62"/>
  <c r="F25" i="62"/>
  <c r="B27" i="62"/>
  <c r="C27" i="62"/>
  <c r="D27" i="62"/>
  <c r="G27" i="62"/>
  <c r="H27" i="62"/>
  <c r="I27" i="62"/>
  <c r="A30" i="62"/>
  <c r="F30" i="62"/>
  <c r="A31" i="62"/>
  <c r="F31" i="62"/>
  <c r="A32" i="62"/>
  <c r="F32" i="62"/>
  <c r="A33" i="62"/>
  <c r="F33" i="62"/>
  <c r="A34" i="62"/>
  <c r="F34" i="62"/>
  <c r="A35" i="62"/>
  <c r="F35" i="62"/>
  <c r="A36" i="62"/>
  <c r="F36" i="62"/>
  <c r="A37" i="62"/>
  <c r="F37" i="62"/>
  <c r="A38" i="62"/>
  <c r="F38" i="62"/>
  <c r="B40" i="62"/>
  <c r="C40" i="62"/>
  <c r="D40" i="62"/>
  <c r="G40" i="62"/>
  <c r="H40" i="62"/>
  <c r="I40" i="62"/>
  <c r="A43" i="62"/>
  <c r="F43" i="62"/>
  <c r="A44" i="62"/>
  <c r="F44" i="62"/>
  <c r="A45" i="62"/>
  <c r="F45" i="62"/>
  <c r="A46" i="62"/>
  <c r="F46" i="62"/>
  <c r="A47" i="62"/>
  <c r="F47" i="62"/>
  <c r="A48" i="62"/>
  <c r="F48" i="62"/>
  <c r="A49" i="62"/>
  <c r="F49" i="62"/>
  <c r="A50" i="62"/>
  <c r="F50" i="62"/>
  <c r="A51" i="62"/>
  <c r="F51" i="62"/>
  <c r="B53" i="62"/>
  <c r="C53" i="62"/>
  <c r="D53" i="62"/>
  <c r="G53" i="62"/>
  <c r="H53" i="62"/>
  <c r="I53" i="62"/>
  <c r="A56" i="62"/>
  <c r="F56" i="62"/>
  <c r="A57" i="62"/>
  <c r="F57" i="62"/>
  <c r="A58" i="62"/>
  <c r="F58" i="62"/>
  <c r="A59" i="62"/>
  <c r="F59" i="62"/>
  <c r="A60" i="62"/>
  <c r="F60" i="62"/>
  <c r="A61" i="62"/>
  <c r="F61" i="62"/>
  <c r="A62" i="62"/>
  <c r="F62" i="62"/>
  <c r="A63" i="62"/>
  <c r="F63" i="62"/>
  <c r="A64" i="62"/>
  <c r="F64" i="62"/>
  <c r="B66" i="62"/>
  <c r="C66" i="62"/>
  <c r="D66" i="62"/>
  <c r="G66" i="62"/>
  <c r="H66" i="62"/>
  <c r="I66" i="62"/>
  <c r="A69" i="62"/>
  <c r="F69" i="62"/>
  <c r="A70" i="62"/>
  <c r="F70" i="62"/>
  <c r="A71" i="62"/>
  <c r="F71" i="62"/>
  <c r="A72" i="62"/>
  <c r="F72" i="62"/>
  <c r="A73" i="62"/>
  <c r="F73" i="62"/>
  <c r="A74" i="62"/>
  <c r="F74" i="62"/>
  <c r="A75" i="62"/>
  <c r="F75" i="62"/>
  <c r="A76" i="62"/>
  <c r="F76" i="62"/>
  <c r="A77" i="62"/>
  <c r="F77" i="62"/>
  <c r="B79" i="62"/>
  <c r="C79" i="62"/>
  <c r="D79" i="62"/>
  <c r="G79" i="62"/>
  <c r="H79" i="62"/>
  <c r="I79" i="62"/>
  <c r="A82" i="62"/>
  <c r="F82" i="62"/>
  <c r="A83" i="62"/>
  <c r="F83" i="62"/>
  <c r="A84" i="62"/>
  <c r="F84" i="62"/>
  <c r="A85" i="62"/>
  <c r="F85" i="62"/>
  <c r="A86" i="62"/>
  <c r="F86" i="62"/>
  <c r="A87" i="62"/>
  <c r="F87" i="62"/>
  <c r="A88" i="62"/>
  <c r="F88" i="62"/>
  <c r="A89" i="62"/>
  <c r="F89" i="62"/>
  <c r="A90" i="62"/>
  <c r="F90" i="62"/>
  <c r="B92" i="62"/>
  <c r="C92" i="62"/>
  <c r="D92" i="62"/>
  <c r="G92" i="62"/>
  <c r="H92" i="62"/>
  <c r="I92" i="62"/>
  <c r="A95" i="62"/>
  <c r="F95" i="62"/>
  <c r="A96" i="62"/>
  <c r="F96" i="62"/>
  <c r="A97" i="62"/>
  <c r="F97" i="62"/>
  <c r="A98" i="62"/>
  <c r="F98" i="62"/>
  <c r="A99" i="62"/>
  <c r="F99" i="62"/>
  <c r="A100" i="62"/>
  <c r="F100" i="62"/>
  <c r="A101" i="62"/>
  <c r="F101" i="62"/>
  <c r="A102" i="62"/>
  <c r="F102" i="62"/>
  <c r="A103" i="62"/>
  <c r="F103" i="62"/>
  <c r="B105" i="62"/>
  <c r="C105" i="62"/>
  <c r="D105" i="62"/>
  <c r="G105" i="62"/>
  <c r="H105" i="62"/>
  <c r="I105" i="62"/>
  <c r="A108" i="62"/>
  <c r="F108" i="62"/>
  <c r="A109" i="62"/>
  <c r="F109" i="62"/>
  <c r="A110" i="62"/>
  <c r="F110" i="62"/>
  <c r="A111" i="62"/>
  <c r="F111" i="62"/>
  <c r="A112" i="62"/>
  <c r="F112" i="62"/>
  <c r="A113" i="62"/>
  <c r="F113" i="62"/>
  <c r="A114" i="62"/>
  <c r="F114" i="62"/>
  <c r="A115" i="62"/>
  <c r="F115" i="62"/>
  <c r="A116" i="62"/>
  <c r="F116" i="62"/>
  <c r="B118" i="62"/>
  <c r="C118" i="62"/>
  <c r="D118" i="62"/>
  <c r="G118" i="62"/>
  <c r="H118" i="62"/>
  <c r="I118" i="62"/>
  <c r="A121" i="62"/>
  <c r="F121" i="62"/>
  <c r="A122" i="62"/>
  <c r="F122" i="62"/>
  <c r="A123" i="62"/>
  <c r="F123" i="62"/>
  <c r="A124" i="62"/>
  <c r="F124" i="62"/>
  <c r="A125" i="62"/>
  <c r="F125" i="62"/>
  <c r="A126" i="62"/>
  <c r="F126" i="62"/>
  <c r="A127" i="62"/>
  <c r="F127" i="62"/>
  <c r="A128" i="62"/>
  <c r="F128" i="62"/>
  <c r="A129" i="62"/>
  <c r="F129" i="62"/>
  <c r="B131" i="62"/>
  <c r="C131" i="62"/>
  <c r="D131" i="62"/>
  <c r="G131" i="62"/>
  <c r="H131" i="62"/>
  <c r="I131" i="62"/>
  <c r="A4" i="61"/>
  <c r="F4" i="61"/>
  <c r="A5" i="61"/>
  <c r="F5" i="61"/>
  <c r="A6" i="61"/>
  <c r="F6" i="61"/>
  <c r="A7" i="61"/>
  <c r="F7" i="61"/>
  <c r="A8" i="61"/>
  <c r="F8" i="61"/>
  <c r="A9" i="61"/>
  <c r="F9" i="61"/>
  <c r="A10" i="61"/>
  <c r="F10" i="61"/>
  <c r="A11" i="61"/>
  <c r="F11" i="61"/>
  <c r="A12" i="61"/>
  <c r="F12" i="61"/>
  <c r="B14" i="61"/>
  <c r="C14" i="61"/>
  <c r="D14" i="61"/>
  <c r="G14" i="61"/>
  <c r="H14" i="61"/>
  <c r="I14" i="61"/>
  <c r="A17" i="61"/>
  <c r="F17" i="61"/>
  <c r="A18" i="61"/>
  <c r="F18" i="61"/>
  <c r="A19" i="61"/>
  <c r="F19" i="61"/>
  <c r="A20" i="61"/>
  <c r="F20" i="61"/>
  <c r="A21" i="61"/>
  <c r="F21" i="61"/>
  <c r="A22" i="61"/>
  <c r="F22" i="61"/>
  <c r="A23" i="61"/>
  <c r="F23" i="61"/>
  <c r="A24" i="61"/>
  <c r="F24" i="61"/>
  <c r="A25" i="61"/>
  <c r="F25" i="61"/>
  <c r="B27" i="61"/>
  <c r="C27" i="61"/>
  <c r="D27" i="61"/>
  <c r="G27" i="61"/>
  <c r="H27" i="61"/>
  <c r="I27" i="61"/>
  <c r="A30" i="61"/>
  <c r="F30" i="61"/>
  <c r="A31" i="61"/>
  <c r="F31" i="61"/>
  <c r="A32" i="61"/>
  <c r="F32" i="61"/>
  <c r="A33" i="61"/>
  <c r="F33" i="61"/>
  <c r="A34" i="61"/>
  <c r="F34" i="61"/>
  <c r="A35" i="61"/>
  <c r="F35" i="61"/>
  <c r="A36" i="61"/>
  <c r="F36" i="61"/>
  <c r="A37" i="61"/>
  <c r="F37" i="61"/>
  <c r="A38" i="61"/>
  <c r="F38" i="61"/>
  <c r="B40" i="61"/>
  <c r="C40" i="61"/>
  <c r="D40" i="61"/>
  <c r="G40" i="61"/>
  <c r="H40" i="61"/>
  <c r="I40" i="61"/>
  <c r="A43" i="61"/>
  <c r="F43" i="61"/>
  <c r="A44" i="61"/>
  <c r="F44" i="61"/>
  <c r="A45" i="61"/>
  <c r="F45" i="61"/>
  <c r="A46" i="61"/>
  <c r="F46" i="61"/>
  <c r="A47" i="61"/>
  <c r="F47" i="61"/>
  <c r="A48" i="61"/>
  <c r="F48" i="61"/>
  <c r="A49" i="61"/>
  <c r="F49" i="61"/>
  <c r="A50" i="61"/>
  <c r="F50" i="61"/>
  <c r="A51" i="61"/>
  <c r="F51" i="61"/>
  <c r="B53" i="61"/>
  <c r="C53" i="61"/>
  <c r="D53" i="61"/>
  <c r="G53" i="61"/>
  <c r="H53" i="61"/>
  <c r="I53" i="61"/>
  <c r="A56" i="61"/>
  <c r="F56" i="61"/>
  <c r="A57" i="61"/>
  <c r="F57" i="61"/>
  <c r="A58" i="61"/>
  <c r="F58" i="61"/>
  <c r="A59" i="61"/>
  <c r="F59" i="61"/>
  <c r="A60" i="61"/>
  <c r="F60" i="61"/>
  <c r="A61" i="61"/>
  <c r="F61" i="61"/>
  <c r="A62" i="61"/>
  <c r="F62" i="61"/>
  <c r="A63" i="61"/>
  <c r="F63" i="61"/>
  <c r="A64" i="61"/>
  <c r="F64" i="61"/>
  <c r="B66" i="61"/>
  <c r="C66" i="61"/>
  <c r="D66" i="61"/>
  <c r="G66" i="61"/>
  <c r="H66" i="61"/>
  <c r="I66" i="61"/>
  <c r="A69" i="61"/>
  <c r="F69" i="61"/>
  <c r="A70" i="61"/>
  <c r="F70" i="61"/>
  <c r="A71" i="61"/>
  <c r="F71" i="61"/>
  <c r="A72" i="61"/>
  <c r="F72" i="61"/>
  <c r="A73" i="61"/>
  <c r="F73" i="61"/>
  <c r="A74" i="61"/>
  <c r="F74" i="61"/>
  <c r="A75" i="61"/>
  <c r="F75" i="61"/>
  <c r="A76" i="61"/>
  <c r="F76" i="61"/>
  <c r="A77" i="61"/>
  <c r="F77" i="61"/>
  <c r="B79" i="61"/>
  <c r="C79" i="61"/>
  <c r="D79" i="61"/>
  <c r="G79" i="61"/>
  <c r="H79" i="61"/>
  <c r="I79" i="61"/>
  <c r="A82" i="61"/>
  <c r="F82" i="61"/>
  <c r="A83" i="61"/>
  <c r="F83" i="61"/>
  <c r="A84" i="61"/>
  <c r="F84" i="61"/>
  <c r="A85" i="61"/>
  <c r="F85" i="61"/>
  <c r="A86" i="61"/>
  <c r="F86" i="61"/>
  <c r="A87" i="61"/>
  <c r="F87" i="61"/>
  <c r="A88" i="61"/>
  <c r="F88" i="61"/>
  <c r="A89" i="61"/>
  <c r="F89" i="61"/>
  <c r="A90" i="61"/>
  <c r="F90" i="61"/>
  <c r="B92" i="61"/>
  <c r="C92" i="61"/>
  <c r="D92" i="61"/>
  <c r="G92" i="61"/>
  <c r="H92" i="61"/>
  <c r="I92" i="61"/>
  <c r="A95" i="61"/>
  <c r="F95" i="61"/>
  <c r="A96" i="61"/>
  <c r="F96" i="61"/>
  <c r="A97" i="61"/>
  <c r="F97" i="61"/>
  <c r="A98" i="61"/>
  <c r="F98" i="61"/>
  <c r="A99" i="61"/>
  <c r="F99" i="61"/>
  <c r="A100" i="61"/>
  <c r="F100" i="61"/>
  <c r="A101" i="61"/>
  <c r="F101" i="61"/>
  <c r="A102" i="61"/>
  <c r="F102" i="61"/>
  <c r="A103" i="61"/>
  <c r="F103" i="61"/>
  <c r="B105" i="61"/>
  <c r="C105" i="61"/>
  <c r="D105" i="61"/>
  <c r="G105" i="61"/>
  <c r="H105" i="61"/>
  <c r="I105" i="61"/>
  <c r="A108" i="61"/>
  <c r="F108" i="61"/>
  <c r="A109" i="61"/>
  <c r="F109" i="61"/>
  <c r="A110" i="61"/>
  <c r="F110" i="61"/>
  <c r="A111" i="61"/>
  <c r="F111" i="61"/>
  <c r="A112" i="61"/>
  <c r="F112" i="61"/>
  <c r="A113" i="61"/>
  <c r="F113" i="61"/>
  <c r="A114" i="61"/>
  <c r="F114" i="61"/>
  <c r="A115" i="61"/>
  <c r="F115" i="61"/>
  <c r="A116" i="61"/>
  <c r="F116" i="61"/>
  <c r="B118" i="61"/>
  <c r="C118" i="61"/>
  <c r="D118" i="61"/>
  <c r="G118" i="61"/>
  <c r="H118" i="61"/>
  <c r="I118" i="61"/>
  <c r="A121" i="61"/>
  <c r="F121" i="61"/>
  <c r="A122" i="61"/>
  <c r="F122" i="61"/>
  <c r="A123" i="61"/>
  <c r="F123" i="61"/>
  <c r="A124" i="61"/>
  <c r="F124" i="61"/>
  <c r="A125" i="61"/>
  <c r="F125" i="61"/>
  <c r="A126" i="61"/>
  <c r="F126" i="61"/>
  <c r="A127" i="61"/>
  <c r="F127" i="61"/>
  <c r="A128" i="61"/>
  <c r="F128" i="61"/>
  <c r="A129" i="61"/>
  <c r="F129" i="61"/>
  <c r="B131" i="61"/>
  <c r="C131" i="61"/>
  <c r="D131" i="61"/>
  <c r="G131" i="61"/>
  <c r="H131" i="61"/>
  <c r="I131" i="61"/>
  <c r="A4" i="60"/>
  <c r="F4" i="60"/>
  <c r="A5" i="60"/>
  <c r="F5" i="60"/>
  <c r="A6" i="60"/>
  <c r="F6" i="60"/>
  <c r="A7" i="60"/>
  <c r="F7" i="60"/>
  <c r="A8" i="60"/>
  <c r="F8" i="60"/>
  <c r="A9" i="60"/>
  <c r="F9" i="60"/>
  <c r="A10" i="60"/>
  <c r="F10" i="60"/>
  <c r="A11" i="60"/>
  <c r="F11" i="60"/>
  <c r="A12" i="60"/>
  <c r="F12" i="60"/>
  <c r="B14" i="60"/>
  <c r="C14" i="60"/>
  <c r="D14" i="60"/>
  <c r="G14" i="60"/>
  <c r="H14" i="60"/>
  <c r="I14" i="60"/>
  <c r="A17" i="60"/>
  <c r="F17" i="60"/>
  <c r="A18" i="60"/>
  <c r="F18" i="60"/>
  <c r="A19" i="60"/>
  <c r="F19" i="60"/>
  <c r="A20" i="60"/>
  <c r="F20" i="60"/>
  <c r="A21" i="60"/>
  <c r="F21" i="60"/>
  <c r="A22" i="60"/>
  <c r="F22" i="60"/>
  <c r="A23" i="60"/>
  <c r="F23" i="60"/>
  <c r="A24" i="60"/>
  <c r="F24" i="60"/>
  <c r="A25" i="60"/>
  <c r="F25" i="60"/>
  <c r="B27" i="60"/>
  <c r="C27" i="60"/>
  <c r="D27" i="60"/>
  <c r="G27" i="60"/>
  <c r="H27" i="60"/>
  <c r="I27" i="60"/>
  <c r="A30" i="60"/>
  <c r="F30" i="60"/>
  <c r="A31" i="60"/>
  <c r="F31" i="60"/>
  <c r="A32" i="60"/>
  <c r="F32" i="60"/>
  <c r="A33" i="60"/>
  <c r="F33" i="60"/>
  <c r="A34" i="60"/>
  <c r="F34" i="60"/>
  <c r="A35" i="60"/>
  <c r="F35" i="60"/>
  <c r="A36" i="60"/>
  <c r="F36" i="60"/>
  <c r="A37" i="60"/>
  <c r="F37" i="60"/>
  <c r="A38" i="60"/>
  <c r="F38" i="60"/>
  <c r="B40" i="60"/>
  <c r="C40" i="60"/>
  <c r="D40" i="60"/>
  <c r="G40" i="60"/>
  <c r="H40" i="60"/>
  <c r="I40" i="60"/>
  <c r="A43" i="60"/>
  <c r="F43" i="60"/>
  <c r="A44" i="60"/>
  <c r="F44" i="60"/>
  <c r="A45" i="60"/>
  <c r="F45" i="60"/>
  <c r="A46" i="60"/>
  <c r="F46" i="60"/>
  <c r="A47" i="60"/>
  <c r="F47" i="60"/>
  <c r="A48" i="60"/>
  <c r="F48" i="60"/>
  <c r="A49" i="60"/>
  <c r="F49" i="60"/>
  <c r="A50" i="60"/>
  <c r="F50" i="60"/>
  <c r="A51" i="60"/>
  <c r="F51" i="60"/>
  <c r="B53" i="60"/>
  <c r="C53" i="60"/>
  <c r="D53" i="60"/>
  <c r="G53" i="60"/>
  <c r="H53" i="60"/>
  <c r="I53" i="60"/>
  <c r="A56" i="60"/>
  <c r="F56" i="60"/>
  <c r="A57" i="60"/>
  <c r="F57" i="60"/>
  <c r="A58" i="60"/>
  <c r="F58" i="60"/>
  <c r="A59" i="60"/>
  <c r="F59" i="60"/>
  <c r="A60" i="60"/>
  <c r="F60" i="60"/>
  <c r="A61" i="60"/>
  <c r="F61" i="60"/>
  <c r="A62" i="60"/>
  <c r="F62" i="60"/>
  <c r="A63" i="60"/>
  <c r="F63" i="60"/>
  <c r="A64" i="60"/>
  <c r="F64" i="60"/>
  <c r="B66" i="60"/>
  <c r="C66" i="60"/>
  <c r="D66" i="60"/>
  <c r="G66" i="60"/>
  <c r="H66" i="60"/>
  <c r="I66" i="60"/>
  <c r="A69" i="60"/>
  <c r="F69" i="60"/>
  <c r="A70" i="60"/>
  <c r="F70" i="60"/>
  <c r="A71" i="60"/>
  <c r="F71" i="60"/>
  <c r="A72" i="60"/>
  <c r="F72" i="60"/>
  <c r="A73" i="60"/>
  <c r="F73" i="60"/>
  <c r="A74" i="60"/>
  <c r="F74" i="60"/>
  <c r="A75" i="60"/>
  <c r="F75" i="60"/>
  <c r="A76" i="60"/>
  <c r="F76" i="60"/>
  <c r="A77" i="60"/>
  <c r="F77" i="60"/>
  <c r="B79" i="60"/>
  <c r="C79" i="60"/>
  <c r="D79" i="60"/>
  <c r="G79" i="60"/>
  <c r="H79" i="60"/>
  <c r="I79" i="60"/>
  <c r="A82" i="60"/>
  <c r="F82" i="60"/>
  <c r="A83" i="60"/>
  <c r="F83" i="60"/>
  <c r="A84" i="60"/>
  <c r="F84" i="60"/>
  <c r="A85" i="60"/>
  <c r="F85" i="60"/>
  <c r="A86" i="60"/>
  <c r="F86" i="60"/>
  <c r="A87" i="60"/>
  <c r="F87" i="60"/>
  <c r="A88" i="60"/>
  <c r="F88" i="60"/>
  <c r="A89" i="60"/>
  <c r="F89" i="60"/>
  <c r="A90" i="60"/>
  <c r="F90" i="60"/>
  <c r="B92" i="60"/>
  <c r="C92" i="60"/>
  <c r="D92" i="60"/>
  <c r="G92" i="60"/>
  <c r="H92" i="60"/>
  <c r="I92" i="60"/>
  <c r="A95" i="60"/>
  <c r="F95" i="60"/>
  <c r="A96" i="60"/>
  <c r="F96" i="60"/>
  <c r="A97" i="60"/>
  <c r="F97" i="60"/>
  <c r="A98" i="60"/>
  <c r="F98" i="60"/>
  <c r="A99" i="60"/>
  <c r="F99" i="60"/>
  <c r="A100" i="60"/>
  <c r="F100" i="60"/>
  <c r="A101" i="60"/>
  <c r="F101" i="60"/>
  <c r="A102" i="60"/>
  <c r="F102" i="60"/>
  <c r="A103" i="60"/>
  <c r="F103" i="60"/>
  <c r="B105" i="60"/>
  <c r="C105" i="60"/>
  <c r="D105" i="60"/>
  <c r="G105" i="60"/>
  <c r="H105" i="60"/>
  <c r="I105" i="60"/>
  <c r="A108" i="60"/>
  <c r="F108" i="60"/>
  <c r="A109" i="60"/>
  <c r="F109" i="60"/>
  <c r="A110" i="60"/>
  <c r="F110" i="60"/>
  <c r="A111" i="60"/>
  <c r="F111" i="60"/>
  <c r="A112" i="60"/>
  <c r="F112" i="60"/>
  <c r="A113" i="60"/>
  <c r="F113" i="60"/>
  <c r="A114" i="60"/>
  <c r="F114" i="60"/>
  <c r="A115" i="60"/>
  <c r="F115" i="60"/>
  <c r="A116" i="60"/>
  <c r="F116" i="60"/>
  <c r="B118" i="60"/>
  <c r="C118" i="60"/>
  <c r="D118" i="60"/>
  <c r="G118" i="60"/>
  <c r="H118" i="60"/>
  <c r="I118" i="60"/>
  <c r="A121" i="60"/>
  <c r="F121" i="60"/>
  <c r="A122" i="60"/>
  <c r="F122" i="60"/>
  <c r="A123" i="60"/>
  <c r="F123" i="60"/>
  <c r="A124" i="60"/>
  <c r="F124" i="60"/>
  <c r="A125" i="60"/>
  <c r="F125" i="60"/>
  <c r="A126" i="60"/>
  <c r="F126" i="60"/>
  <c r="A127" i="60"/>
  <c r="F127" i="60"/>
  <c r="A128" i="60"/>
  <c r="F128" i="60"/>
  <c r="A129" i="60"/>
  <c r="F129" i="60"/>
  <c r="B131" i="60"/>
  <c r="C131" i="60"/>
  <c r="D131" i="60"/>
  <c r="G131" i="60"/>
  <c r="H131" i="60"/>
  <c r="I131" i="60"/>
  <c r="A4" i="59"/>
  <c r="F4" i="59"/>
  <c r="A5" i="59"/>
  <c r="F5" i="59"/>
  <c r="A6" i="59"/>
  <c r="F6" i="59"/>
  <c r="A7" i="59"/>
  <c r="F7" i="59"/>
  <c r="A8" i="59"/>
  <c r="F8" i="59"/>
  <c r="A9" i="59"/>
  <c r="F9" i="59"/>
  <c r="A10" i="59"/>
  <c r="F10" i="59"/>
  <c r="A11" i="59"/>
  <c r="F11" i="59"/>
  <c r="A12" i="59"/>
  <c r="F12" i="59"/>
  <c r="B14" i="59"/>
  <c r="C14" i="59"/>
  <c r="D14" i="59"/>
  <c r="G14" i="59"/>
  <c r="H14" i="59"/>
  <c r="I14" i="59"/>
  <c r="A17" i="59"/>
  <c r="F17" i="59"/>
  <c r="A18" i="59"/>
  <c r="F18" i="59"/>
  <c r="A19" i="59"/>
  <c r="F19" i="59"/>
  <c r="A20" i="59"/>
  <c r="F20" i="59"/>
  <c r="A21" i="59"/>
  <c r="F21" i="59"/>
  <c r="A22" i="59"/>
  <c r="F22" i="59"/>
  <c r="A23" i="59"/>
  <c r="F23" i="59"/>
  <c r="A24" i="59"/>
  <c r="F24" i="59"/>
  <c r="A25" i="59"/>
  <c r="F25" i="59"/>
  <c r="B27" i="59"/>
  <c r="C27" i="59"/>
  <c r="D27" i="59"/>
  <c r="G27" i="59"/>
  <c r="H27" i="59"/>
  <c r="I27" i="59"/>
  <c r="A30" i="59"/>
  <c r="F30" i="59"/>
  <c r="A31" i="59"/>
  <c r="F31" i="59"/>
  <c r="A32" i="59"/>
  <c r="F32" i="59"/>
  <c r="A33" i="59"/>
  <c r="F33" i="59"/>
  <c r="A34" i="59"/>
  <c r="F34" i="59"/>
  <c r="A35" i="59"/>
  <c r="F35" i="59"/>
  <c r="A36" i="59"/>
  <c r="F36" i="59"/>
  <c r="A37" i="59"/>
  <c r="F37" i="59"/>
  <c r="A38" i="59"/>
  <c r="F38" i="59"/>
  <c r="B40" i="59"/>
  <c r="C40" i="59"/>
  <c r="D40" i="59"/>
  <c r="G40" i="59"/>
  <c r="H40" i="59"/>
  <c r="I40" i="59"/>
  <c r="A43" i="59"/>
  <c r="F43" i="59"/>
  <c r="A44" i="59"/>
  <c r="F44" i="59"/>
  <c r="A45" i="59"/>
  <c r="F45" i="59"/>
  <c r="A46" i="59"/>
  <c r="F46" i="59"/>
  <c r="A47" i="59"/>
  <c r="F47" i="59"/>
  <c r="A48" i="59"/>
  <c r="F48" i="59"/>
  <c r="A49" i="59"/>
  <c r="F49" i="59"/>
  <c r="A50" i="59"/>
  <c r="F50" i="59"/>
  <c r="A51" i="59"/>
  <c r="F51" i="59"/>
  <c r="B53" i="59"/>
  <c r="C53" i="59"/>
  <c r="D53" i="59"/>
  <c r="G53" i="59"/>
  <c r="H53" i="59"/>
  <c r="I53" i="59"/>
  <c r="A56" i="59"/>
  <c r="F56" i="59"/>
  <c r="A57" i="59"/>
  <c r="F57" i="59"/>
  <c r="A58" i="59"/>
  <c r="F58" i="59"/>
  <c r="A59" i="59"/>
  <c r="F59" i="59"/>
  <c r="A60" i="59"/>
  <c r="F60" i="59"/>
  <c r="A61" i="59"/>
  <c r="F61" i="59"/>
  <c r="A62" i="59"/>
  <c r="F62" i="59"/>
  <c r="A63" i="59"/>
  <c r="F63" i="59"/>
  <c r="A64" i="59"/>
  <c r="F64" i="59"/>
  <c r="B66" i="59"/>
  <c r="C66" i="59"/>
  <c r="D66" i="59"/>
  <c r="G66" i="59"/>
  <c r="H66" i="59"/>
  <c r="I66" i="59"/>
  <c r="A69" i="59"/>
  <c r="F69" i="59"/>
  <c r="A70" i="59"/>
  <c r="F70" i="59"/>
  <c r="A71" i="59"/>
  <c r="F71" i="59"/>
  <c r="A72" i="59"/>
  <c r="F72" i="59"/>
  <c r="A73" i="59"/>
  <c r="F73" i="59"/>
  <c r="A74" i="59"/>
  <c r="F74" i="59"/>
  <c r="A75" i="59"/>
  <c r="F75" i="59"/>
  <c r="A76" i="59"/>
  <c r="F76" i="59"/>
  <c r="A77" i="59"/>
  <c r="F77" i="59"/>
  <c r="B79" i="59"/>
  <c r="C79" i="59"/>
  <c r="D79" i="59"/>
  <c r="G79" i="59"/>
  <c r="H79" i="59"/>
  <c r="I79" i="59"/>
  <c r="A82" i="59"/>
  <c r="F82" i="59"/>
  <c r="A83" i="59"/>
  <c r="F83" i="59"/>
  <c r="A84" i="59"/>
  <c r="F84" i="59"/>
  <c r="A85" i="59"/>
  <c r="F85" i="59"/>
  <c r="A86" i="59"/>
  <c r="F86" i="59"/>
  <c r="A87" i="59"/>
  <c r="F87" i="59"/>
  <c r="A88" i="59"/>
  <c r="F88" i="59"/>
  <c r="A89" i="59"/>
  <c r="F89" i="59"/>
  <c r="A90" i="59"/>
  <c r="F90" i="59"/>
  <c r="B92" i="59"/>
  <c r="C92" i="59"/>
  <c r="D92" i="59"/>
  <c r="G92" i="59"/>
  <c r="H92" i="59"/>
  <c r="I92" i="59"/>
  <c r="A95" i="59"/>
  <c r="F95" i="59"/>
  <c r="A96" i="59"/>
  <c r="F96" i="59"/>
  <c r="A97" i="59"/>
  <c r="F97" i="59"/>
  <c r="A98" i="59"/>
  <c r="F98" i="59"/>
  <c r="A99" i="59"/>
  <c r="F99" i="59"/>
  <c r="A100" i="59"/>
  <c r="F100" i="59"/>
  <c r="A101" i="59"/>
  <c r="F101" i="59"/>
  <c r="A102" i="59"/>
  <c r="F102" i="59"/>
  <c r="A103" i="59"/>
  <c r="F103" i="59"/>
  <c r="B105" i="59"/>
  <c r="C105" i="59"/>
  <c r="D105" i="59"/>
  <c r="G105" i="59"/>
  <c r="H105" i="59"/>
  <c r="I105" i="59"/>
  <c r="A108" i="59"/>
  <c r="F108" i="59"/>
  <c r="A109" i="59"/>
  <c r="F109" i="59"/>
  <c r="A110" i="59"/>
  <c r="F110" i="59"/>
  <c r="A111" i="59"/>
  <c r="F111" i="59"/>
  <c r="A112" i="59"/>
  <c r="F112" i="59"/>
  <c r="A113" i="59"/>
  <c r="F113" i="59"/>
  <c r="A114" i="59"/>
  <c r="F114" i="59"/>
  <c r="A115" i="59"/>
  <c r="F115" i="59"/>
  <c r="A116" i="59"/>
  <c r="F116" i="59"/>
  <c r="B118" i="59"/>
  <c r="C118" i="59"/>
  <c r="D118" i="59"/>
  <c r="G118" i="59"/>
  <c r="H118" i="59"/>
  <c r="I118" i="59"/>
  <c r="A121" i="59"/>
  <c r="F121" i="59"/>
  <c r="A122" i="59"/>
  <c r="F122" i="59"/>
  <c r="A123" i="59"/>
  <c r="F123" i="59"/>
  <c r="A124" i="59"/>
  <c r="F124" i="59"/>
  <c r="A125" i="59"/>
  <c r="F125" i="59"/>
  <c r="A126" i="59"/>
  <c r="F126" i="59"/>
  <c r="A127" i="59"/>
  <c r="F127" i="59"/>
  <c r="A128" i="59"/>
  <c r="F128" i="59"/>
  <c r="A129" i="59"/>
  <c r="F129" i="59"/>
  <c r="B131" i="59"/>
  <c r="C131" i="59"/>
  <c r="D131" i="59"/>
  <c r="G131" i="59"/>
  <c r="H131" i="59"/>
  <c r="I131" i="59"/>
  <c r="A4" i="58"/>
  <c r="F4" i="58"/>
  <c r="A5" i="58"/>
  <c r="F5" i="58"/>
  <c r="A6" i="58"/>
  <c r="F6" i="58"/>
  <c r="A7" i="58"/>
  <c r="F7" i="58"/>
  <c r="A8" i="58"/>
  <c r="F8" i="58"/>
  <c r="A9" i="58"/>
  <c r="F9" i="58"/>
  <c r="A10" i="58"/>
  <c r="F10" i="58"/>
  <c r="A11" i="58"/>
  <c r="F11" i="58"/>
  <c r="A12" i="58"/>
  <c r="F12" i="58"/>
  <c r="B14" i="58"/>
  <c r="C14" i="58"/>
  <c r="D14" i="58"/>
  <c r="G14" i="58"/>
  <c r="H14" i="58"/>
  <c r="I14" i="58"/>
  <c r="A17" i="58"/>
  <c r="F17" i="58"/>
  <c r="A18" i="58"/>
  <c r="F18" i="58"/>
  <c r="A19" i="58"/>
  <c r="F19" i="58"/>
  <c r="A20" i="58"/>
  <c r="F20" i="58"/>
  <c r="A21" i="58"/>
  <c r="F21" i="58"/>
  <c r="A22" i="58"/>
  <c r="F22" i="58"/>
  <c r="A23" i="58"/>
  <c r="F23" i="58"/>
  <c r="A24" i="58"/>
  <c r="F24" i="58"/>
  <c r="A25" i="58"/>
  <c r="F25" i="58"/>
  <c r="B27" i="58"/>
  <c r="C27" i="58"/>
  <c r="D27" i="58"/>
  <c r="G27" i="58"/>
  <c r="H27" i="58"/>
  <c r="I27" i="58"/>
  <c r="A30" i="58"/>
  <c r="F30" i="58"/>
  <c r="A31" i="58"/>
  <c r="F31" i="58"/>
  <c r="A32" i="58"/>
  <c r="F32" i="58"/>
  <c r="A33" i="58"/>
  <c r="F33" i="58"/>
  <c r="A34" i="58"/>
  <c r="F34" i="58"/>
  <c r="A35" i="58"/>
  <c r="F35" i="58"/>
  <c r="A36" i="58"/>
  <c r="F36" i="58"/>
  <c r="A37" i="58"/>
  <c r="F37" i="58"/>
  <c r="A38" i="58"/>
  <c r="F38" i="58"/>
  <c r="B40" i="58"/>
  <c r="C40" i="58"/>
  <c r="D40" i="58"/>
  <c r="G40" i="58"/>
  <c r="H40" i="58"/>
  <c r="I40" i="58"/>
  <c r="A43" i="58"/>
  <c r="F43" i="58"/>
  <c r="A44" i="58"/>
  <c r="F44" i="58"/>
  <c r="A45" i="58"/>
  <c r="F45" i="58"/>
  <c r="A46" i="58"/>
  <c r="F46" i="58"/>
  <c r="A47" i="58"/>
  <c r="F47" i="58"/>
  <c r="A48" i="58"/>
  <c r="F48" i="58"/>
  <c r="A49" i="58"/>
  <c r="F49" i="58"/>
  <c r="A50" i="58"/>
  <c r="F50" i="58"/>
  <c r="A51" i="58"/>
  <c r="F51" i="58"/>
  <c r="B53" i="58"/>
  <c r="C53" i="58"/>
  <c r="D53" i="58"/>
  <c r="G53" i="58"/>
  <c r="H53" i="58"/>
  <c r="I53" i="58"/>
  <c r="A56" i="58"/>
  <c r="F56" i="58"/>
  <c r="A57" i="58"/>
  <c r="F57" i="58"/>
  <c r="A58" i="58"/>
  <c r="F58" i="58"/>
  <c r="A59" i="58"/>
  <c r="F59" i="58"/>
  <c r="A60" i="58"/>
  <c r="F60" i="58"/>
  <c r="A61" i="58"/>
  <c r="F61" i="58"/>
  <c r="A62" i="58"/>
  <c r="F62" i="58"/>
  <c r="A63" i="58"/>
  <c r="F63" i="58"/>
  <c r="A64" i="58"/>
  <c r="F64" i="58"/>
  <c r="B66" i="58"/>
  <c r="C66" i="58"/>
  <c r="D66" i="58"/>
  <c r="G66" i="58"/>
  <c r="H66" i="58"/>
  <c r="I66" i="58"/>
  <c r="A69" i="58"/>
  <c r="F69" i="58"/>
  <c r="A70" i="58"/>
  <c r="F70" i="58"/>
  <c r="A71" i="58"/>
  <c r="F71" i="58"/>
  <c r="A72" i="58"/>
  <c r="F72" i="58"/>
  <c r="A73" i="58"/>
  <c r="F73" i="58"/>
  <c r="A74" i="58"/>
  <c r="F74" i="58"/>
  <c r="A75" i="58"/>
  <c r="F75" i="58"/>
  <c r="A76" i="58"/>
  <c r="F76" i="58"/>
  <c r="A77" i="58"/>
  <c r="F77" i="58"/>
  <c r="B79" i="58"/>
  <c r="C79" i="58"/>
  <c r="D79" i="58"/>
  <c r="G79" i="58"/>
  <c r="H79" i="58"/>
  <c r="I79" i="58"/>
  <c r="A82" i="58"/>
  <c r="F82" i="58"/>
  <c r="A83" i="58"/>
  <c r="F83" i="58"/>
  <c r="A84" i="58"/>
  <c r="F84" i="58"/>
  <c r="A85" i="58"/>
  <c r="F85" i="58"/>
  <c r="A86" i="58"/>
  <c r="F86" i="58"/>
  <c r="A87" i="58"/>
  <c r="F87" i="58"/>
  <c r="A88" i="58"/>
  <c r="F88" i="58"/>
  <c r="A89" i="58"/>
  <c r="F89" i="58"/>
  <c r="A90" i="58"/>
  <c r="F90" i="58"/>
  <c r="B92" i="58"/>
  <c r="C92" i="58"/>
  <c r="D92" i="58"/>
  <c r="G92" i="58"/>
  <c r="H92" i="58"/>
  <c r="I92" i="58"/>
  <c r="A95" i="58"/>
  <c r="F95" i="58"/>
  <c r="A96" i="58"/>
  <c r="F96" i="58"/>
  <c r="A97" i="58"/>
  <c r="F97" i="58"/>
  <c r="A98" i="58"/>
  <c r="F98" i="58"/>
  <c r="A99" i="58"/>
  <c r="F99" i="58"/>
  <c r="A100" i="58"/>
  <c r="F100" i="58"/>
  <c r="A101" i="58"/>
  <c r="F101" i="58"/>
  <c r="A102" i="58"/>
  <c r="F102" i="58"/>
  <c r="A103" i="58"/>
  <c r="F103" i="58"/>
  <c r="B105" i="58"/>
  <c r="C105" i="58"/>
  <c r="D105" i="58"/>
  <c r="G105" i="58"/>
  <c r="H105" i="58"/>
  <c r="I105" i="58"/>
  <c r="A108" i="58"/>
  <c r="F108" i="58"/>
  <c r="A109" i="58"/>
  <c r="F109" i="58"/>
  <c r="A110" i="58"/>
  <c r="F110" i="58"/>
  <c r="A111" i="58"/>
  <c r="F111" i="58"/>
  <c r="A112" i="58"/>
  <c r="F112" i="58"/>
  <c r="A113" i="58"/>
  <c r="F113" i="58"/>
  <c r="A114" i="58"/>
  <c r="F114" i="58"/>
  <c r="A115" i="58"/>
  <c r="F115" i="58"/>
  <c r="A116" i="58"/>
  <c r="F116" i="58"/>
  <c r="B118" i="58"/>
  <c r="C118" i="58"/>
  <c r="D118" i="58"/>
  <c r="G118" i="58"/>
  <c r="H118" i="58"/>
  <c r="I118" i="58"/>
  <c r="A121" i="58"/>
  <c r="F121" i="58"/>
  <c r="A122" i="58"/>
  <c r="F122" i="58"/>
  <c r="A123" i="58"/>
  <c r="F123" i="58"/>
  <c r="A124" i="58"/>
  <c r="F124" i="58"/>
  <c r="A125" i="58"/>
  <c r="F125" i="58"/>
  <c r="A126" i="58"/>
  <c r="F126" i="58"/>
  <c r="A127" i="58"/>
  <c r="F127" i="58"/>
  <c r="A128" i="58"/>
  <c r="F128" i="58"/>
  <c r="A129" i="58"/>
  <c r="F129" i="58"/>
  <c r="B131" i="58"/>
  <c r="C131" i="58"/>
  <c r="D131" i="58"/>
  <c r="G131" i="58"/>
  <c r="H131" i="58"/>
  <c r="I131" i="58"/>
  <c r="A4" i="57"/>
  <c r="F4" i="57"/>
  <c r="A5" i="57"/>
  <c r="F5" i="57"/>
  <c r="A6" i="57"/>
  <c r="F6" i="57"/>
  <c r="A7" i="57"/>
  <c r="F7" i="57"/>
  <c r="A8" i="57"/>
  <c r="F8" i="57"/>
  <c r="A9" i="57"/>
  <c r="F9" i="57"/>
  <c r="A10" i="57"/>
  <c r="F10" i="57"/>
  <c r="A11" i="57"/>
  <c r="F11" i="57"/>
  <c r="A12" i="57"/>
  <c r="F12" i="57"/>
  <c r="B14" i="57"/>
  <c r="C14" i="57"/>
  <c r="D14" i="57"/>
  <c r="G14" i="57"/>
  <c r="H14" i="57"/>
  <c r="I14" i="57"/>
  <c r="A17" i="57"/>
  <c r="F17" i="57"/>
  <c r="A18" i="57"/>
  <c r="F18" i="57"/>
  <c r="A19" i="57"/>
  <c r="F19" i="57"/>
  <c r="A20" i="57"/>
  <c r="F20" i="57"/>
  <c r="A21" i="57"/>
  <c r="F21" i="57"/>
  <c r="A22" i="57"/>
  <c r="F22" i="57"/>
  <c r="A23" i="57"/>
  <c r="F23" i="57"/>
  <c r="A24" i="57"/>
  <c r="F24" i="57"/>
  <c r="A25" i="57"/>
  <c r="F25" i="57"/>
  <c r="B27" i="57"/>
  <c r="C27" i="57"/>
  <c r="D27" i="57"/>
  <c r="G27" i="57"/>
  <c r="H27" i="57"/>
  <c r="I27" i="57"/>
  <c r="A30" i="57"/>
  <c r="F30" i="57"/>
  <c r="A31" i="57"/>
  <c r="F31" i="57"/>
  <c r="A32" i="57"/>
  <c r="F32" i="57"/>
  <c r="A33" i="57"/>
  <c r="F33" i="57"/>
  <c r="A34" i="57"/>
  <c r="F34" i="57"/>
  <c r="A35" i="57"/>
  <c r="F35" i="57"/>
  <c r="A36" i="57"/>
  <c r="F36" i="57"/>
  <c r="A37" i="57"/>
  <c r="F37" i="57"/>
  <c r="A38" i="57"/>
  <c r="F38" i="57"/>
  <c r="B40" i="57"/>
  <c r="C40" i="57"/>
  <c r="D40" i="57"/>
  <c r="G40" i="57"/>
  <c r="H40" i="57"/>
  <c r="I40" i="57"/>
  <c r="A43" i="57"/>
  <c r="F43" i="57"/>
  <c r="A44" i="57"/>
  <c r="F44" i="57"/>
  <c r="A45" i="57"/>
  <c r="F45" i="57"/>
  <c r="A46" i="57"/>
  <c r="F46" i="57"/>
  <c r="A47" i="57"/>
  <c r="F47" i="57"/>
  <c r="A48" i="57"/>
  <c r="F48" i="57"/>
  <c r="A49" i="57"/>
  <c r="F49" i="57"/>
  <c r="A50" i="57"/>
  <c r="F50" i="57"/>
  <c r="A51" i="57"/>
  <c r="F51" i="57"/>
  <c r="B53" i="57"/>
  <c r="C53" i="57"/>
  <c r="D53" i="57"/>
  <c r="G53" i="57"/>
  <c r="H53" i="57"/>
  <c r="I53" i="57"/>
  <c r="A56" i="57"/>
  <c r="F56" i="57"/>
  <c r="A57" i="57"/>
  <c r="F57" i="57"/>
  <c r="A58" i="57"/>
  <c r="F58" i="57"/>
  <c r="A59" i="57"/>
  <c r="F59" i="57"/>
  <c r="A60" i="57"/>
  <c r="F60" i="57"/>
  <c r="A61" i="57"/>
  <c r="F61" i="57"/>
  <c r="A62" i="57"/>
  <c r="F62" i="57"/>
  <c r="A63" i="57"/>
  <c r="F63" i="57"/>
  <c r="A64" i="57"/>
  <c r="F64" i="57"/>
  <c r="B66" i="57"/>
  <c r="C66" i="57"/>
  <c r="D66" i="57"/>
  <c r="G66" i="57"/>
  <c r="H66" i="57"/>
  <c r="I66" i="57"/>
  <c r="A69" i="57"/>
  <c r="F69" i="57"/>
  <c r="A70" i="57"/>
  <c r="F70" i="57"/>
  <c r="A71" i="57"/>
  <c r="F71" i="57"/>
  <c r="A72" i="57"/>
  <c r="F72" i="57"/>
  <c r="A73" i="57"/>
  <c r="F73" i="57"/>
  <c r="A74" i="57"/>
  <c r="F74" i="57"/>
  <c r="A75" i="57"/>
  <c r="F75" i="57"/>
  <c r="A76" i="57"/>
  <c r="F76" i="57"/>
  <c r="A77" i="57"/>
  <c r="F77" i="57"/>
  <c r="B79" i="57"/>
  <c r="C79" i="57"/>
  <c r="D79" i="57"/>
  <c r="G79" i="57"/>
  <c r="H79" i="57"/>
  <c r="I79" i="57"/>
  <c r="A82" i="57"/>
  <c r="F82" i="57"/>
  <c r="A83" i="57"/>
  <c r="F83" i="57"/>
  <c r="A84" i="57"/>
  <c r="F84" i="57"/>
  <c r="A85" i="57"/>
  <c r="F85" i="57"/>
  <c r="A86" i="57"/>
  <c r="F86" i="57"/>
  <c r="A87" i="57"/>
  <c r="F87" i="57"/>
  <c r="A88" i="57"/>
  <c r="F88" i="57"/>
  <c r="A89" i="57"/>
  <c r="F89" i="57"/>
  <c r="A90" i="57"/>
  <c r="F90" i="57"/>
  <c r="B92" i="57"/>
  <c r="C92" i="57"/>
  <c r="D92" i="57"/>
  <c r="G92" i="57"/>
  <c r="H92" i="57"/>
  <c r="I92" i="57"/>
  <c r="A95" i="57"/>
  <c r="F95" i="57"/>
  <c r="A96" i="57"/>
  <c r="F96" i="57"/>
  <c r="A97" i="57"/>
  <c r="F97" i="57"/>
  <c r="A98" i="57"/>
  <c r="F98" i="57"/>
  <c r="A99" i="57"/>
  <c r="F99" i="57"/>
  <c r="A100" i="57"/>
  <c r="F100" i="57"/>
  <c r="A101" i="57"/>
  <c r="F101" i="57"/>
  <c r="A102" i="57"/>
  <c r="F102" i="57"/>
  <c r="A103" i="57"/>
  <c r="F103" i="57"/>
  <c r="B105" i="57"/>
  <c r="C105" i="57"/>
  <c r="D105" i="57"/>
  <c r="G105" i="57"/>
  <c r="H105" i="57"/>
  <c r="I105" i="57"/>
  <c r="A108" i="57"/>
  <c r="F108" i="57"/>
  <c r="A109" i="57"/>
  <c r="F109" i="57"/>
  <c r="A110" i="57"/>
  <c r="F110" i="57"/>
  <c r="A111" i="57"/>
  <c r="F111" i="57"/>
  <c r="A112" i="57"/>
  <c r="F112" i="57"/>
  <c r="A113" i="57"/>
  <c r="F113" i="57"/>
  <c r="A114" i="57"/>
  <c r="F114" i="57"/>
  <c r="A115" i="57"/>
  <c r="F115" i="57"/>
  <c r="A116" i="57"/>
  <c r="F116" i="57"/>
  <c r="B118" i="57"/>
  <c r="C118" i="57"/>
  <c r="D118" i="57"/>
  <c r="G118" i="57"/>
  <c r="H118" i="57"/>
  <c r="I118" i="57"/>
  <c r="A121" i="57"/>
  <c r="F121" i="57"/>
  <c r="A122" i="57"/>
  <c r="F122" i="57"/>
  <c r="A123" i="57"/>
  <c r="F123" i="57"/>
  <c r="A124" i="57"/>
  <c r="F124" i="57"/>
  <c r="A125" i="57"/>
  <c r="F125" i="57"/>
  <c r="A126" i="57"/>
  <c r="F126" i="57"/>
  <c r="A127" i="57"/>
  <c r="F127" i="57"/>
  <c r="A128" i="57"/>
  <c r="F128" i="57"/>
  <c r="A129" i="57"/>
  <c r="F129" i="57"/>
  <c r="B131" i="57"/>
  <c r="C131" i="57"/>
  <c r="D131" i="57"/>
  <c r="G131" i="57"/>
  <c r="H131" i="57"/>
  <c r="I131" i="57"/>
  <c r="A4" i="56"/>
  <c r="F4" i="56"/>
  <c r="A5" i="56"/>
  <c r="F5" i="56"/>
  <c r="A6" i="56"/>
  <c r="F6" i="56"/>
  <c r="A7" i="56"/>
  <c r="F7" i="56"/>
  <c r="A8" i="56"/>
  <c r="F8" i="56"/>
  <c r="A9" i="56"/>
  <c r="F9" i="56"/>
  <c r="A10" i="56"/>
  <c r="F10" i="56"/>
  <c r="A11" i="56"/>
  <c r="F11" i="56"/>
  <c r="A12" i="56"/>
  <c r="F12" i="56"/>
  <c r="B14" i="56"/>
  <c r="C14" i="56"/>
  <c r="D14" i="56"/>
  <c r="G14" i="56"/>
  <c r="H14" i="56"/>
  <c r="I14" i="56"/>
  <c r="A17" i="56"/>
  <c r="F17" i="56"/>
  <c r="A18" i="56"/>
  <c r="F18" i="56"/>
  <c r="A19" i="56"/>
  <c r="F19" i="56"/>
  <c r="A20" i="56"/>
  <c r="F20" i="56"/>
  <c r="A21" i="56"/>
  <c r="F21" i="56"/>
  <c r="A22" i="56"/>
  <c r="F22" i="56"/>
  <c r="A23" i="56"/>
  <c r="F23" i="56"/>
  <c r="A24" i="56"/>
  <c r="F24" i="56"/>
  <c r="A25" i="56"/>
  <c r="F25" i="56"/>
  <c r="B27" i="56"/>
  <c r="C27" i="56"/>
  <c r="D27" i="56"/>
  <c r="G27" i="56"/>
  <c r="H27" i="56"/>
  <c r="I27" i="56"/>
  <c r="A30" i="56"/>
  <c r="F30" i="56"/>
  <c r="A31" i="56"/>
  <c r="F31" i="56"/>
  <c r="A32" i="56"/>
  <c r="F32" i="56"/>
  <c r="A33" i="56"/>
  <c r="F33" i="56"/>
  <c r="A34" i="56"/>
  <c r="F34" i="56"/>
  <c r="A35" i="56"/>
  <c r="F35" i="56"/>
  <c r="A36" i="56"/>
  <c r="F36" i="56"/>
  <c r="A37" i="56"/>
  <c r="F37" i="56"/>
  <c r="A38" i="56"/>
  <c r="F38" i="56"/>
  <c r="B40" i="56"/>
  <c r="C40" i="56"/>
  <c r="D40" i="56"/>
  <c r="G40" i="56"/>
  <c r="H40" i="56"/>
  <c r="I40" i="56"/>
  <c r="A43" i="56"/>
  <c r="F43" i="56"/>
  <c r="A44" i="56"/>
  <c r="F44" i="56"/>
  <c r="A45" i="56"/>
  <c r="F45" i="56"/>
  <c r="A46" i="56"/>
  <c r="F46" i="56"/>
  <c r="A47" i="56"/>
  <c r="F47" i="56"/>
  <c r="A48" i="56"/>
  <c r="F48" i="56"/>
  <c r="A49" i="56"/>
  <c r="F49" i="56"/>
  <c r="A50" i="56"/>
  <c r="F50" i="56"/>
  <c r="A51" i="56"/>
  <c r="F51" i="56"/>
  <c r="B53" i="56"/>
  <c r="C53" i="56"/>
  <c r="D53" i="56"/>
  <c r="G53" i="56"/>
  <c r="H53" i="56"/>
  <c r="I53" i="56"/>
  <c r="A56" i="56"/>
  <c r="F56" i="56"/>
  <c r="A57" i="56"/>
  <c r="F57" i="56"/>
  <c r="A58" i="56"/>
  <c r="F58" i="56"/>
  <c r="A59" i="56"/>
  <c r="F59" i="56"/>
  <c r="A60" i="56"/>
  <c r="F60" i="56"/>
  <c r="A61" i="56"/>
  <c r="F61" i="56"/>
  <c r="A62" i="56"/>
  <c r="F62" i="56"/>
  <c r="A63" i="56"/>
  <c r="F63" i="56"/>
  <c r="A64" i="56"/>
  <c r="F64" i="56"/>
  <c r="B66" i="56"/>
  <c r="C66" i="56"/>
  <c r="D66" i="56"/>
  <c r="G66" i="56"/>
  <c r="H66" i="56"/>
  <c r="I66" i="56"/>
  <c r="A69" i="56"/>
  <c r="F69" i="56"/>
  <c r="A70" i="56"/>
  <c r="F70" i="56"/>
  <c r="A71" i="56"/>
  <c r="F71" i="56"/>
  <c r="A72" i="56"/>
  <c r="F72" i="56"/>
  <c r="A73" i="56"/>
  <c r="F73" i="56"/>
  <c r="A74" i="56"/>
  <c r="F74" i="56"/>
  <c r="A75" i="56"/>
  <c r="F75" i="56"/>
  <c r="A76" i="56"/>
  <c r="F76" i="56"/>
  <c r="A77" i="56"/>
  <c r="F77" i="56"/>
  <c r="B79" i="56"/>
  <c r="C79" i="56"/>
  <c r="D79" i="56"/>
  <c r="G79" i="56"/>
  <c r="H79" i="56"/>
  <c r="I79" i="56"/>
  <c r="A82" i="56"/>
  <c r="F82" i="56"/>
  <c r="A83" i="56"/>
  <c r="F83" i="56"/>
  <c r="A84" i="56"/>
  <c r="F84" i="56"/>
  <c r="A85" i="56"/>
  <c r="F85" i="56"/>
  <c r="A86" i="56"/>
  <c r="F86" i="56"/>
  <c r="A87" i="56"/>
  <c r="F87" i="56"/>
  <c r="A88" i="56"/>
  <c r="F88" i="56"/>
  <c r="A89" i="56"/>
  <c r="F89" i="56"/>
  <c r="A90" i="56"/>
  <c r="F90" i="56"/>
  <c r="B92" i="56"/>
  <c r="C92" i="56"/>
  <c r="D92" i="56"/>
  <c r="G92" i="56"/>
  <c r="H92" i="56"/>
  <c r="I92" i="56"/>
  <c r="A95" i="56"/>
  <c r="F95" i="56"/>
  <c r="A96" i="56"/>
  <c r="F96" i="56"/>
  <c r="A97" i="56"/>
  <c r="F97" i="56"/>
  <c r="A98" i="56"/>
  <c r="F98" i="56"/>
  <c r="A99" i="56"/>
  <c r="F99" i="56"/>
  <c r="A100" i="56"/>
  <c r="F100" i="56"/>
  <c r="A101" i="56"/>
  <c r="F101" i="56"/>
  <c r="A102" i="56"/>
  <c r="F102" i="56"/>
  <c r="A103" i="56"/>
  <c r="F103" i="56"/>
  <c r="B105" i="56"/>
  <c r="C105" i="56"/>
  <c r="D105" i="56"/>
  <c r="G105" i="56"/>
  <c r="H105" i="56"/>
  <c r="I105" i="56"/>
  <c r="A108" i="56"/>
  <c r="F108" i="56"/>
  <c r="A109" i="56"/>
  <c r="F109" i="56"/>
  <c r="A110" i="56"/>
  <c r="F110" i="56"/>
  <c r="A111" i="56"/>
  <c r="F111" i="56"/>
  <c r="A112" i="56"/>
  <c r="F112" i="56"/>
  <c r="A113" i="56"/>
  <c r="F113" i="56"/>
  <c r="A114" i="56"/>
  <c r="F114" i="56"/>
  <c r="A115" i="56"/>
  <c r="F115" i="56"/>
  <c r="A116" i="56"/>
  <c r="F116" i="56"/>
  <c r="B118" i="56"/>
  <c r="C118" i="56"/>
  <c r="D118" i="56"/>
  <c r="G118" i="56"/>
  <c r="H118" i="56"/>
  <c r="I118" i="56"/>
  <c r="A121" i="56"/>
  <c r="F121" i="56"/>
  <c r="A122" i="56"/>
  <c r="F122" i="56"/>
  <c r="A123" i="56"/>
  <c r="F123" i="56"/>
  <c r="A124" i="56"/>
  <c r="F124" i="56"/>
  <c r="A125" i="56"/>
  <c r="F125" i="56"/>
  <c r="A126" i="56"/>
  <c r="F126" i="56"/>
  <c r="A127" i="56"/>
  <c r="F127" i="56"/>
  <c r="A128" i="56"/>
  <c r="F128" i="56"/>
  <c r="A129" i="56"/>
  <c r="F129" i="56"/>
  <c r="B131" i="56"/>
  <c r="C131" i="56"/>
  <c r="D131" i="56"/>
  <c r="G131" i="56"/>
  <c r="H131" i="56"/>
  <c r="I131" i="56"/>
  <c r="A4" i="55"/>
  <c r="F4" i="55"/>
  <c r="A5" i="55"/>
  <c r="F5" i="55"/>
  <c r="A6" i="55"/>
  <c r="F6" i="55"/>
  <c r="A7" i="55"/>
  <c r="F7" i="55"/>
  <c r="A8" i="55"/>
  <c r="F8" i="55"/>
  <c r="A9" i="55"/>
  <c r="F9" i="55"/>
  <c r="A10" i="55"/>
  <c r="F10" i="55"/>
  <c r="A11" i="55"/>
  <c r="F11" i="55"/>
  <c r="A12" i="55"/>
  <c r="F12" i="55"/>
  <c r="B14" i="55"/>
  <c r="C14" i="55"/>
  <c r="D14" i="55"/>
  <c r="G14" i="55"/>
  <c r="H14" i="55"/>
  <c r="I14" i="55"/>
  <c r="A17" i="55"/>
  <c r="F17" i="55"/>
  <c r="A18" i="55"/>
  <c r="F18" i="55"/>
  <c r="A19" i="55"/>
  <c r="F19" i="55"/>
  <c r="A20" i="55"/>
  <c r="F20" i="55"/>
  <c r="A21" i="55"/>
  <c r="F21" i="55"/>
  <c r="A22" i="55"/>
  <c r="F22" i="55"/>
  <c r="A23" i="55"/>
  <c r="F23" i="55"/>
  <c r="A24" i="55"/>
  <c r="F24" i="55"/>
  <c r="A25" i="55"/>
  <c r="F25" i="55"/>
  <c r="B27" i="55"/>
  <c r="C27" i="55"/>
  <c r="D27" i="55"/>
  <c r="G27" i="55"/>
  <c r="H27" i="55"/>
  <c r="I27" i="55"/>
  <c r="A30" i="55"/>
  <c r="F30" i="55"/>
  <c r="A31" i="55"/>
  <c r="F31" i="55"/>
  <c r="A32" i="55"/>
  <c r="F32" i="55"/>
  <c r="A33" i="55"/>
  <c r="F33" i="55"/>
  <c r="A34" i="55"/>
  <c r="F34" i="55"/>
  <c r="A35" i="55"/>
  <c r="F35" i="55"/>
  <c r="A36" i="55"/>
  <c r="F36" i="55"/>
  <c r="A37" i="55"/>
  <c r="F37" i="55"/>
  <c r="A38" i="55"/>
  <c r="F38" i="55"/>
  <c r="B40" i="55"/>
  <c r="C40" i="55"/>
  <c r="D40" i="55"/>
  <c r="G40" i="55"/>
  <c r="H40" i="55"/>
  <c r="I40" i="55"/>
  <c r="A43" i="55"/>
  <c r="F43" i="55"/>
  <c r="A44" i="55"/>
  <c r="F44" i="55"/>
  <c r="A45" i="55"/>
  <c r="F45" i="55"/>
  <c r="A46" i="55"/>
  <c r="F46" i="55"/>
  <c r="A47" i="55"/>
  <c r="F47" i="55"/>
  <c r="A48" i="55"/>
  <c r="F48" i="55"/>
  <c r="A49" i="55"/>
  <c r="F49" i="55"/>
  <c r="A50" i="55"/>
  <c r="F50" i="55"/>
  <c r="A51" i="55"/>
  <c r="F51" i="55"/>
  <c r="B53" i="55"/>
  <c r="C53" i="55"/>
  <c r="D53" i="55"/>
  <c r="G53" i="55"/>
  <c r="H53" i="55"/>
  <c r="I53" i="55"/>
  <c r="A56" i="55"/>
  <c r="F56" i="55"/>
  <c r="A57" i="55"/>
  <c r="F57" i="55"/>
  <c r="A58" i="55"/>
  <c r="F58" i="55"/>
  <c r="A59" i="55"/>
  <c r="F59" i="55"/>
  <c r="A60" i="55"/>
  <c r="F60" i="55"/>
  <c r="A61" i="55"/>
  <c r="F61" i="55"/>
  <c r="A62" i="55"/>
  <c r="F62" i="55"/>
  <c r="A63" i="55"/>
  <c r="F63" i="55"/>
  <c r="A64" i="55"/>
  <c r="F64" i="55"/>
  <c r="B66" i="55"/>
  <c r="C66" i="55"/>
  <c r="D66" i="55"/>
  <c r="G66" i="55"/>
  <c r="H66" i="55"/>
  <c r="I66" i="55"/>
  <c r="A69" i="55"/>
  <c r="F69" i="55"/>
  <c r="A70" i="55"/>
  <c r="F70" i="55"/>
  <c r="A71" i="55"/>
  <c r="F71" i="55"/>
  <c r="A72" i="55"/>
  <c r="F72" i="55"/>
  <c r="A73" i="55"/>
  <c r="F73" i="55"/>
  <c r="A74" i="55"/>
  <c r="F74" i="55"/>
  <c r="A75" i="55"/>
  <c r="F75" i="55"/>
  <c r="A76" i="55"/>
  <c r="F76" i="55"/>
  <c r="A77" i="55"/>
  <c r="F77" i="55"/>
  <c r="B79" i="55"/>
  <c r="C79" i="55"/>
  <c r="D79" i="55"/>
  <c r="G79" i="55"/>
  <c r="H79" i="55"/>
  <c r="I79" i="55"/>
  <c r="A82" i="55"/>
  <c r="F82" i="55"/>
  <c r="A83" i="55"/>
  <c r="F83" i="55"/>
  <c r="A84" i="55"/>
  <c r="F84" i="55"/>
  <c r="A85" i="55"/>
  <c r="F85" i="55"/>
  <c r="A86" i="55"/>
  <c r="F86" i="55"/>
  <c r="A87" i="55"/>
  <c r="F87" i="55"/>
  <c r="A88" i="55"/>
  <c r="F88" i="55"/>
  <c r="A89" i="55"/>
  <c r="F89" i="55"/>
  <c r="A90" i="55"/>
  <c r="F90" i="55"/>
  <c r="B92" i="55"/>
  <c r="C92" i="55"/>
  <c r="D92" i="55"/>
  <c r="G92" i="55"/>
  <c r="H92" i="55"/>
  <c r="I92" i="55"/>
  <c r="A95" i="55"/>
  <c r="F95" i="55"/>
  <c r="A96" i="55"/>
  <c r="F96" i="55"/>
  <c r="A97" i="55"/>
  <c r="F97" i="55"/>
  <c r="A98" i="55"/>
  <c r="F98" i="55"/>
  <c r="A99" i="55"/>
  <c r="F99" i="55"/>
  <c r="A100" i="55"/>
  <c r="F100" i="55"/>
  <c r="A101" i="55"/>
  <c r="F101" i="55"/>
  <c r="A102" i="55"/>
  <c r="F102" i="55"/>
  <c r="A103" i="55"/>
  <c r="F103" i="55"/>
  <c r="B105" i="55"/>
  <c r="C105" i="55"/>
  <c r="D105" i="55"/>
  <c r="G105" i="55"/>
  <c r="H105" i="55"/>
  <c r="I105" i="55"/>
  <c r="A108" i="55"/>
  <c r="F108" i="55"/>
  <c r="A109" i="55"/>
  <c r="F109" i="55"/>
  <c r="A110" i="55"/>
  <c r="F110" i="55"/>
  <c r="A111" i="55"/>
  <c r="F111" i="55"/>
  <c r="A112" i="55"/>
  <c r="F112" i="55"/>
  <c r="A113" i="55"/>
  <c r="F113" i="55"/>
  <c r="A114" i="55"/>
  <c r="F114" i="55"/>
  <c r="A115" i="55"/>
  <c r="F115" i="55"/>
  <c r="A116" i="55"/>
  <c r="F116" i="55"/>
  <c r="B118" i="55"/>
  <c r="C118" i="55"/>
  <c r="D118" i="55"/>
  <c r="G118" i="55"/>
  <c r="H118" i="55"/>
  <c r="I118" i="55"/>
  <c r="A121" i="55"/>
  <c r="F121" i="55"/>
  <c r="A122" i="55"/>
  <c r="F122" i="55"/>
  <c r="A123" i="55"/>
  <c r="F123" i="55"/>
  <c r="A124" i="55"/>
  <c r="F124" i="55"/>
  <c r="A125" i="55"/>
  <c r="F125" i="55"/>
  <c r="A126" i="55"/>
  <c r="F126" i="55"/>
  <c r="A127" i="55"/>
  <c r="F127" i="55"/>
  <c r="A128" i="55"/>
  <c r="F128" i="55"/>
  <c r="A129" i="55"/>
  <c r="F129" i="55"/>
  <c r="B131" i="55"/>
  <c r="C131" i="55"/>
  <c r="D131" i="55"/>
  <c r="G131" i="55"/>
  <c r="H131" i="55"/>
  <c r="I131" i="55"/>
  <c r="A4" i="54"/>
  <c r="F4" i="54"/>
  <c r="A5" i="54"/>
  <c r="F5" i="54"/>
  <c r="A6" i="54"/>
  <c r="F6" i="54"/>
  <c r="A7" i="54"/>
  <c r="F7" i="54"/>
  <c r="A8" i="54"/>
  <c r="F8" i="54"/>
  <c r="A9" i="54"/>
  <c r="F9" i="54"/>
  <c r="A10" i="54"/>
  <c r="F10" i="54"/>
  <c r="A11" i="54"/>
  <c r="F11" i="54"/>
  <c r="A12" i="54"/>
  <c r="F12" i="54"/>
  <c r="B14" i="54"/>
  <c r="C14" i="54"/>
  <c r="D14" i="54"/>
  <c r="G14" i="54"/>
  <c r="H14" i="54"/>
  <c r="I14" i="54"/>
  <c r="A17" i="54"/>
  <c r="F17" i="54"/>
  <c r="A18" i="54"/>
  <c r="F18" i="54"/>
  <c r="A19" i="54"/>
  <c r="F19" i="54"/>
  <c r="A20" i="54"/>
  <c r="F20" i="54"/>
  <c r="A21" i="54"/>
  <c r="F21" i="54"/>
  <c r="A22" i="54"/>
  <c r="F22" i="54"/>
  <c r="A23" i="54"/>
  <c r="F23" i="54"/>
  <c r="A24" i="54"/>
  <c r="F24" i="54"/>
  <c r="A25" i="54"/>
  <c r="F25" i="54"/>
  <c r="B27" i="54"/>
  <c r="C27" i="54"/>
  <c r="D27" i="54"/>
  <c r="G27" i="54"/>
  <c r="H27" i="54"/>
  <c r="I27" i="54"/>
  <c r="A30" i="54"/>
  <c r="F30" i="54"/>
  <c r="A31" i="54"/>
  <c r="F31" i="54"/>
  <c r="A32" i="54"/>
  <c r="F32" i="54"/>
  <c r="A33" i="54"/>
  <c r="F33" i="54"/>
  <c r="A34" i="54"/>
  <c r="F34" i="54"/>
  <c r="A35" i="54"/>
  <c r="F35" i="54"/>
  <c r="A36" i="54"/>
  <c r="F36" i="54"/>
  <c r="A37" i="54"/>
  <c r="F37" i="54"/>
  <c r="A38" i="54"/>
  <c r="F38" i="54"/>
  <c r="B40" i="54"/>
  <c r="C40" i="54"/>
  <c r="D40" i="54"/>
  <c r="G40" i="54"/>
  <c r="H40" i="54"/>
  <c r="I40" i="54"/>
  <c r="A43" i="54"/>
  <c r="F43" i="54"/>
  <c r="A44" i="54"/>
  <c r="F44" i="54"/>
  <c r="A45" i="54"/>
  <c r="F45" i="54"/>
  <c r="A46" i="54"/>
  <c r="F46" i="54"/>
  <c r="A47" i="54"/>
  <c r="F47" i="54"/>
  <c r="A48" i="54"/>
  <c r="F48" i="54"/>
  <c r="A49" i="54"/>
  <c r="F49" i="54"/>
  <c r="A50" i="54"/>
  <c r="F50" i="54"/>
  <c r="A51" i="54"/>
  <c r="F51" i="54"/>
  <c r="B53" i="54"/>
  <c r="C53" i="54"/>
  <c r="D53" i="54"/>
  <c r="G53" i="54"/>
  <c r="H53" i="54"/>
  <c r="I53" i="54"/>
  <c r="A56" i="54"/>
  <c r="F56" i="54"/>
  <c r="A57" i="54"/>
  <c r="F57" i="54"/>
  <c r="A58" i="54"/>
  <c r="F58" i="54"/>
  <c r="A59" i="54"/>
  <c r="F59" i="54"/>
  <c r="A60" i="54"/>
  <c r="F60" i="54"/>
  <c r="A61" i="54"/>
  <c r="F61" i="54"/>
  <c r="A62" i="54"/>
  <c r="F62" i="54"/>
  <c r="A63" i="54"/>
  <c r="F63" i="54"/>
  <c r="A64" i="54"/>
  <c r="F64" i="54"/>
  <c r="B66" i="54"/>
  <c r="C66" i="54"/>
  <c r="D66" i="54"/>
  <c r="G66" i="54"/>
  <c r="H66" i="54"/>
  <c r="I66" i="54"/>
  <c r="A69" i="54"/>
  <c r="F69" i="54"/>
  <c r="A70" i="54"/>
  <c r="F70" i="54"/>
  <c r="A71" i="54"/>
  <c r="F71" i="54"/>
  <c r="A72" i="54"/>
  <c r="F72" i="54"/>
  <c r="A73" i="54"/>
  <c r="F73" i="54"/>
  <c r="A74" i="54"/>
  <c r="F74" i="54"/>
  <c r="A75" i="54"/>
  <c r="F75" i="54"/>
  <c r="A76" i="54"/>
  <c r="F76" i="54"/>
  <c r="A77" i="54"/>
  <c r="F77" i="54"/>
  <c r="B79" i="54"/>
  <c r="C79" i="54"/>
  <c r="D79" i="54"/>
  <c r="G79" i="54"/>
  <c r="H79" i="54"/>
  <c r="I79" i="54"/>
  <c r="A82" i="54"/>
  <c r="F82" i="54"/>
  <c r="A83" i="54"/>
  <c r="F83" i="54"/>
  <c r="A84" i="54"/>
  <c r="F84" i="54"/>
  <c r="A85" i="54"/>
  <c r="F85" i="54"/>
  <c r="A86" i="54"/>
  <c r="F86" i="54"/>
  <c r="A87" i="54"/>
  <c r="F87" i="54"/>
  <c r="A88" i="54"/>
  <c r="F88" i="54"/>
  <c r="A89" i="54"/>
  <c r="F89" i="54"/>
  <c r="A90" i="54"/>
  <c r="F90" i="54"/>
  <c r="B92" i="54"/>
  <c r="C92" i="54"/>
  <c r="D92" i="54"/>
  <c r="G92" i="54"/>
  <c r="H92" i="54"/>
  <c r="I92" i="54"/>
  <c r="A95" i="54"/>
  <c r="F95" i="54"/>
  <c r="A96" i="54"/>
  <c r="F96" i="54"/>
  <c r="A97" i="54"/>
  <c r="F97" i="54"/>
  <c r="A98" i="54"/>
  <c r="F98" i="54"/>
  <c r="A99" i="54"/>
  <c r="F99" i="54"/>
  <c r="A100" i="54"/>
  <c r="F100" i="54"/>
  <c r="A101" i="54"/>
  <c r="F101" i="54"/>
  <c r="A102" i="54"/>
  <c r="F102" i="54"/>
  <c r="A103" i="54"/>
  <c r="F103" i="54"/>
  <c r="B105" i="54"/>
  <c r="C105" i="54"/>
  <c r="D105" i="54"/>
  <c r="G105" i="54"/>
  <c r="H105" i="54"/>
  <c r="I105" i="54"/>
  <c r="A108" i="54"/>
  <c r="F108" i="54"/>
  <c r="A109" i="54"/>
  <c r="F109" i="54"/>
  <c r="A110" i="54"/>
  <c r="F110" i="54"/>
  <c r="A111" i="54"/>
  <c r="F111" i="54"/>
  <c r="A112" i="54"/>
  <c r="F112" i="54"/>
  <c r="A113" i="54"/>
  <c r="F113" i="54"/>
  <c r="A114" i="54"/>
  <c r="F114" i="54"/>
  <c r="A115" i="54"/>
  <c r="F115" i="54"/>
  <c r="A116" i="54"/>
  <c r="F116" i="54"/>
  <c r="B118" i="54"/>
  <c r="C118" i="54"/>
  <c r="D118" i="54"/>
  <c r="G118" i="54"/>
  <c r="H118" i="54"/>
  <c r="I118" i="54"/>
  <c r="A121" i="54"/>
  <c r="F121" i="54"/>
  <c r="A122" i="54"/>
  <c r="F122" i="54"/>
  <c r="A123" i="54"/>
  <c r="F123" i="54"/>
  <c r="A124" i="54"/>
  <c r="F124" i="54"/>
  <c r="A125" i="54"/>
  <c r="F125" i="54"/>
  <c r="A126" i="54"/>
  <c r="F126" i="54"/>
  <c r="A127" i="54"/>
  <c r="F127" i="54"/>
  <c r="A128" i="54"/>
  <c r="F128" i="54"/>
  <c r="A129" i="54"/>
  <c r="F129" i="54"/>
  <c r="B131" i="54"/>
  <c r="C131" i="54"/>
  <c r="D131" i="54"/>
  <c r="G131" i="54"/>
  <c r="H131" i="54"/>
  <c r="I131" i="54"/>
  <c r="A4" i="53"/>
  <c r="F4" i="53"/>
  <c r="A5" i="53"/>
  <c r="F5" i="53"/>
  <c r="A6" i="53"/>
  <c r="F6" i="53"/>
  <c r="A7" i="53"/>
  <c r="F7" i="53"/>
  <c r="A8" i="53"/>
  <c r="F8" i="53"/>
  <c r="A9" i="53"/>
  <c r="F9" i="53"/>
  <c r="A10" i="53"/>
  <c r="F10" i="53"/>
  <c r="A11" i="53"/>
  <c r="F11" i="53"/>
  <c r="A12" i="53"/>
  <c r="F12" i="53"/>
  <c r="B14" i="53"/>
  <c r="C14" i="53"/>
  <c r="D14" i="53"/>
  <c r="G14" i="53"/>
  <c r="H14" i="53"/>
  <c r="I14" i="53"/>
  <c r="A17" i="53"/>
  <c r="F17" i="53"/>
  <c r="A18" i="53"/>
  <c r="F18" i="53"/>
  <c r="A19" i="53"/>
  <c r="F19" i="53"/>
  <c r="A20" i="53"/>
  <c r="F20" i="53"/>
  <c r="A21" i="53"/>
  <c r="F21" i="53"/>
  <c r="A22" i="53"/>
  <c r="F22" i="53"/>
  <c r="A23" i="53"/>
  <c r="F23" i="53"/>
  <c r="A24" i="53"/>
  <c r="F24" i="53"/>
  <c r="A25" i="53"/>
  <c r="F25" i="53"/>
  <c r="B27" i="53"/>
  <c r="C27" i="53"/>
  <c r="D27" i="53"/>
  <c r="G27" i="53"/>
  <c r="H27" i="53"/>
  <c r="I27" i="53"/>
  <c r="A30" i="53"/>
  <c r="F30" i="53"/>
  <c r="A31" i="53"/>
  <c r="F31" i="53"/>
  <c r="A32" i="53"/>
  <c r="F32" i="53"/>
  <c r="A33" i="53"/>
  <c r="F33" i="53"/>
  <c r="A34" i="53"/>
  <c r="F34" i="53"/>
  <c r="A35" i="53"/>
  <c r="F35" i="53"/>
  <c r="A36" i="53"/>
  <c r="F36" i="53"/>
  <c r="A37" i="53"/>
  <c r="F37" i="53"/>
  <c r="A38" i="53"/>
  <c r="F38" i="53"/>
  <c r="B40" i="53"/>
  <c r="C40" i="53"/>
  <c r="D40" i="53"/>
  <c r="G40" i="53"/>
  <c r="H40" i="53"/>
  <c r="I40" i="53"/>
  <c r="A43" i="53"/>
  <c r="F43" i="53"/>
  <c r="A44" i="53"/>
  <c r="F44" i="53"/>
  <c r="A45" i="53"/>
  <c r="F45" i="53"/>
  <c r="A46" i="53"/>
  <c r="F46" i="53"/>
  <c r="A47" i="53"/>
  <c r="F47" i="53"/>
  <c r="A48" i="53"/>
  <c r="F48" i="53"/>
  <c r="A49" i="53"/>
  <c r="F49" i="53"/>
  <c r="A50" i="53"/>
  <c r="F50" i="53"/>
  <c r="A51" i="53"/>
  <c r="F51" i="53"/>
  <c r="B53" i="53"/>
  <c r="C53" i="53"/>
  <c r="D53" i="53"/>
  <c r="G53" i="53"/>
  <c r="H53" i="53"/>
  <c r="I53" i="53"/>
  <c r="A56" i="53"/>
  <c r="F56" i="53"/>
  <c r="A57" i="53"/>
  <c r="F57" i="53"/>
  <c r="A58" i="53"/>
  <c r="F58" i="53"/>
  <c r="A59" i="53"/>
  <c r="F59" i="53"/>
  <c r="A60" i="53"/>
  <c r="F60" i="53"/>
  <c r="A61" i="53"/>
  <c r="F61" i="53"/>
  <c r="A62" i="53"/>
  <c r="F62" i="53"/>
  <c r="A63" i="53"/>
  <c r="F63" i="53"/>
  <c r="A64" i="53"/>
  <c r="F64" i="53"/>
  <c r="B66" i="53"/>
  <c r="C66" i="53"/>
  <c r="D66" i="53"/>
  <c r="G66" i="53"/>
  <c r="H66" i="53"/>
  <c r="I66" i="53"/>
  <c r="A69" i="53"/>
  <c r="F69" i="53"/>
  <c r="A70" i="53"/>
  <c r="F70" i="53"/>
  <c r="A71" i="53"/>
  <c r="F71" i="53"/>
  <c r="A72" i="53"/>
  <c r="F72" i="53"/>
  <c r="A73" i="53"/>
  <c r="F73" i="53"/>
  <c r="A74" i="53"/>
  <c r="F74" i="53"/>
  <c r="A75" i="53"/>
  <c r="F75" i="53"/>
  <c r="A76" i="53"/>
  <c r="F76" i="53"/>
  <c r="A77" i="53"/>
  <c r="F77" i="53"/>
  <c r="B79" i="53"/>
  <c r="C79" i="53"/>
  <c r="D79" i="53"/>
  <c r="G79" i="53"/>
  <c r="H79" i="53"/>
  <c r="I79" i="53"/>
  <c r="A82" i="53"/>
  <c r="F82" i="53"/>
  <c r="A83" i="53"/>
  <c r="F83" i="53"/>
  <c r="A84" i="53"/>
  <c r="F84" i="53"/>
  <c r="A85" i="53"/>
  <c r="F85" i="53"/>
  <c r="A86" i="53"/>
  <c r="F86" i="53"/>
  <c r="A87" i="53"/>
  <c r="F87" i="53"/>
  <c r="A88" i="53"/>
  <c r="F88" i="53"/>
  <c r="A89" i="53"/>
  <c r="F89" i="53"/>
  <c r="A90" i="53"/>
  <c r="F90" i="53"/>
  <c r="B92" i="53"/>
  <c r="C92" i="53"/>
  <c r="D92" i="53"/>
  <c r="G92" i="53"/>
  <c r="H92" i="53"/>
  <c r="I92" i="53"/>
  <c r="A95" i="53"/>
  <c r="F95" i="53"/>
  <c r="A96" i="53"/>
  <c r="F96" i="53"/>
  <c r="A97" i="53"/>
  <c r="F97" i="53"/>
  <c r="A98" i="53"/>
  <c r="F98" i="53"/>
  <c r="A99" i="53"/>
  <c r="F99" i="53"/>
  <c r="A100" i="53"/>
  <c r="F100" i="53"/>
  <c r="A101" i="53"/>
  <c r="F101" i="53"/>
  <c r="A102" i="53"/>
  <c r="F102" i="53"/>
  <c r="A103" i="53"/>
  <c r="F103" i="53"/>
  <c r="B105" i="53"/>
  <c r="C105" i="53"/>
  <c r="D105" i="53"/>
  <c r="G105" i="53"/>
  <c r="H105" i="53"/>
  <c r="I105" i="53"/>
  <c r="A108" i="53"/>
  <c r="F108" i="53"/>
  <c r="A109" i="53"/>
  <c r="F109" i="53"/>
  <c r="A110" i="53"/>
  <c r="F110" i="53"/>
  <c r="A111" i="53"/>
  <c r="F111" i="53"/>
  <c r="A112" i="53"/>
  <c r="F112" i="53"/>
  <c r="A113" i="53"/>
  <c r="F113" i="53"/>
  <c r="A114" i="53"/>
  <c r="F114" i="53"/>
  <c r="A115" i="53"/>
  <c r="F115" i="53"/>
  <c r="A116" i="53"/>
  <c r="F116" i="53"/>
  <c r="B118" i="53"/>
  <c r="C118" i="53"/>
  <c r="D118" i="53"/>
  <c r="G118" i="53"/>
  <c r="H118" i="53"/>
  <c r="I118" i="53"/>
  <c r="A121" i="53"/>
  <c r="F121" i="53"/>
  <c r="A122" i="53"/>
  <c r="F122" i="53"/>
  <c r="A123" i="53"/>
  <c r="F123" i="53"/>
  <c r="A124" i="53"/>
  <c r="F124" i="53"/>
  <c r="A125" i="53"/>
  <c r="F125" i="53"/>
  <c r="A126" i="53"/>
  <c r="F126" i="53"/>
  <c r="A127" i="53"/>
  <c r="F127" i="53"/>
  <c r="A128" i="53"/>
  <c r="F128" i="53"/>
  <c r="A129" i="53"/>
  <c r="F129" i="53"/>
  <c r="B131" i="53"/>
  <c r="C131" i="53"/>
  <c r="D131" i="53"/>
  <c r="G131" i="53"/>
  <c r="H131" i="53"/>
  <c r="I131" i="53"/>
  <c r="A4" i="52"/>
  <c r="F4" i="52"/>
  <c r="A5" i="52"/>
  <c r="F5" i="52"/>
  <c r="A6" i="52"/>
  <c r="F6" i="52"/>
  <c r="A7" i="52"/>
  <c r="F7" i="52"/>
  <c r="A8" i="52"/>
  <c r="F8" i="52"/>
  <c r="A9" i="52"/>
  <c r="F9" i="52"/>
  <c r="A10" i="52"/>
  <c r="F10" i="52"/>
  <c r="A11" i="52"/>
  <c r="F11" i="52"/>
  <c r="A12" i="52"/>
  <c r="F12" i="52"/>
  <c r="B14" i="52"/>
  <c r="C14" i="52"/>
  <c r="D14" i="52"/>
  <c r="G14" i="52"/>
  <c r="H14" i="52"/>
  <c r="I14" i="52"/>
  <c r="A17" i="52"/>
  <c r="F17" i="52"/>
  <c r="A18" i="52"/>
  <c r="F18" i="52"/>
  <c r="A19" i="52"/>
  <c r="F19" i="52"/>
  <c r="A20" i="52"/>
  <c r="F20" i="52"/>
  <c r="A21" i="52"/>
  <c r="F21" i="52"/>
  <c r="A22" i="52"/>
  <c r="F22" i="52"/>
  <c r="A23" i="52"/>
  <c r="F23" i="52"/>
  <c r="A24" i="52"/>
  <c r="F24" i="52"/>
  <c r="A25" i="52"/>
  <c r="F25" i="52"/>
  <c r="B27" i="52"/>
  <c r="C27" i="52"/>
  <c r="D27" i="52"/>
  <c r="G27" i="52"/>
  <c r="H27" i="52"/>
  <c r="I27" i="52"/>
  <c r="A30" i="52"/>
  <c r="F30" i="52"/>
  <c r="A31" i="52"/>
  <c r="F31" i="52"/>
  <c r="A32" i="52"/>
  <c r="F32" i="52"/>
  <c r="A33" i="52"/>
  <c r="F33" i="52"/>
  <c r="A34" i="52"/>
  <c r="F34" i="52"/>
  <c r="A35" i="52"/>
  <c r="F35" i="52"/>
  <c r="A36" i="52"/>
  <c r="F36" i="52"/>
  <c r="A37" i="52"/>
  <c r="F37" i="52"/>
  <c r="A38" i="52"/>
  <c r="F38" i="52"/>
  <c r="B40" i="52"/>
  <c r="C40" i="52"/>
  <c r="D40" i="52"/>
  <c r="G40" i="52"/>
  <c r="H40" i="52"/>
  <c r="I40" i="52"/>
  <c r="A43" i="52"/>
  <c r="F43" i="52"/>
  <c r="A44" i="52"/>
  <c r="F44" i="52"/>
  <c r="A45" i="52"/>
  <c r="F45" i="52"/>
  <c r="A46" i="52"/>
  <c r="F46" i="52"/>
  <c r="A47" i="52"/>
  <c r="F47" i="52"/>
  <c r="A48" i="52"/>
  <c r="F48" i="52"/>
  <c r="A49" i="52"/>
  <c r="F49" i="52"/>
  <c r="A50" i="52"/>
  <c r="F50" i="52"/>
  <c r="A51" i="52"/>
  <c r="F51" i="52"/>
  <c r="B53" i="52"/>
  <c r="C53" i="52"/>
  <c r="D53" i="52"/>
  <c r="G53" i="52"/>
  <c r="H53" i="52"/>
  <c r="I53" i="52"/>
  <c r="A56" i="52"/>
  <c r="F56" i="52"/>
  <c r="A57" i="52"/>
  <c r="F57" i="52"/>
  <c r="A58" i="52"/>
  <c r="F58" i="52"/>
  <c r="A59" i="52"/>
  <c r="F59" i="52"/>
  <c r="A60" i="52"/>
  <c r="F60" i="52"/>
  <c r="A61" i="52"/>
  <c r="F61" i="52"/>
  <c r="A62" i="52"/>
  <c r="F62" i="52"/>
  <c r="A63" i="52"/>
  <c r="F63" i="52"/>
  <c r="A64" i="52"/>
  <c r="F64" i="52"/>
  <c r="B66" i="52"/>
  <c r="C66" i="52"/>
  <c r="D66" i="52"/>
  <c r="G66" i="52"/>
  <c r="H66" i="52"/>
  <c r="I66" i="52"/>
  <c r="A69" i="52"/>
  <c r="F69" i="52"/>
  <c r="A70" i="52"/>
  <c r="F70" i="52"/>
  <c r="A71" i="52"/>
  <c r="F71" i="52"/>
  <c r="A72" i="52"/>
  <c r="F72" i="52"/>
  <c r="A73" i="52"/>
  <c r="F73" i="52"/>
  <c r="A74" i="52"/>
  <c r="F74" i="52"/>
  <c r="A75" i="52"/>
  <c r="F75" i="52"/>
  <c r="A76" i="52"/>
  <c r="F76" i="52"/>
  <c r="A77" i="52"/>
  <c r="F77" i="52"/>
  <c r="B79" i="52"/>
  <c r="C79" i="52"/>
  <c r="D79" i="52"/>
  <c r="G79" i="52"/>
  <c r="H79" i="52"/>
  <c r="I79" i="52"/>
  <c r="A82" i="52"/>
  <c r="F82" i="52"/>
  <c r="A83" i="52"/>
  <c r="F83" i="52"/>
  <c r="A84" i="52"/>
  <c r="F84" i="52"/>
  <c r="A85" i="52"/>
  <c r="F85" i="52"/>
  <c r="A86" i="52"/>
  <c r="F86" i="52"/>
  <c r="A87" i="52"/>
  <c r="F87" i="52"/>
  <c r="A88" i="52"/>
  <c r="F88" i="52"/>
  <c r="A89" i="52"/>
  <c r="F89" i="52"/>
  <c r="A90" i="52"/>
  <c r="F90" i="52"/>
  <c r="B92" i="52"/>
  <c r="C92" i="52"/>
  <c r="D92" i="52"/>
  <c r="G92" i="52"/>
  <c r="H92" i="52"/>
  <c r="I92" i="52"/>
  <c r="A95" i="52"/>
  <c r="F95" i="52"/>
  <c r="A96" i="52"/>
  <c r="F96" i="52"/>
  <c r="A97" i="52"/>
  <c r="F97" i="52"/>
  <c r="A98" i="52"/>
  <c r="F98" i="52"/>
  <c r="A99" i="52"/>
  <c r="F99" i="52"/>
  <c r="A100" i="52"/>
  <c r="F100" i="52"/>
  <c r="A101" i="52"/>
  <c r="F101" i="52"/>
  <c r="A102" i="52"/>
  <c r="F102" i="52"/>
  <c r="A103" i="52"/>
  <c r="F103" i="52"/>
  <c r="B105" i="52"/>
  <c r="C105" i="52"/>
  <c r="D105" i="52"/>
  <c r="G105" i="52"/>
  <c r="H105" i="52"/>
  <c r="I105" i="52"/>
  <c r="A108" i="52"/>
  <c r="F108" i="52"/>
  <c r="A109" i="52"/>
  <c r="F109" i="52"/>
  <c r="A110" i="52"/>
  <c r="F110" i="52"/>
  <c r="A111" i="52"/>
  <c r="F111" i="52"/>
  <c r="A112" i="52"/>
  <c r="F112" i="52"/>
  <c r="A113" i="52"/>
  <c r="F113" i="52"/>
  <c r="A114" i="52"/>
  <c r="F114" i="52"/>
  <c r="A115" i="52"/>
  <c r="F115" i="52"/>
  <c r="A116" i="52"/>
  <c r="F116" i="52"/>
  <c r="B118" i="52"/>
  <c r="C118" i="52"/>
  <c r="D118" i="52"/>
  <c r="G118" i="52"/>
  <c r="H118" i="52"/>
  <c r="I118" i="52"/>
  <c r="A121" i="52"/>
  <c r="F121" i="52"/>
  <c r="A122" i="52"/>
  <c r="F122" i="52"/>
  <c r="A123" i="52"/>
  <c r="F123" i="52"/>
  <c r="A124" i="52"/>
  <c r="F124" i="52"/>
  <c r="A125" i="52"/>
  <c r="F125" i="52"/>
  <c r="A126" i="52"/>
  <c r="F126" i="52"/>
  <c r="A127" i="52"/>
  <c r="F127" i="52"/>
  <c r="A128" i="52"/>
  <c r="F128" i="52"/>
  <c r="A129" i="52"/>
  <c r="F129" i="52"/>
  <c r="B131" i="52"/>
  <c r="C131" i="52"/>
  <c r="D131" i="52"/>
  <c r="G131" i="52"/>
  <c r="H131" i="52"/>
  <c r="I131" i="52"/>
  <c r="A4" i="51"/>
  <c r="F4" i="51"/>
  <c r="A5" i="51"/>
  <c r="F5" i="51"/>
  <c r="A6" i="51"/>
  <c r="F6" i="51"/>
  <c r="A7" i="51"/>
  <c r="F7" i="51"/>
  <c r="A8" i="51"/>
  <c r="F8" i="51"/>
  <c r="A9" i="51"/>
  <c r="F9" i="51"/>
  <c r="A10" i="51"/>
  <c r="F10" i="51"/>
  <c r="A11" i="51"/>
  <c r="F11" i="51"/>
  <c r="A12" i="51"/>
  <c r="F12" i="51"/>
  <c r="B14" i="51"/>
  <c r="C14" i="51"/>
  <c r="D14" i="51"/>
  <c r="G14" i="51"/>
  <c r="H14" i="51"/>
  <c r="I14" i="51"/>
  <c r="A17" i="51"/>
  <c r="F17" i="51"/>
  <c r="A18" i="51"/>
  <c r="F18" i="51"/>
  <c r="A19" i="51"/>
  <c r="F19" i="51"/>
  <c r="A20" i="51"/>
  <c r="F20" i="51"/>
  <c r="A21" i="51"/>
  <c r="F21" i="51"/>
  <c r="A22" i="51"/>
  <c r="F22" i="51"/>
  <c r="A23" i="51"/>
  <c r="F23" i="51"/>
  <c r="A24" i="51"/>
  <c r="F24" i="51"/>
  <c r="A25" i="51"/>
  <c r="F25" i="51"/>
  <c r="B27" i="51"/>
  <c r="C27" i="51"/>
  <c r="D27" i="51"/>
  <c r="G27" i="51"/>
  <c r="H27" i="51"/>
  <c r="I27" i="51"/>
  <c r="A30" i="51"/>
  <c r="F30" i="51"/>
  <c r="A31" i="51"/>
  <c r="F31" i="51"/>
  <c r="A32" i="51"/>
  <c r="F32" i="51"/>
  <c r="A33" i="51"/>
  <c r="F33" i="51"/>
  <c r="A34" i="51"/>
  <c r="F34" i="51"/>
  <c r="A35" i="51"/>
  <c r="F35" i="51"/>
  <c r="A36" i="51"/>
  <c r="F36" i="51"/>
  <c r="A37" i="51"/>
  <c r="F37" i="51"/>
  <c r="A38" i="51"/>
  <c r="F38" i="51"/>
  <c r="B40" i="51"/>
  <c r="C40" i="51"/>
  <c r="D40" i="51"/>
  <c r="G40" i="51"/>
  <c r="H40" i="51"/>
  <c r="I40" i="51"/>
  <c r="A43" i="51"/>
  <c r="F43" i="51"/>
  <c r="A44" i="51"/>
  <c r="F44" i="51"/>
  <c r="A45" i="51"/>
  <c r="F45" i="51"/>
  <c r="A46" i="51"/>
  <c r="F46" i="51"/>
  <c r="A47" i="51"/>
  <c r="F47" i="51"/>
  <c r="A48" i="51"/>
  <c r="F48" i="51"/>
  <c r="A49" i="51"/>
  <c r="F49" i="51"/>
  <c r="A50" i="51"/>
  <c r="F50" i="51"/>
  <c r="A51" i="51"/>
  <c r="F51" i="51"/>
  <c r="B53" i="51"/>
  <c r="C53" i="51"/>
  <c r="D53" i="51"/>
  <c r="G53" i="51"/>
  <c r="H53" i="51"/>
  <c r="I53" i="51"/>
  <c r="A56" i="51"/>
  <c r="F56" i="51"/>
  <c r="A57" i="51"/>
  <c r="F57" i="51"/>
  <c r="A58" i="51"/>
  <c r="F58" i="51"/>
  <c r="A59" i="51"/>
  <c r="F59" i="51"/>
  <c r="A60" i="51"/>
  <c r="F60" i="51"/>
  <c r="A61" i="51"/>
  <c r="F61" i="51"/>
  <c r="A62" i="51"/>
  <c r="F62" i="51"/>
  <c r="A63" i="51"/>
  <c r="F63" i="51"/>
  <c r="A64" i="51"/>
  <c r="F64" i="51"/>
  <c r="B66" i="51"/>
  <c r="C66" i="51"/>
  <c r="D66" i="51"/>
  <c r="G66" i="51"/>
  <c r="H66" i="51"/>
  <c r="I66" i="51"/>
  <c r="A69" i="51"/>
  <c r="F69" i="51"/>
  <c r="A70" i="51"/>
  <c r="F70" i="51"/>
  <c r="A71" i="51"/>
  <c r="F71" i="51"/>
  <c r="A72" i="51"/>
  <c r="F72" i="51"/>
  <c r="A73" i="51"/>
  <c r="F73" i="51"/>
  <c r="A74" i="51"/>
  <c r="F74" i="51"/>
  <c r="A75" i="51"/>
  <c r="F75" i="51"/>
  <c r="A76" i="51"/>
  <c r="F76" i="51"/>
  <c r="A77" i="51"/>
  <c r="F77" i="51"/>
  <c r="B79" i="51"/>
  <c r="C79" i="51"/>
  <c r="D79" i="51"/>
  <c r="G79" i="51"/>
  <c r="H79" i="51"/>
  <c r="I79" i="51"/>
  <c r="A82" i="51"/>
  <c r="F82" i="51"/>
  <c r="A83" i="51"/>
  <c r="F83" i="51"/>
  <c r="A84" i="51"/>
  <c r="F84" i="51"/>
  <c r="A85" i="51"/>
  <c r="F85" i="51"/>
  <c r="A86" i="51"/>
  <c r="F86" i="51"/>
  <c r="A87" i="51"/>
  <c r="F87" i="51"/>
  <c r="A88" i="51"/>
  <c r="F88" i="51"/>
  <c r="A89" i="51"/>
  <c r="F89" i="51"/>
  <c r="A90" i="51"/>
  <c r="F90" i="51"/>
  <c r="B92" i="51"/>
  <c r="C92" i="51"/>
  <c r="D92" i="51"/>
  <c r="G92" i="51"/>
  <c r="H92" i="51"/>
  <c r="I92" i="51"/>
  <c r="A95" i="51"/>
  <c r="F95" i="51"/>
  <c r="A96" i="51"/>
  <c r="F96" i="51"/>
  <c r="A97" i="51"/>
  <c r="F97" i="51"/>
  <c r="A98" i="51"/>
  <c r="F98" i="51"/>
  <c r="A99" i="51"/>
  <c r="F99" i="51"/>
  <c r="A100" i="51"/>
  <c r="F100" i="51"/>
  <c r="A101" i="51"/>
  <c r="F101" i="51"/>
  <c r="A102" i="51"/>
  <c r="F102" i="51"/>
  <c r="A103" i="51"/>
  <c r="F103" i="51"/>
  <c r="B105" i="51"/>
  <c r="C105" i="51"/>
  <c r="D105" i="51"/>
  <c r="G105" i="51"/>
  <c r="H105" i="51"/>
  <c r="I105" i="51"/>
  <c r="A108" i="51"/>
  <c r="F108" i="51"/>
  <c r="A109" i="51"/>
  <c r="F109" i="51"/>
  <c r="A110" i="51"/>
  <c r="F110" i="51"/>
  <c r="A111" i="51"/>
  <c r="F111" i="51"/>
  <c r="A112" i="51"/>
  <c r="F112" i="51"/>
  <c r="A113" i="51"/>
  <c r="F113" i="51"/>
  <c r="A114" i="51"/>
  <c r="F114" i="51"/>
  <c r="A115" i="51"/>
  <c r="F115" i="51"/>
  <c r="A116" i="51"/>
  <c r="F116" i="51"/>
  <c r="B118" i="51"/>
  <c r="C118" i="51"/>
  <c r="D118" i="51"/>
  <c r="G118" i="51"/>
  <c r="H118" i="51"/>
  <c r="I118" i="51"/>
  <c r="A121" i="51"/>
  <c r="F121" i="51"/>
  <c r="A122" i="51"/>
  <c r="F122" i="51"/>
  <c r="A123" i="51"/>
  <c r="F123" i="51"/>
  <c r="A124" i="51"/>
  <c r="F124" i="51"/>
  <c r="A125" i="51"/>
  <c r="F125" i="51"/>
  <c r="A126" i="51"/>
  <c r="F126" i="51"/>
  <c r="A127" i="51"/>
  <c r="F127" i="51"/>
  <c r="A128" i="51"/>
  <c r="F128" i="51"/>
  <c r="A129" i="51"/>
  <c r="F129" i="51"/>
  <c r="B131" i="51"/>
  <c r="C131" i="51"/>
  <c r="D131" i="51"/>
  <c r="G131" i="51"/>
  <c r="H131" i="51"/>
  <c r="I131" i="51"/>
  <c r="A4" i="50"/>
  <c r="F4" i="50"/>
  <c r="A5" i="50"/>
  <c r="F5" i="50"/>
  <c r="A6" i="50"/>
  <c r="F6" i="50"/>
  <c r="A7" i="50"/>
  <c r="F7" i="50"/>
  <c r="A8" i="50"/>
  <c r="F8" i="50"/>
  <c r="A9" i="50"/>
  <c r="F9" i="50"/>
  <c r="A10" i="50"/>
  <c r="F10" i="50"/>
  <c r="A11" i="50"/>
  <c r="F11" i="50"/>
  <c r="A12" i="50"/>
  <c r="F12" i="50"/>
  <c r="B14" i="50"/>
  <c r="C14" i="50"/>
  <c r="D14" i="50"/>
  <c r="G14" i="50"/>
  <c r="H14" i="50"/>
  <c r="I14" i="50"/>
  <c r="A17" i="50"/>
  <c r="F17" i="50"/>
  <c r="A18" i="50"/>
  <c r="F18" i="50"/>
  <c r="A19" i="50"/>
  <c r="F19" i="50"/>
  <c r="A20" i="50"/>
  <c r="F20" i="50"/>
  <c r="A21" i="50"/>
  <c r="F21" i="50"/>
  <c r="A22" i="50"/>
  <c r="F22" i="50"/>
  <c r="A23" i="50"/>
  <c r="F23" i="50"/>
  <c r="A24" i="50"/>
  <c r="F24" i="50"/>
  <c r="A25" i="50"/>
  <c r="F25" i="50"/>
  <c r="B27" i="50"/>
  <c r="C27" i="50"/>
  <c r="D27" i="50"/>
  <c r="G27" i="50"/>
  <c r="H27" i="50"/>
  <c r="I27" i="50"/>
  <c r="A30" i="50"/>
  <c r="F30" i="50"/>
  <c r="A31" i="50"/>
  <c r="F31" i="50"/>
  <c r="A32" i="50"/>
  <c r="F32" i="50"/>
  <c r="A33" i="50"/>
  <c r="F33" i="50"/>
  <c r="A34" i="50"/>
  <c r="F34" i="50"/>
  <c r="A35" i="50"/>
  <c r="F35" i="50"/>
  <c r="A36" i="50"/>
  <c r="F36" i="50"/>
  <c r="A37" i="50"/>
  <c r="F37" i="50"/>
  <c r="A38" i="50"/>
  <c r="F38" i="50"/>
  <c r="B40" i="50"/>
  <c r="C40" i="50"/>
  <c r="D40" i="50"/>
  <c r="G40" i="50"/>
  <c r="H40" i="50"/>
  <c r="I40" i="50"/>
  <c r="A43" i="50"/>
  <c r="F43" i="50"/>
  <c r="A44" i="50"/>
  <c r="F44" i="50"/>
  <c r="A45" i="50"/>
  <c r="F45" i="50"/>
  <c r="A46" i="50"/>
  <c r="F46" i="50"/>
  <c r="A47" i="50"/>
  <c r="F47" i="50"/>
  <c r="A48" i="50"/>
  <c r="F48" i="50"/>
  <c r="A49" i="50"/>
  <c r="F49" i="50"/>
  <c r="A50" i="50"/>
  <c r="F50" i="50"/>
  <c r="A51" i="50"/>
  <c r="F51" i="50"/>
  <c r="B53" i="50"/>
  <c r="C53" i="50"/>
  <c r="D53" i="50"/>
  <c r="G53" i="50"/>
  <c r="H53" i="50"/>
  <c r="I53" i="50"/>
  <c r="A56" i="50"/>
  <c r="F56" i="50"/>
  <c r="A57" i="50"/>
  <c r="F57" i="50"/>
  <c r="A58" i="50"/>
  <c r="F58" i="50"/>
  <c r="A59" i="50"/>
  <c r="F59" i="50"/>
  <c r="A60" i="50"/>
  <c r="F60" i="50"/>
  <c r="A61" i="50"/>
  <c r="F61" i="50"/>
  <c r="A62" i="50"/>
  <c r="F62" i="50"/>
  <c r="A63" i="50"/>
  <c r="F63" i="50"/>
  <c r="A64" i="50"/>
  <c r="F64" i="50"/>
  <c r="B66" i="50"/>
  <c r="C66" i="50"/>
  <c r="D66" i="50"/>
  <c r="G66" i="50"/>
  <c r="H66" i="50"/>
  <c r="I66" i="50"/>
  <c r="A69" i="50"/>
  <c r="F69" i="50"/>
  <c r="A70" i="50"/>
  <c r="F70" i="50"/>
  <c r="A71" i="50"/>
  <c r="F71" i="50"/>
  <c r="A72" i="50"/>
  <c r="F72" i="50"/>
  <c r="A73" i="50"/>
  <c r="F73" i="50"/>
  <c r="A74" i="50"/>
  <c r="F74" i="50"/>
  <c r="A75" i="50"/>
  <c r="F75" i="50"/>
  <c r="A76" i="50"/>
  <c r="F76" i="50"/>
  <c r="A77" i="50"/>
  <c r="F77" i="50"/>
  <c r="B79" i="50"/>
  <c r="C79" i="50"/>
  <c r="D79" i="50"/>
  <c r="G79" i="50"/>
  <c r="H79" i="50"/>
  <c r="I79" i="50"/>
  <c r="A82" i="50"/>
  <c r="F82" i="50"/>
  <c r="A83" i="50"/>
  <c r="F83" i="50"/>
  <c r="A84" i="50"/>
  <c r="F84" i="50"/>
  <c r="A85" i="50"/>
  <c r="F85" i="50"/>
  <c r="A86" i="50"/>
  <c r="F86" i="50"/>
  <c r="A87" i="50"/>
  <c r="F87" i="50"/>
  <c r="A88" i="50"/>
  <c r="F88" i="50"/>
  <c r="A89" i="50"/>
  <c r="F89" i="50"/>
  <c r="A90" i="50"/>
  <c r="F90" i="50"/>
  <c r="B92" i="50"/>
  <c r="C92" i="50"/>
  <c r="D92" i="50"/>
  <c r="G92" i="50"/>
  <c r="H92" i="50"/>
  <c r="I92" i="50"/>
  <c r="A95" i="50"/>
  <c r="F95" i="50"/>
  <c r="A96" i="50"/>
  <c r="F96" i="50"/>
  <c r="A97" i="50"/>
  <c r="F97" i="50"/>
  <c r="A98" i="50"/>
  <c r="F98" i="50"/>
  <c r="A99" i="50"/>
  <c r="F99" i="50"/>
  <c r="A100" i="50"/>
  <c r="F100" i="50"/>
  <c r="A101" i="50"/>
  <c r="F101" i="50"/>
  <c r="A102" i="50"/>
  <c r="F102" i="50"/>
  <c r="A103" i="50"/>
  <c r="F103" i="50"/>
  <c r="B105" i="50"/>
  <c r="C105" i="50"/>
  <c r="D105" i="50"/>
  <c r="G105" i="50"/>
  <c r="H105" i="50"/>
  <c r="I105" i="50"/>
  <c r="A108" i="50"/>
  <c r="F108" i="50"/>
  <c r="A109" i="50"/>
  <c r="F109" i="50"/>
  <c r="A110" i="50"/>
  <c r="F110" i="50"/>
  <c r="A111" i="50"/>
  <c r="F111" i="50"/>
  <c r="A112" i="50"/>
  <c r="F112" i="50"/>
  <c r="A113" i="50"/>
  <c r="F113" i="50"/>
  <c r="A114" i="50"/>
  <c r="F114" i="50"/>
  <c r="A115" i="50"/>
  <c r="F115" i="50"/>
  <c r="A116" i="50"/>
  <c r="F116" i="50"/>
  <c r="B118" i="50"/>
  <c r="C118" i="50"/>
  <c r="D118" i="50"/>
  <c r="G118" i="50"/>
  <c r="H118" i="50"/>
  <c r="I118" i="50"/>
  <c r="A121" i="50"/>
  <c r="F121" i="50"/>
  <c r="A122" i="50"/>
  <c r="F122" i="50"/>
  <c r="A123" i="50"/>
  <c r="F123" i="50"/>
  <c r="A124" i="50"/>
  <c r="F124" i="50"/>
  <c r="A125" i="50"/>
  <c r="F125" i="50"/>
  <c r="A126" i="50"/>
  <c r="F126" i="50"/>
  <c r="A127" i="50"/>
  <c r="F127" i="50"/>
  <c r="A128" i="50"/>
  <c r="F128" i="50"/>
  <c r="A129" i="50"/>
  <c r="F129" i="50"/>
  <c r="B131" i="50"/>
  <c r="C131" i="50"/>
  <c r="D131" i="50"/>
  <c r="G131" i="50"/>
  <c r="H131" i="50"/>
  <c r="I131" i="50"/>
  <c r="A4" i="49"/>
  <c r="F4" i="49"/>
  <c r="A5" i="49"/>
  <c r="F5" i="49"/>
  <c r="A6" i="49"/>
  <c r="F6" i="49"/>
  <c r="A7" i="49"/>
  <c r="F7" i="49"/>
  <c r="A8" i="49"/>
  <c r="F8" i="49"/>
  <c r="A9" i="49"/>
  <c r="F9" i="49"/>
  <c r="A10" i="49"/>
  <c r="F10" i="49"/>
  <c r="A11" i="49"/>
  <c r="F11" i="49"/>
  <c r="A12" i="49"/>
  <c r="F12" i="49"/>
  <c r="B14" i="49"/>
  <c r="C14" i="49"/>
  <c r="D14" i="49"/>
  <c r="G14" i="49"/>
  <c r="H14" i="49"/>
  <c r="I14" i="49"/>
  <c r="A17" i="49"/>
  <c r="F17" i="49"/>
  <c r="A18" i="49"/>
  <c r="F18" i="49"/>
  <c r="A19" i="49"/>
  <c r="F19" i="49"/>
  <c r="A20" i="49"/>
  <c r="F20" i="49"/>
  <c r="A21" i="49"/>
  <c r="F21" i="49"/>
  <c r="A22" i="49"/>
  <c r="F22" i="49"/>
  <c r="A23" i="49"/>
  <c r="F23" i="49"/>
  <c r="A24" i="49"/>
  <c r="F24" i="49"/>
  <c r="A25" i="49"/>
  <c r="F25" i="49"/>
  <c r="B27" i="49"/>
  <c r="C27" i="49"/>
  <c r="D27" i="49"/>
  <c r="G27" i="49"/>
  <c r="H27" i="49"/>
  <c r="I27" i="49"/>
  <c r="A30" i="49"/>
  <c r="F30" i="49"/>
  <c r="A31" i="49"/>
  <c r="F31" i="49"/>
  <c r="A32" i="49"/>
  <c r="F32" i="49"/>
  <c r="A33" i="49"/>
  <c r="F33" i="49"/>
  <c r="A34" i="49"/>
  <c r="F34" i="49"/>
  <c r="A35" i="49"/>
  <c r="F35" i="49"/>
  <c r="A36" i="49"/>
  <c r="F36" i="49"/>
  <c r="A37" i="49"/>
  <c r="F37" i="49"/>
  <c r="A38" i="49"/>
  <c r="F38" i="49"/>
  <c r="B40" i="49"/>
  <c r="C40" i="49"/>
  <c r="D40" i="49"/>
  <c r="G40" i="49"/>
  <c r="H40" i="49"/>
  <c r="I40" i="49"/>
  <c r="A43" i="49"/>
  <c r="F43" i="49"/>
  <c r="A44" i="49"/>
  <c r="F44" i="49"/>
  <c r="A45" i="49"/>
  <c r="F45" i="49"/>
  <c r="A46" i="49"/>
  <c r="F46" i="49"/>
  <c r="A47" i="49"/>
  <c r="F47" i="49"/>
  <c r="A48" i="49"/>
  <c r="F48" i="49"/>
  <c r="A49" i="49"/>
  <c r="F49" i="49"/>
  <c r="A50" i="49"/>
  <c r="F50" i="49"/>
  <c r="A51" i="49"/>
  <c r="F51" i="49"/>
  <c r="B53" i="49"/>
  <c r="C53" i="49"/>
  <c r="D53" i="49"/>
  <c r="G53" i="49"/>
  <c r="H53" i="49"/>
  <c r="I53" i="49"/>
  <c r="A56" i="49"/>
  <c r="F56" i="49"/>
  <c r="A57" i="49"/>
  <c r="F57" i="49"/>
  <c r="A58" i="49"/>
  <c r="F58" i="49"/>
  <c r="A59" i="49"/>
  <c r="F59" i="49"/>
  <c r="A60" i="49"/>
  <c r="F60" i="49"/>
  <c r="A61" i="49"/>
  <c r="F61" i="49"/>
  <c r="A62" i="49"/>
  <c r="F62" i="49"/>
  <c r="A63" i="49"/>
  <c r="F63" i="49"/>
  <c r="A64" i="49"/>
  <c r="F64" i="49"/>
  <c r="B66" i="49"/>
  <c r="C66" i="49"/>
  <c r="D66" i="49"/>
  <c r="G66" i="49"/>
  <c r="H66" i="49"/>
  <c r="I66" i="49"/>
  <c r="A69" i="49"/>
  <c r="F69" i="49"/>
  <c r="A70" i="49"/>
  <c r="F70" i="49"/>
  <c r="A71" i="49"/>
  <c r="F71" i="49"/>
  <c r="A72" i="49"/>
  <c r="F72" i="49"/>
  <c r="A73" i="49"/>
  <c r="F73" i="49"/>
  <c r="A74" i="49"/>
  <c r="F74" i="49"/>
  <c r="A75" i="49"/>
  <c r="F75" i="49"/>
  <c r="A76" i="49"/>
  <c r="F76" i="49"/>
  <c r="A77" i="49"/>
  <c r="F77" i="49"/>
  <c r="B79" i="49"/>
  <c r="C79" i="49"/>
  <c r="D79" i="49"/>
  <c r="G79" i="49"/>
  <c r="H79" i="49"/>
  <c r="I79" i="49"/>
  <c r="A82" i="49"/>
  <c r="F82" i="49"/>
  <c r="A83" i="49"/>
  <c r="F83" i="49"/>
  <c r="A84" i="49"/>
  <c r="F84" i="49"/>
  <c r="A85" i="49"/>
  <c r="F85" i="49"/>
  <c r="A86" i="49"/>
  <c r="F86" i="49"/>
  <c r="A87" i="49"/>
  <c r="F87" i="49"/>
  <c r="A88" i="49"/>
  <c r="F88" i="49"/>
  <c r="A89" i="49"/>
  <c r="F89" i="49"/>
  <c r="A90" i="49"/>
  <c r="F90" i="49"/>
  <c r="B92" i="49"/>
  <c r="C92" i="49"/>
  <c r="D92" i="49"/>
  <c r="G92" i="49"/>
  <c r="H92" i="49"/>
  <c r="I92" i="49"/>
  <c r="A95" i="49"/>
  <c r="F95" i="49"/>
  <c r="A96" i="49"/>
  <c r="F96" i="49"/>
  <c r="A97" i="49"/>
  <c r="F97" i="49"/>
  <c r="A98" i="49"/>
  <c r="F98" i="49"/>
  <c r="A99" i="49"/>
  <c r="F99" i="49"/>
  <c r="A100" i="49"/>
  <c r="F100" i="49"/>
  <c r="A101" i="49"/>
  <c r="F101" i="49"/>
  <c r="A102" i="49"/>
  <c r="F102" i="49"/>
  <c r="A103" i="49"/>
  <c r="F103" i="49"/>
  <c r="B105" i="49"/>
  <c r="C105" i="49"/>
  <c r="D105" i="49"/>
  <c r="G105" i="49"/>
  <c r="H105" i="49"/>
  <c r="I105" i="49"/>
  <c r="A108" i="49"/>
  <c r="F108" i="49"/>
  <c r="A109" i="49"/>
  <c r="F109" i="49"/>
  <c r="A110" i="49"/>
  <c r="F110" i="49"/>
  <c r="A111" i="49"/>
  <c r="F111" i="49"/>
  <c r="A112" i="49"/>
  <c r="F112" i="49"/>
  <c r="A113" i="49"/>
  <c r="F113" i="49"/>
  <c r="A114" i="49"/>
  <c r="F114" i="49"/>
  <c r="A115" i="49"/>
  <c r="F115" i="49"/>
  <c r="A116" i="49"/>
  <c r="F116" i="49"/>
  <c r="B118" i="49"/>
  <c r="C118" i="49"/>
  <c r="D118" i="49"/>
  <c r="G118" i="49"/>
  <c r="H118" i="49"/>
  <c r="I118" i="49"/>
  <c r="A121" i="49"/>
  <c r="F121" i="49"/>
  <c r="A122" i="49"/>
  <c r="F122" i="49"/>
  <c r="A123" i="49"/>
  <c r="F123" i="49"/>
  <c r="A124" i="49"/>
  <c r="F124" i="49"/>
  <c r="A125" i="49"/>
  <c r="F125" i="49"/>
  <c r="A126" i="49"/>
  <c r="F126" i="49"/>
  <c r="A127" i="49"/>
  <c r="F127" i="49"/>
  <c r="A128" i="49"/>
  <c r="F128" i="49"/>
  <c r="A129" i="49"/>
  <c r="F129" i="49"/>
  <c r="B131" i="49"/>
  <c r="C131" i="49"/>
  <c r="D131" i="49"/>
  <c r="G131" i="49"/>
  <c r="H131" i="49"/>
  <c r="I131" i="49"/>
  <c r="A4" i="48"/>
  <c r="F4" i="48"/>
  <c r="A5" i="48"/>
  <c r="F5" i="48"/>
  <c r="A6" i="48"/>
  <c r="F6" i="48"/>
  <c r="A7" i="48"/>
  <c r="F7" i="48"/>
  <c r="A8" i="48"/>
  <c r="F8" i="48"/>
  <c r="A9" i="48"/>
  <c r="F9" i="48"/>
  <c r="A10" i="48"/>
  <c r="F10" i="48"/>
  <c r="A11" i="48"/>
  <c r="F11" i="48"/>
  <c r="A12" i="48"/>
  <c r="F12" i="48"/>
  <c r="B14" i="48"/>
  <c r="C14" i="48"/>
  <c r="D14" i="48"/>
  <c r="G14" i="48"/>
  <c r="H14" i="48"/>
  <c r="I14" i="48"/>
  <c r="A17" i="48"/>
  <c r="F17" i="48"/>
  <c r="A18" i="48"/>
  <c r="F18" i="48"/>
  <c r="A19" i="48"/>
  <c r="F19" i="48"/>
  <c r="A20" i="48"/>
  <c r="F20" i="48"/>
  <c r="A21" i="48"/>
  <c r="F21" i="48"/>
  <c r="A22" i="48"/>
  <c r="F22" i="48"/>
  <c r="A23" i="48"/>
  <c r="F23" i="48"/>
  <c r="A24" i="48"/>
  <c r="F24" i="48"/>
  <c r="A25" i="48"/>
  <c r="F25" i="48"/>
  <c r="B27" i="48"/>
  <c r="C27" i="48"/>
  <c r="D27" i="48"/>
  <c r="G27" i="48"/>
  <c r="H27" i="48"/>
  <c r="I27" i="48"/>
  <c r="A30" i="48"/>
  <c r="F30" i="48"/>
  <c r="A31" i="48"/>
  <c r="F31" i="48"/>
  <c r="A32" i="48"/>
  <c r="F32" i="48"/>
  <c r="A33" i="48"/>
  <c r="F33" i="48"/>
  <c r="A34" i="48"/>
  <c r="F34" i="48"/>
  <c r="A35" i="48"/>
  <c r="F35" i="48"/>
  <c r="A36" i="48"/>
  <c r="F36" i="48"/>
  <c r="A37" i="48"/>
  <c r="F37" i="48"/>
  <c r="A38" i="48"/>
  <c r="F38" i="48"/>
  <c r="B40" i="48"/>
  <c r="C40" i="48"/>
  <c r="D40" i="48"/>
  <c r="G40" i="48"/>
  <c r="H40" i="48"/>
  <c r="I40" i="48"/>
  <c r="A43" i="48"/>
  <c r="F43" i="48"/>
  <c r="A44" i="48"/>
  <c r="F44" i="48"/>
  <c r="A45" i="48"/>
  <c r="F45" i="48"/>
  <c r="A46" i="48"/>
  <c r="F46" i="48"/>
  <c r="A47" i="48"/>
  <c r="F47" i="48"/>
  <c r="A48" i="48"/>
  <c r="F48" i="48"/>
  <c r="A49" i="48"/>
  <c r="F49" i="48"/>
  <c r="A50" i="48"/>
  <c r="F50" i="48"/>
  <c r="A51" i="48"/>
  <c r="F51" i="48"/>
  <c r="B53" i="48"/>
  <c r="C53" i="48"/>
  <c r="D53" i="48"/>
  <c r="G53" i="48"/>
  <c r="H53" i="48"/>
  <c r="I53" i="48"/>
  <c r="A56" i="48"/>
  <c r="F56" i="48"/>
  <c r="A57" i="48"/>
  <c r="F57" i="48"/>
  <c r="A58" i="48"/>
  <c r="F58" i="48"/>
  <c r="A59" i="48"/>
  <c r="F59" i="48"/>
  <c r="A60" i="48"/>
  <c r="F60" i="48"/>
  <c r="A61" i="48"/>
  <c r="F61" i="48"/>
  <c r="A62" i="48"/>
  <c r="F62" i="48"/>
  <c r="A63" i="48"/>
  <c r="F63" i="48"/>
  <c r="A64" i="48"/>
  <c r="F64" i="48"/>
  <c r="B66" i="48"/>
  <c r="C66" i="48"/>
  <c r="D66" i="48"/>
  <c r="G66" i="48"/>
  <c r="H66" i="48"/>
  <c r="I66" i="48"/>
  <c r="A69" i="48"/>
  <c r="F69" i="48"/>
  <c r="A70" i="48"/>
  <c r="F70" i="48"/>
  <c r="A71" i="48"/>
  <c r="F71" i="48"/>
  <c r="A72" i="48"/>
  <c r="F72" i="48"/>
  <c r="A73" i="48"/>
  <c r="F73" i="48"/>
  <c r="A74" i="48"/>
  <c r="F74" i="48"/>
  <c r="A75" i="48"/>
  <c r="F75" i="48"/>
  <c r="A76" i="48"/>
  <c r="F76" i="48"/>
  <c r="A77" i="48"/>
  <c r="F77" i="48"/>
  <c r="B79" i="48"/>
  <c r="C79" i="48"/>
  <c r="D79" i="48"/>
  <c r="G79" i="48"/>
  <c r="H79" i="48"/>
  <c r="I79" i="48"/>
  <c r="A82" i="48"/>
  <c r="F82" i="48"/>
  <c r="A83" i="48"/>
  <c r="F83" i="48"/>
  <c r="A84" i="48"/>
  <c r="F84" i="48"/>
  <c r="A85" i="48"/>
  <c r="F85" i="48"/>
  <c r="A86" i="48"/>
  <c r="F86" i="48"/>
  <c r="A87" i="48"/>
  <c r="F87" i="48"/>
  <c r="A88" i="48"/>
  <c r="F88" i="48"/>
  <c r="A89" i="48"/>
  <c r="F89" i="48"/>
  <c r="A90" i="48"/>
  <c r="F90" i="48"/>
  <c r="B92" i="48"/>
  <c r="C92" i="48"/>
  <c r="D92" i="48"/>
  <c r="G92" i="48"/>
  <c r="H92" i="48"/>
  <c r="I92" i="48"/>
  <c r="A95" i="48"/>
  <c r="F95" i="48"/>
  <c r="A96" i="48"/>
  <c r="F96" i="48"/>
  <c r="A97" i="48"/>
  <c r="F97" i="48"/>
  <c r="A98" i="48"/>
  <c r="F98" i="48"/>
  <c r="A99" i="48"/>
  <c r="F99" i="48"/>
  <c r="A100" i="48"/>
  <c r="F100" i="48"/>
  <c r="A101" i="48"/>
  <c r="F101" i="48"/>
  <c r="A102" i="48"/>
  <c r="F102" i="48"/>
  <c r="A103" i="48"/>
  <c r="F103" i="48"/>
  <c r="B105" i="48"/>
  <c r="C105" i="48"/>
  <c r="D105" i="48"/>
  <c r="G105" i="48"/>
  <c r="H105" i="48"/>
  <c r="I105" i="48"/>
  <c r="A108" i="48"/>
  <c r="F108" i="48"/>
  <c r="A109" i="48"/>
  <c r="F109" i="48"/>
  <c r="A110" i="48"/>
  <c r="F110" i="48"/>
  <c r="A111" i="48"/>
  <c r="F111" i="48"/>
  <c r="A112" i="48"/>
  <c r="F112" i="48"/>
  <c r="A113" i="48"/>
  <c r="F113" i="48"/>
  <c r="A114" i="48"/>
  <c r="F114" i="48"/>
  <c r="A115" i="48"/>
  <c r="F115" i="48"/>
  <c r="A116" i="48"/>
  <c r="F116" i="48"/>
  <c r="B118" i="48"/>
  <c r="C118" i="48"/>
  <c r="D118" i="48"/>
  <c r="G118" i="48"/>
  <c r="H118" i="48"/>
  <c r="I118" i="48"/>
  <c r="A121" i="48"/>
  <c r="F121" i="48"/>
  <c r="A122" i="48"/>
  <c r="F122" i="48"/>
  <c r="A123" i="48"/>
  <c r="F123" i="48"/>
  <c r="A124" i="48"/>
  <c r="F124" i="48"/>
  <c r="A125" i="48"/>
  <c r="F125" i="48"/>
  <c r="A126" i="48"/>
  <c r="F126" i="48"/>
  <c r="A127" i="48"/>
  <c r="F127" i="48"/>
  <c r="A128" i="48"/>
  <c r="F128" i="48"/>
  <c r="A129" i="48"/>
  <c r="F129" i="48"/>
  <c r="B131" i="48"/>
  <c r="C131" i="48"/>
  <c r="D131" i="48"/>
  <c r="G131" i="48"/>
  <c r="H131" i="48"/>
  <c r="I131" i="48"/>
  <c r="A4" i="47"/>
  <c r="F4" i="47"/>
  <c r="A5" i="47"/>
  <c r="F5" i="47"/>
  <c r="A6" i="47"/>
  <c r="F6" i="47"/>
  <c r="A7" i="47"/>
  <c r="F7" i="47"/>
  <c r="A8" i="47"/>
  <c r="F8" i="47"/>
  <c r="A9" i="47"/>
  <c r="F9" i="47"/>
  <c r="A10" i="47"/>
  <c r="F10" i="47"/>
  <c r="A11" i="47"/>
  <c r="F11" i="47"/>
  <c r="A12" i="47"/>
  <c r="F12" i="47"/>
  <c r="B14" i="47"/>
  <c r="C14" i="47"/>
  <c r="D14" i="47"/>
  <c r="G14" i="47"/>
  <c r="H14" i="47"/>
  <c r="I14" i="47"/>
  <c r="A17" i="47"/>
  <c r="F17" i="47"/>
  <c r="A18" i="47"/>
  <c r="F18" i="47"/>
  <c r="A19" i="47"/>
  <c r="F19" i="47"/>
  <c r="A20" i="47"/>
  <c r="F20" i="47"/>
  <c r="A21" i="47"/>
  <c r="F21" i="47"/>
  <c r="A22" i="47"/>
  <c r="F22" i="47"/>
  <c r="A23" i="47"/>
  <c r="F23" i="47"/>
  <c r="A24" i="47"/>
  <c r="F24" i="47"/>
  <c r="A25" i="47"/>
  <c r="F25" i="47"/>
  <c r="B27" i="47"/>
  <c r="C27" i="47"/>
  <c r="D27" i="47"/>
  <c r="G27" i="47"/>
  <c r="H27" i="47"/>
  <c r="I27" i="47"/>
  <c r="A30" i="47"/>
  <c r="F30" i="47"/>
  <c r="A31" i="47"/>
  <c r="F31" i="47"/>
  <c r="A32" i="47"/>
  <c r="F32" i="47"/>
  <c r="A33" i="47"/>
  <c r="F33" i="47"/>
  <c r="A34" i="47"/>
  <c r="F34" i="47"/>
  <c r="A35" i="47"/>
  <c r="F35" i="47"/>
  <c r="A36" i="47"/>
  <c r="F36" i="47"/>
  <c r="A37" i="47"/>
  <c r="F37" i="47"/>
  <c r="A38" i="47"/>
  <c r="F38" i="47"/>
  <c r="B40" i="47"/>
  <c r="C40" i="47"/>
  <c r="D40" i="47"/>
  <c r="G40" i="47"/>
  <c r="H40" i="47"/>
  <c r="I40" i="47"/>
  <c r="A43" i="47"/>
  <c r="F43" i="47"/>
  <c r="A44" i="47"/>
  <c r="F44" i="47"/>
  <c r="A45" i="47"/>
  <c r="F45" i="47"/>
  <c r="A46" i="47"/>
  <c r="F46" i="47"/>
  <c r="A47" i="47"/>
  <c r="F47" i="47"/>
  <c r="A48" i="47"/>
  <c r="F48" i="47"/>
  <c r="A49" i="47"/>
  <c r="F49" i="47"/>
  <c r="A50" i="47"/>
  <c r="F50" i="47"/>
  <c r="A51" i="47"/>
  <c r="F51" i="47"/>
  <c r="B53" i="47"/>
  <c r="C53" i="47"/>
  <c r="D53" i="47"/>
  <c r="G53" i="47"/>
  <c r="H53" i="47"/>
  <c r="I53" i="47"/>
  <c r="A56" i="47"/>
  <c r="F56" i="47"/>
  <c r="A57" i="47"/>
  <c r="F57" i="47"/>
  <c r="A58" i="47"/>
  <c r="F58" i="47"/>
  <c r="A59" i="47"/>
  <c r="F59" i="47"/>
  <c r="A60" i="47"/>
  <c r="F60" i="47"/>
  <c r="A61" i="47"/>
  <c r="F61" i="47"/>
  <c r="A62" i="47"/>
  <c r="F62" i="47"/>
  <c r="A63" i="47"/>
  <c r="F63" i="47"/>
  <c r="A64" i="47"/>
  <c r="F64" i="47"/>
  <c r="B66" i="47"/>
  <c r="C66" i="47"/>
  <c r="D66" i="47"/>
  <c r="G66" i="47"/>
  <c r="H66" i="47"/>
  <c r="I66" i="47"/>
  <c r="A69" i="47"/>
  <c r="F69" i="47"/>
  <c r="A70" i="47"/>
  <c r="F70" i="47"/>
  <c r="A71" i="47"/>
  <c r="F71" i="47"/>
  <c r="A72" i="47"/>
  <c r="F72" i="47"/>
  <c r="A73" i="47"/>
  <c r="F73" i="47"/>
  <c r="A74" i="47"/>
  <c r="F74" i="47"/>
  <c r="A75" i="47"/>
  <c r="F75" i="47"/>
  <c r="A76" i="47"/>
  <c r="F76" i="47"/>
  <c r="A77" i="47"/>
  <c r="F77" i="47"/>
  <c r="B79" i="47"/>
  <c r="C79" i="47"/>
  <c r="D79" i="47"/>
  <c r="G79" i="47"/>
  <c r="H79" i="47"/>
  <c r="I79" i="47"/>
  <c r="A82" i="47"/>
  <c r="F82" i="47"/>
  <c r="A83" i="47"/>
  <c r="F83" i="47"/>
  <c r="A84" i="47"/>
  <c r="F84" i="47"/>
  <c r="A85" i="47"/>
  <c r="F85" i="47"/>
  <c r="A86" i="47"/>
  <c r="F86" i="47"/>
  <c r="A87" i="47"/>
  <c r="F87" i="47"/>
  <c r="A88" i="47"/>
  <c r="F88" i="47"/>
  <c r="A89" i="47"/>
  <c r="F89" i="47"/>
  <c r="A90" i="47"/>
  <c r="F90" i="47"/>
  <c r="B92" i="47"/>
  <c r="C92" i="47"/>
  <c r="D92" i="47"/>
  <c r="G92" i="47"/>
  <c r="H92" i="47"/>
  <c r="I92" i="47"/>
  <c r="A95" i="47"/>
  <c r="F95" i="47"/>
  <c r="A96" i="47"/>
  <c r="F96" i="47"/>
  <c r="A97" i="47"/>
  <c r="F97" i="47"/>
  <c r="A98" i="47"/>
  <c r="F98" i="47"/>
  <c r="A99" i="47"/>
  <c r="F99" i="47"/>
  <c r="A100" i="47"/>
  <c r="F100" i="47"/>
  <c r="A101" i="47"/>
  <c r="F101" i="47"/>
  <c r="A102" i="47"/>
  <c r="F102" i="47"/>
  <c r="A103" i="47"/>
  <c r="F103" i="47"/>
  <c r="B105" i="47"/>
  <c r="C105" i="47"/>
  <c r="D105" i="47"/>
  <c r="G105" i="47"/>
  <c r="H105" i="47"/>
  <c r="I105" i="47"/>
  <c r="A108" i="47"/>
  <c r="F108" i="47"/>
  <c r="A109" i="47"/>
  <c r="F109" i="47"/>
  <c r="A110" i="47"/>
  <c r="F110" i="47"/>
  <c r="A111" i="47"/>
  <c r="F111" i="47"/>
  <c r="A112" i="47"/>
  <c r="F112" i="47"/>
  <c r="A113" i="47"/>
  <c r="F113" i="47"/>
  <c r="A114" i="47"/>
  <c r="F114" i="47"/>
  <c r="A115" i="47"/>
  <c r="F115" i="47"/>
  <c r="A116" i="47"/>
  <c r="F116" i="47"/>
  <c r="B118" i="47"/>
  <c r="C118" i="47"/>
  <c r="D118" i="47"/>
  <c r="G118" i="47"/>
  <c r="H118" i="47"/>
  <c r="I118" i="47"/>
  <c r="A121" i="47"/>
  <c r="F121" i="47"/>
  <c r="A122" i="47"/>
  <c r="F122" i="47"/>
  <c r="A123" i="47"/>
  <c r="F123" i="47"/>
  <c r="A124" i="47"/>
  <c r="F124" i="47"/>
  <c r="A125" i="47"/>
  <c r="F125" i="47"/>
  <c r="A126" i="47"/>
  <c r="F126" i="47"/>
  <c r="A127" i="47"/>
  <c r="F127" i="47"/>
  <c r="A128" i="47"/>
  <c r="F128" i="47"/>
  <c r="A129" i="47"/>
  <c r="F129" i="47"/>
  <c r="B131" i="47"/>
  <c r="C131" i="47"/>
  <c r="D131" i="47"/>
  <c r="G131" i="47"/>
  <c r="H131" i="47"/>
  <c r="I131" i="47"/>
  <c r="F129" i="25"/>
  <c r="F128" i="25"/>
  <c r="F116" i="25"/>
  <c r="F115" i="25"/>
  <c r="F103" i="25"/>
  <c r="F90" i="25"/>
  <c r="F89" i="25"/>
  <c r="F77" i="25"/>
  <c r="F76" i="25"/>
  <c r="F64" i="25"/>
  <c r="F51" i="25"/>
  <c r="F38" i="25"/>
  <c r="F25" i="25"/>
  <c r="A129" i="25"/>
  <c r="A116" i="25"/>
  <c r="A103" i="25"/>
  <c r="A90" i="25"/>
  <c r="A77" i="25"/>
  <c r="A64" i="25"/>
  <c r="A51" i="25"/>
  <c r="A38" i="25"/>
  <c r="A25" i="25"/>
  <c r="I131" i="25"/>
  <c r="H131" i="25"/>
  <c r="G131" i="25"/>
  <c r="D131" i="25"/>
  <c r="C131" i="25"/>
  <c r="B131" i="25"/>
  <c r="I118" i="25"/>
  <c r="H118" i="25"/>
  <c r="G118" i="25"/>
  <c r="D118" i="25"/>
  <c r="C118" i="25"/>
  <c r="B118" i="25"/>
  <c r="I105" i="25"/>
  <c r="H105" i="25"/>
  <c r="G105" i="25"/>
  <c r="D105" i="25"/>
  <c r="C105" i="25"/>
  <c r="B105" i="25"/>
  <c r="I92" i="25"/>
  <c r="H92" i="25"/>
  <c r="G92" i="25"/>
  <c r="D92" i="25"/>
  <c r="C92" i="25"/>
  <c r="B92" i="25"/>
  <c r="I79" i="25"/>
  <c r="H79" i="25"/>
  <c r="G79" i="25"/>
  <c r="D79" i="25"/>
  <c r="C79" i="25"/>
  <c r="B79" i="25"/>
  <c r="I66" i="25"/>
  <c r="H66" i="25"/>
  <c r="G66" i="25"/>
  <c r="D66" i="25"/>
  <c r="C66" i="25"/>
  <c r="B66" i="25"/>
  <c r="I53" i="25"/>
  <c r="H53" i="25"/>
  <c r="G53" i="25"/>
  <c r="D53" i="25"/>
  <c r="C53" i="25"/>
  <c r="B53" i="25"/>
  <c r="I40" i="25"/>
  <c r="H40" i="25"/>
  <c r="G40" i="25"/>
  <c r="D40" i="25"/>
  <c r="C40" i="25"/>
  <c r="B40" i="25"/>
  <c r="I27" i="25"/>
  <c r="H27" i="25"/>
  <c r="G27" i="25"/>
  <c r="D27" i="25"/>
  <c r="C27" i="25"/>
  <c r="B27" i="25"/>
  <c r="G14" i="25"/>
  <c r="B14" i="25"/>
  <c r="N663" i="2"/>
  <c r="G663" i="2"/>
  <c r="N639" i="2"/>
  <c r="G639" i="2"/>
  <c r="N615" i="2"/>
  <c r="G615" i="2"/>
  <c r="N591" i="2"/>
  <c r="G591" i="2"/>
  <c r="N567" i="2"/>
  <c r="G567" i="2"/>
  <c r="N543" i="2"/>
  <c r="G543" i="2"/>
  <c r="N519" i="2"/>
  <c r="G519" i="2"/>
  <c r="N495" i="2"/>
  <c r="G495" i="2"/>
  <c r="N471" i="2"/>
  <c r="G471" i="2"/>
  <c r="A825" i="2"/>
  <c r="A824" i="2"/>
  <c r="A823" i="2"/>
  <c r="A822" i="2"/>
  <c r="A821" i="2"/>
  <c r="A156" i="71" s="1" a="1"/>
  <c r="A819" i="2"/>
  <c r="A818" i="2"/>
  <c r="A817" i="2"/>
  <c r="A816" i="2"/>
  <c r="A815" i="2"/>
  <c r="A148" i="71" s="1" a="1"/>
  <c r="A813" i="2"/>
  <c r="A812" i="2"/>
  <c r="A810" i="2"/>
  <c r="A811" i="2"/>
  <c r="A809" i="2"/>
  <c r="A140" i="71" s="1" a="1"/>
  <c r="A807" i="2"/>
  <c r="A806" i="2"/>
  <c r="A805" i="2"/>
  <c r="A804" i="2"/>
  <c r="A803" i="2"/>
  <c r="A132" i="71" s="1" a="1"/>
  <c r="A801" i="2"/>
  <c r="A800" i="2"/>
  <c r="A799" i="2"/>
  <c r="A798" i="2"/>
  <c r="A797" i="2"/>
  <c r="A124" i="71" s="1" a="1"/>
  <c r="A795" i="2"/>
  <c r="A794" i="2"/>
  <c r="A793" i="2"/>
  <c r="A792" i="2"/>
  <c r="A791" i="2"/>
  <c r="A116" i="71" s="1" a="1"/>
  <c r="A116" i="71" s="1"/>
  <c r="A789" i="2"/>
  <c r="A788" i="2"/>
  <c r="A787" i="2"/>
  <c r="A786" i="2"/>
  <c r="A785" i="2"/>
  <c r="A108" i="71" s="1" a="1"/>
  <c r="A783" i="2"/>
  <c r="A782" i="2"/>
  <c r="A781" i="2"/>
  <c r="A780" i="2"/>
  <c r="A779" i="2"/>
  <c r="A100" i="71" s="1" a="1"/>
  <c r="A100" i="71" s="1"/>
  <c r="A777" i="2"/>
  <c r="A776" i="2"/>
  <c r="A775" i="2"/>
  <c r="A774" i="2"/>
  <c r="A773" i="2"/>
  <c r="A92" i="71" s="1" a="1"/>
  <c r="A771" i="2"/>
  <c r="A770" i="2"/>
  <c r="A769" i="2"/>
  <c r="A768" i="2"/>
  <c r="A767" i="2"/>
  <c r="A765" i="2"/>
  <c r="A764" i="2"/>
  <c r="A763" i="2"/>
  <c r="A762" i="2"/>
  <c r="A761" i="2"/>
  <c r="A76" i="71" s="1" a="1"/>
  <c r="A79" i="71" s="1"/>
  <c r="A759" i="2"/>
  <c r="A758" i="2"/>
  <c r="A757" i="2"/>
  <c r="A756" i="2"/>
  <c r="A755" i="2"/>
  <c r="A68" i="71" s="1" a="1"/>
  <c r="A753" i="2"/>
  <c r="A752" i="2"/>
  <c r="A751" i="2"/>
  <c r="A750" i="2"/>
  <c r="A749" i="2"/>
  <c r="A60" i="71" s="1" a="1"/>
  <c r="A747" i="2"/>
  <c r="A746" i="2"/>
  <c r="A745" i="2"/>
  <c r="A744" i="2"/>
  <c r="A743" i="2"/>
  <c r="A741" i="2"/>
  <c r="A740" i="2"/>
  <c r="A739" i="2"/>
  <c r="A738" i="2"/>
  <c r="A737" i="2"/>
  <c r="A735" i="2"/>
  <c r="A734" i="2"/>
  <c r="A733" i="2"/>
  <c r="A732" i="2"/>
  <c r="A731" i="2"/>
  <c r="A36" i="71" s="1" a="1"/>
  <c r="A729" i="2"/>
  <c r="A728" i="2"/>
  <c r="A727" i="2"/>
  <c r="A726" i="2"/>
  <c r="A725" i="2"/>
  <c r="A28" i="71" s="1" a="1"/>
  <c r="A723" i="2"/>
  <c r="A722" i="2"/>
  <c r="A721" i="2"/>
  <c r="A720" i="2"/>
  <c r="A719" i="2"/>
  <c r="A20" i="71" s="1" a="1"/>
  <c r="A717" i="2"/>
  <c r="A716" i="2"/>
  <c r="A715" i="2"/>
  <c r="A714" i="2"/>
  <c r="A713" i="2"/>
  <c r="A711" i="2"/>
  <c r="A710" i="2"/>
  <c r="A709" i="2"/>
  <c r="A708" i="2"/>
  <c r="A707" i="2"/>
  <c r="N447" i="2"/>
  <c r="Z7" i="1"/>
  <c r="Z8" i="1"/>
  <c r="Z9" i="1"/>
  <c r="A10" i="1"/>
  <c r="Z10" i="1" s="1"/>
  <c r="A11" i="1"/>
  <c r="Z11" i="1" s="1"/>
  <c r="A12" i="1"/>
  <c r="Z12" i="1" s="1"/>
  <c r="A128" i="25"/>
  <c r="F127" i="25"/>
  <c r="A127" i="25"/>
  <c r="A115" i="25"/>
  <c r="F114" i="25"/>
  <c r="A114" i="25"/>
  <c r="F102" i="25"/>
  <c r="A102" i="25"/>
  <c r="F101" i="25"/>
  <c r="A101" i="25"/>
  <c r="A89" i="25"/>
  <c r="F88" i="25"/>
  <c r="A88" i="25"/>
  <c r="A76" i="25"/>
  <c r="F75" i="25"/>
  <c r="A75" i="25"/>
  <c r="F63" i="25"/>
  <c r="A63" i="25"/>
  <c r="F62" i="25"/>
  <c r="A62" i="25"/>
  <c r="F50" i="25"/>
  <c r="A50" i="25"/>
  <c r="F49" i="25"/>
  <c r="A49" i="25"/>
  <c r="F37" i="25"/>
  <c r="A37" i="25"/>
  <c r="F36" i="25"/>
  <c r="A36" i="25"/>
  <c r="F24" i="25"/>
  <c r="A24" i="25"/>
  <c r="F23" i="25"/>
  <c r="A23" i="25"/>
  <c r="I14" i="25"/>
  <c r="H14" i="25"/>
  <c r="D14" i="25"/>
  <c r="C14" i="25"/>
  <c r="F12" i="25"/>
  <c r="A12" i="25"/>
  <c r="F11" i="25"/>
  <c r="A11" i="25"/>
  <c r="F10" i="25"/>
  <c r="A10" i="25"/>
  <c r="A3" i="68"/>
  <c r="A4" i="71" a="1"/>
  <c r="A12" i="71" a="1"/>
  <c r="A44" i="71" a="1"/>
  <c r="A52" i="71" a="1"/>
  <c r="A84" i="71" a="1"/>
  <c r="Y663" i="2"/>
  <c r="Y447" i="2"/>
  <c r="Y567" i="2"/>
  <c r="Y471" i="2"/>
  <c r="Y495" i="2"/>
  <c r="Y639" i="2"/>
  <c r="Y591" i="2"/>
  <c r="Y615" i="2"/>
  <c r="Y543" i="2"/>
  <c r="Y519" i="2"/>
  <c r="A62" i="69" l="1"/>
  <c r="A165" i="69"/>
  <c r="A164" i="69"/>
  <c r="A163" i="69"/>
  <c r="A162" i="69"/>
  <c r="A161" i="69"/>
  <c r="A61" i="69"/>
  <c r="A60" i="69"/>
  <c r="A59" i="69"/>
  <c r="A58" i="69"/>
  <c r="A57" i="69"/>
  <c r="A56" i="69"/>
  <c r="A54" i="69"/>
  <c r="A55" i="69"/>
  <c r="A48" i="69"/>
  <c r="A47" i="69"/>
  <c r="A46" i="69"/>
  <c r="A45" i="69"/>
  <c r="A44" i="69"/>
  <c r="A42" i="69"/>
  <c r="A43" i="69"/>
  <c r="A151" i="69"/>
  <c r="A150" i="69"/>
  <c r="A149" i="69"/>
  <c r="A148" i="69"/>
  <c r="A147" i="69"/>
  <c r="A137" i="69"/>
  <c r="A136" i="69"/>
  <c r="A135" i="69"/>
  <c r="A134" i="69"/>
  <c r="A133" i="69"/>
  <c r="A123" i="69"/>
  <c r="A122" i="69"/>
  <c r="A121" i="69"/>
  <c r="A120" i="69"/>
  <c r="A119" i="69"/>
  <c r="A109" i="69"/>
  <c r="A108" i="69"/>
  <c r="A107" i="69"/>
  <c r="A106" i="69"/>
  <c r="A105" i="69"/>
  <c r="AW25" i="1"/>
  <c r="Y25" i="1" s="1"/>
  <c r="AW23" i="1"/>
  <c r="AR27" i="1"/>
  <c r="AP27" i="1"/>
  <c r="AG27" i="1"/>
  <c r="AS27" i="1"/>
  <c r="AL27" i="1"/>
  <c r="AK27" i="1"/>
  <c r="AW40" i="1"/>
  <c r="Y40" i="1" s="1"/>
  <c r="AS41" i="1"/>
  <c r="AW39" i="1"/>
  <c r="Y39" i="1" s="1"/>
  <c r="AH41" i="1"/>
  <c r="AK41" i="1"/>
  <c r="AI41" i="1"/>
  <c r="AW54" i="1"/>
  <c r="Y54" i="1" s="1"/>
  <c r="AW53" i="1"/>
  <c r="Y53" i="1" s="1"/>
  <c r="AS55" i="1"/>
  <c r="AW50" i="1"/>
  <c r="Y50" i="1" s="1"/>
  <c r="AT55" i="1"/>
  <c r="AI55" i="1"/>
  <c r="AU55" i="1"/>
  <c r="AP55" i="1"/>
  <c r="AO55" i="1"/>
  <c r="AM55" i="1"/>
  <c r="AK55" i="1"/>
  <c r="AG55" i="1"/>
  <c r="AF55" i="1"/>
  <c r="AW67" i="1"/>
  <c r="Y67" i="1" s="1"/>
  <c r="AM69" i="1"/>
  <c r="AH69" i="1"/>
  <c r="AK69" i="1"/>
  <c r="AJ69" i="1"/>
  <c r="AG69" i="1"/>
  <c r="AN69" i="1"/>
  <c r="AE69" i="1"/>
  <c r="AS69" i="1"/>
  <c r="AR69" i="1"/>
  <c r="AQ69" i="1"/>
  <c r="AW80" i="1"/>
  <c r="Y80" i="1" s="1"/>
  <c r="AC83" i="1"/>
  <c r="AW77" i="1"/>
  <c r="Y77" i="1" s="1"/>
  <c r="AR83" i="1"/>
  <c r="AJ83" i="1"/>
  <c r="AW95" i="1"/>
  <c r="Y95" i="1" s="1"/>
  <c r="AW94" i="1"/>
  <c r="Y94" i="1" s="1"/>
  <c r="AU97" i="1"/>
  <c r="AQ97" i="1"/>
  <c r="AN97" i="1"/>
  <c r="AJ97" i="1"/>
  <c r="AW109" i="1"/>
  <c r="Y109" i="1" s="1"/>
  <c r="AO111" i="1"/>
  <c r="AW108" i="1"/>
  <c r="Y108" i="1" s="1"/>
  <c r="AN111" i="1"/>
  <c r="AQ111" i="1"/>
  <c r="AL111" i="1"/>
  <c r="AK111" i="1"/>
  <c r="AV111" i="1"/>
  <c r="AT111" i="1"/>
  <c r="AI111" i="1"/>
  <c r="AH111" i="1"/>
  <c r="AF111" i="1"/>
  <c r="AK125" i="1"/>
  <c r="AI125" i="1"/>
  <c r="AH125" i="1"/>
  <c r="AE125" i="1"/>
  <c r="AT125" i="1"/>
  <c r="AU125" i="1"/>
  <c r="AF125" i="1"/>
  <c r="AV125" i="1"/>
  <c r="AR125" i="1"/>
  <c r="AQ125" i="1"/>
  <c r="AM125" i="1"/>
  <c r="AL125" i="1"/>
  <c r="AJ139" i="1"/>
  <c r="AK139" i="1"/>
  <c r="AV139" i="1"/>
  <c r="AH139" i="1"/>
  <c r="AE139" i="1"/>
  <c r="AW152" i="1"/>
  <c r="Y152" i="1" s="1"/>
  <c r="AW151" i="1"/>
  <c r="Y151" i="1" s="1"/>
  <c r="AU153" i="1"/>
  <c r="AM153" i="1"/>
  <c r="AN153" i="1"/>
  <c r="AR153" i="1"/>
  <c r="AL153" i="1"/>
  <c r="AJ153" i="1"/>
  <c r="AI153" i="1"/>
  <c r="AF153" i="1"/>
  <c r="AW166" i="1"/>
  <c r="Y166" i="1" s="1"/>
  <c r="AJ167" i="1"/>
  <c r="AM167" i="1"/>
  <c r="AI167" i="1"/>
  <c r="AT167" i="1"/>
  <c r="AR167" i="1"/>
  <c r="AQ167" i="1"/>
  <c r="AP167" i="1"/>
  <c r="AO167" i="1"/>
  <c r="AF167" i="1"/>
  <c r="AE167" i="1"/>
  <c r="AG181" i="1"/>
  <c r="AE181" i="1"/>
  <c r="AD181" i="1"/>
  <c r="AW176" i="1"/>
  <c r="Y176" i="1" s="1"/>
  <c r="AW175" i="1"/>
  <c r="Y175" i="1" s="1"/>
  <c r="AS181" i="1"/>
  <c r="AM181" i="1"/>
  <c r="AL181" i="1"/>
  <c r="AJ181" i="1"/>
  <c r="AI181" i="1"/>
  <c r="AH181" i="1"/>
  <c r="AG195" i="1"/>
  <c r="AW193" i="1"/>
  <c r="Y193" i="1" s="1"/>
  <c r="AW192" i="1"/>
  <c r="Y192" i="1" s="1"/>
  <c r="AV195" i="1"/>
  <c r="AW189" i="1"/>
  <c r="Y189" i="1" s="1"/>
  <c r="AT195" i="1"/>
  <c r="AS195" i="1"/>
  <c r="AC195" i="1"/>
  <c r="AR195" i="1"/>
  <c r="AQ195" i="1"/>
  <c r="AP195" i="1"/>
  <c r="AN195" i="1"/>
  <c r="AF195" i="1"/>
  <c r="AQ209" i="1"/>
  <c r="AL209" i="1"/>
  <c r="AK209" i="1"/>
  <c r="AI209" i="1"/>
  <c r="AJ209" i="1"/>
  <c r="AN209" i="1"/>
  <c r="AD209" i="1"/>
  <c r="AV209" i="1"/>
  <c r="AT209" i="1"/>
  <c r="AE209" i="1"/>
  <c r="AB209" i="1"/>
  <c r="AW222" i="1"/>
  <c r="Y222" i="1" s="1"/>
  <c r="AF223" i="1"/>
  <c r="AW219" i="1"/>
  <c r="Y219" i="1" s="1"/>
  <c r="AU223" i="1"/>
  <c r="AS223" i="1"/>
  <c r="AR223" i="1"/>
  <c r="AP223" i="1"/>
  <c r="AL223" i="1"/>
  <c r="AH223" i="1"/>
  <c r="AB223" i="1"/>
  <c r="AC237" i="1"/>
  <c r="AV237" i="1"/>
  <c r="AU237" i="1"/>
  <c r="AW232" i="1"/>
  <c r="Y232" i="1" s="1"/>
  <c r="AK237" i="1"/>
  <c r="AQ237" i="1"/>
  <c r="AI237" i="1"/>
  <c r="AH237" i="1"/>
  <c r="AE237" i="1"/>
  <c r="AD237" i="1"/>
  <c r="AW229" i="1"/>
  <c r="AW250" i="1"/>
  <c r="Y250" i="1" s="1"/>
  <c r="AR251" i="1"/>
  <c r="AW247" i="1"/>
  <c r="Y247" i="1" s="1"/>
  <c r="AW246" i="1"/>
  <c r="Y246" i="1" s="1"/>
  <c r="AU251" i="1"/>
  <c r="AQ251" i="1"/>
  <c r="AP251" i="1"/>
  <c r="AO251" i="1"/>
  <c r="AH251" i="1"/>
  <c r="AG251" i="1"/>
  <c r="AF251" i="1"/>
  <c r="AE251" i="1"/>
  <c r="AT251" i="1"/>
  <c r="AN251" i="1"/>
  <c r="AM251" i="1"/>
  <c r="AJ251" i="1"/>
  <c r="AB251" i="1"/>
  <c r="AW264" i="1"/>
  <c r="Y264" i="1" s="1"/>
  <c r="AQ265" i="1"/>
  <c r="AO265" i="1"/>
  <c r="AM265" i="1"/>
  <c r="AJ265" i="1"/>
  <c r="AF265" i="1"/>
  <c r="AI265" i="1"/>
  <c r="AE265" i="1"/>
  <c r="AC265" i="1"/>
  <c r="AU265" i="1"/>
  <c r="AT265" i="1"/>
  <c r="AP265" i="1"/>
  <c r="AN265" i="1"/>
  <c r="AB265" i="1"/>
  <c r="AN279" i="1"/>
  <c r="AB279" i="1"/>
  <c r="AW274" i="1"/>
  <c r="Y274" i="1" s="1"/>
  <c r="AW273" i="1"/>
  <c r="Y273" i="1" s="1"/>
  <c r="AR279" i="1"/>
  <c r="AO279" i="1"/>
  <c r="AH279" i="1"/>
  <c r="AG279" i="1"/>
  <c r="X8" i="70"/>
  <c r="W8" i="70"/>
  <c r="T8" i="70"/>
  <c r="P8" i="70"/>
  <c r="K16" i="70"/>
  <c r="I16" i="70"/>
  <c r="G16" i="70"/>
  <c r="V24" i="70"/>
  <c r="T24" i="70"/>
  <c r="W24" i="70"/>
  <c r="S24" i="70"/>
  <c r="R24" i="70"/>
  <c r="P24" i="70"/>
  <c r="Q24" i="70"/>
  <c r="O24" i="70"/>
  <c r="W32" i="70"/>
  <c r="M32" i="70"/>
  <c r="K32" i="70"/>
  <c r="G32" i="70"/>
  <c r="H32" i="70"/>
  <c r="U32" i="70"/>
  <c r="X40" i="70"/>
  <c r="V40" i="70"/>
  <c r="T40" i="70"/>
  <c r="P40" i="70"/>
  <c r="D40" i="70"/>
  <c r="C40" i="70"/>
  <c r="L40" i="70"/>
  <c r="I48" i="70"/>
  <c r="G48" i="70"/>
  <c r="W48" i="70"/>
  <c r="M48" i="70"/>
  <c r="V48" i="70"/>
  <c r="M56" i="70"/>
  <c r="K56" i="70"/>
  <c r="H56" i="70"/>
  <c r="Q64" i="70"/>
  <c r="P64" i="70"/>
  <c r="L64" i="70"/>
  <c r="Y67" i="70"/>
  <c r="T72" i="70"/>
  <c r="P72" i="70"/>
  <c r="E72" i="70"/>
  <c r="D72" i="70"/>
  <c r="F72" i="70"/>
  <c r="V72" i="70"/>
  <c r="Y71" i="70"/>
  <c r="S80" i="70"/>
  <c r="P80" i="70"/>
  <c r="M80" i="70"/>
  <c r="G80" i="70"/>
  <c r="W80" i="70"/>
  <c r="L80" i="70"/>
  <c r="I80" i="70"/>
  <c r="N88" i="70"/>
  <c r="X88" i="70"/>
  <c r="W88" i="70"/>
  <c r="M88" i="70"/>
  <c r="T88" i="70"/>
  <c r="R88" i="70"/>
  <c r="Y86" i="70"/>
  <c r="M96" i="70"/>
  <c r="V96" i="70"/>
  <c r="F96" i="70"/>
  <c r="G96" i="70"/>
  <c r="C96" i="70"/>
  <c r="U104" i="70"/>
  <c r="G104" i="70"/>
  <c r="Y100" i="70"/>
  <c r="W104" i="70"/>
  <c r="R104" i="70"/>
  <c r="P104" i="70"/>
  <c r="L104" i="70"/>
  <c r="S112" i="70"/>
  <c r="G112" i="70"/>
  <c r="C112" i="70"/>
  <c r="Y108" i="70"/>
  <c r="X112" i="70"/>
  <c r="W112" i="70"/>
  <c r="Y110" i="70"/>
  <c r="N120" i="70"/>
  <c r="P120" i="70"/>
  <c r="O120" i="70"/>
  <c r="M120" i="70"/>
  <c r="J120" i="70"/>
  <c r="H120" i="70"/>
  <c r="T120" i="70"/>
  <c r="E120" i="70"/>
  <c r="U128" i="70"/>
  <c r="S128" i="70"/>
  <c r="Y124" i="70"/>
  <c r="X128" i="70"/>
  <c r="R128" i="70"/>
  <c r="Y125" i="70"/>
  <c r="W128" i="70"/>
  <c r="V128" i="70"/>
  <c r="M136" i="70"/>
  <c r="F136" i="70"/>
  <c r="E136" i="70"/>
  <c r="C136" i="70"/>
  <c r="W144" i="70"/>
  <c r="P144" i="70"/>
  <c r="E144" i="70"/>
  <c r="C144" i="70"/>
  <c r="R144" i="70"/>
  <c r="L144" i="70"/>
  <c r="I144" i="70"/>
  <c r="D144" i="70"/>
  <c r="F144" i="70"/>
  <c r="Y147" i="70"/>
  <c r="R152" i="70"/>
  <c r="Q152" i="70"/>
  <c r="P152" i="70"/>
  <c r="J152" i="70"/>
  <c r="H152" i="70"/>
  <c r="F152" i="70"/>
  <c r="Y148" i="70"/>
  <c r="X152" i="70"/>
  <c r="W152" i="70"/>
  <c r="W160" i="70"/>
  <c r="N160" i="70"/>
  <c r="Y157" i="70"/>
  <c r="F160" i="70"/>
  <c r="Y158" i="70"/>
  <c r="X160" i="70"/>
  <c r="W279" i="1"/>
  <c r="W281" i="1" s="1"/>
  <c r="V279" i="1"/>
  <c r="V281" i="1" s="1"/>
  <c r="U279" i="1"/>
  <c r="U281" i="1" s="1"/>
  <c r="T279" i="1"/>
  <c r="T281" i="1" s="1"/>
  <c r="S279" i="1"/>
  <c r="S281" i="1" s="1"/>
  <c r="R279" i="1"/>
  <c r="R281" i="1" s="1"/>
  <c r="Q279" i="1"/>
  <c r="Q281" i="1" s="1"/>
  <c r="P279" i="1"/>
  <c r="P281" i="1" s="1"/>
  <c r="O279" i="1"/>
  <c r="O281" i="1" s="1"/>
  <c r="N279" i="1"/>
  <c r="N281" i="1" s="1"/>
  <c r="M279" i="1"/>
  <c r="M281" i="1" s="1"/>
  <c r="L279" i="1"/>
  <c r="L281" i="1" s="1"/>
  <c r="K279" i="1"/>
  <c r="K281" i="1" s="1"/>
  <c r="J279" i="1"/>
  <c r="J281" i="1" s="1"/>
  <c r="I281" i="1"/>
  <c r="H281" i="1"/>
  <c r="G279" i="1"/>
  <c r="G281" i="1" s="1"/>
  <c r="F279" i="1"/>
  <c r="F281" i="1" s="1"/>
  <c r="E279" i="1"/>
  <c r="E281" i="1" s="1"/>
  <c r="D279" i="1"/>
  <c r="D281" i="1" s="1"/>
  <c r="C281" i="1"/>
  <c r="B279" i="1"/>
  <c r="B281" i="1" s="1"/>
  <c r="W265" i="1"/>
  <c r="W267" i="1" s="1"/>
  <c r="V265" i="1"/>
  <c r="V267" i="1" s="1"/>
  <c r="U267" i="1"/>
  <c r="T267" i="1"/>
  <c r="S265" i="1"/>
  <c r="S267" i="1" s="1"/>
  <c r="R265" i="1"/>
  <c r="R267" i="1" s="1"/>
  <c r="Q265" i="1"/>
  <c r="Q267" i="1" s="1"/>
  <c r="P265" i="1"/>
  <c r="P267" i="1" s="1"/>
  <c r="O267" i="1"/>
  <c r="N265" i="1"/>
  <c r="N267" i="1" s="1"/>
  <c r="M265" i="1"/>
  <c r="M267" i="1" s="1"/>
  <c r="L265" i="1"/>
  <c r="L267" i="1" s="1"/>
  <c r="K265" i="1"/>
  <c r="K267" i="1" s="1"/>
  <c r="J265" i="1"/>
  <c r="J267" i="1" s="1"/>
  <c r="X259" i="1"/>
  <c r="AY259" i="1" s="1"/>
  <c r="I265" i="1"/>
  <c r="I267" i="1" s="1"/>
  <c r="H265" i="1"/>
  <c r="H267" i="1" s="1"/>
  <c r="G265" i="1"/>
  <c r="G267" i="1" s="1"/>
  <c r="F265" i="1"/>
  <c r="F267" i="1" s="1"/>
  <c r="E265" i="1"/>
  <c r="E267" i="1" s="1"/>
  <c r="D265" i="1"/>
  <c r="D267" i="1" s="1"/>
  <c r="C265" i="1"/>
  <c r="C267" i="1" s="1"/>
  <c r="B265" i="1"/>
  <c r="B267" i="1" s="1"/>
  <c r="W251" i="1"/>
  <c r="W253" i="1" s="1"/>
  <c r="V251" i="1"/>
  <c r="V253" i="1" s="1"/>
  <c r="U251" i="1"/>
  <c r="U253" i="1" s="1"/>
  <c r="T251" i="1"/>
  <c r="T253" i="1" s="1"/>
  <c r="S251" i="1"/>
  <c r="S253" i="1" s="1"/>
  <c r="R251" i="1"/>
  <c r="R253" i="1" s="1"/>
  <c r="Q251" i="1"/>
  <c r="Q253" i="1" s="1"/>
  <c r="P251" i="1"/>
  <c r="P253" i="1" s="1"/>
  <c r="O251" i="1"/>
  <c r="O253" i="1" s="1"/>
  <c r="N251" i="1"/>
  <c r="N253" i="1" s="1"/>
  <c r="M251" i="1"/>
  <c r="M253" i="1" s="1"/>
  <c r="L251" i="1"/>
  <c r="L253" i="1" s="1"/>
  <c r="K251" i="1"/>
  <c r="K253" i="1" s="1"/>
  <c r="J251" i="1"/>
  <c r="J253" i="1" s="1"/>
  <c r="I251" i="1"/>
  <c r="I253" i="1" s="1"/>
  <c r="H251" i="1"/>
  <c r="H253" i="1" s="1"/>
  <c r="G251" i="1"/>
  <c r="G253" i="1" s="1"/>
  <c r="F251" i="1"/>
  <c r="F253" i="1" s="1"/>
  <c r="E253" i="1"/>
  <c r="D253" i="1"/>
  <c r="X245" i="1"/>
  <c r="AX245" i="1" s="1"/>
  <c r="AZ245" i="1" s="1"/>
  <c r="B251" i="1"/>
  <c r="B253" i="1" s="1"/>
  <c r="W237" i="1"/>
  <c r="W239" i="1" s="1"/>
  <c r="V237" i="1"/>
  <c r="V239" i="1" s="1"/>
  <c r="U237" i="1"/>
  <c r="U239" i="1" s="1"/>
  <c r="T237" i="1"/>
  <c r="T239" i="1" s="1"/>
  <c r="S237" i="1"/>
  <c r="S239" i="1" s="1"/>
  <c r="R237" i="1"/>
  <c r="R239" i="1" s="1"/>
  <c r="Q239" i="1"/>
  <c r="P239" i="1"/>
  <c r="X233" i="1"/>
  <c r="O237" i="1"/>
  <c r="O239" i="1" s="1"/>
  <c r="N237" i="1"/>
  <c r="N239" i="1" s="1"/>
  <c r="M237" i="1"/>
  <c r="M239" i="1" s="1"/>
  <c r="L237" i="1"/>
  <c r="L239" i="1" s="1"/>
  <c r="K239" i="1"/>
  <c r="J237" i="1"/>
  <c r="J239" i="1" s="1"/>
  <c r="I237" i="1"/>
  <c r="I239" i="1" s="1"/>
  <c r="H237" i="1"/>
  <c r="H239" i="1" s="1"/>
  <c r="G237" i="1"/>
  <c r="G239" i="1" s="1"/>
  <c r="F237" i="1"/>
  <c r="F239" i="1" s="1"/>
  <c r="E237" i="1"/>
  <c r="E239" i="1" s="1"/>
  <c r="D237" i="1"/>
  <c r="D239" i="1" s="1"/>
  <c r="C237" i="1"/>
  <c r="C239" i="1" s="1"/>
  <c r="B237" i="1"/>
  <c r="W225" i="1"/>
  <c r="V223" i="1"/>
  <c r="V225" i="1" s="1"/>
  <c r="U223" i="1"/>
  <c r="U225" i="1" s="1"/>
  <c r="T223" i="1"/>
  <c r="T225" i="1" s="1"/>
  <c r="S223" i="1"/>
  <c r="S225" i="1" s="1"/>
  <c r="R223" i="1"/>
  <c r="R225" i="1" s="1"/>
  <c r="Q223" i="1"/>
  <c r="Q225" i="1" s="1"/>
  <c r="P223" i="1"/>
  <c r="P225" i="1" s="1"/>
  <c r="O223" i="1"/>
  <c r="O225" i="1" s="1"/>
  <c r="N223" i="1"/>
  <c r="N225" i="1" s="1"/>
  <c r="M223" i="1"/>
  <c r="M225" i="1" s="1"/>
  <c r="L223" i="1"/>
  <c r="L225" i="1" s="1"/>
  <c r="K223" i="1"/>
  <c r="K225" i="1" s="1"/>
  <c r="J223" i="1"/>
  <c r="J225" i="1" s="1"/>
  <c r="X221" i="1"/>
  <c r="AX221" i="1" s="1"/>
  <c r="AZ221" i="1" s="1"/>
  <c r="I223" i="1"/>
  <c r="I225" i="1" s="1"/>
  <c r="H223" i="1"/>
  <c r="H225" i="1" s="1"/>
  <c r="X219" i="1"/>
  <c r="AY219" i="1" s="1"/>
  <c r="G223" i="1"/>
  <c r="G225" i="1" s="1"/>
  <c r="F223" i="1"/>
  <c r="F225" i="1" s="1"/>
  <c r="E223" i="1"/>
  <c r="E225" i="1" s="1"/>
  <c r="D223" i="1"/>
  <c r="D225" i="1" s="1"/>
  <c r="C223" i="1"/>
  <c r="C225" i="1" s="1"/>
  <c r="B223" i="1"/>
  <c r="W209" i="1"/>
  <c r="W211" i="1" s="1"/>
  <c r="V209" i="1"/>
  <c r="V211" i="1" s="1"/>
  <c r="U209" i="1"/>
  <c r="U211" i="1" s="1"/>
  <c r="T209" i="1"/>
  <c r="T211" i="1" s="1"/>
  <c r="S209" i="1"/>
  <c r="S211" i="1" s="1"/>
  <c r="R209" i="1"/>
  <c r="R211" i="1" s="1"/>
  <c r="Q209" i="1"/>
  <c r="Q211" i="1" s="1"/>
  <c r="P209" i="1"/>
  <c r="P211" i="1" s="1"/>
  <c r="O209" i="1"/>
  <c r="O211" i="1" s="1"/>
  <c r="N209" i="1"/>
  <c r="N211" i="1" s="1"/>
  <c r="M211" i="1"/>
  <c r="L211" i="1"/>
  <c r="K209" i="1"/>
  <c r="K211" i="1" s="1"/>
  <c r="J209" i="1"/>
  <c r="J211" i="1" s="1"/>
  <c r="I209" i="1"/>
  <c r="I211" i="1" s="1"/>
  <c r="H209" i="1"/>
  <c r="H211" i="1" s="1"/>
  <c r="G211" i="1"/>
  <c r="F209" i="1"/>
  <c r="F211" i="1" s="1"/>
  <c r="E209" i="1"/>
  <c r="E211" i="1" s="1"/>
  <c r="D209" i="1"/>
  <c r="D211" i="1" s="1"/>
  <c r="X207" i="1"/>
  <c r="B209" i="1"/>
  <c r="B211" i="1" s="1"/>
  <c r="W195" i="1"/>
  <c r="W197" i="1" s="1"/>
  <c r="V195" i="1"/>
  <c r="V197" i="1" s="1"/>
  <c r="U195" i="1"/>
  <c r="U197" i="1" s="1"/>
  <c r="T195" i="1"/>
  <c r="T197" i="1" s="1"/>
  <c r="S197" i="1"/>
  <c r="R195" i="1"/>
  <c r="R197" i="1" s="1"/>
  <c r="Q195" i="1"/>
  <c r="Q197" i="1" s="1"/>
  <c r="P195" i="1"/>
  <c r="P197" i="1" s="1"/>
  <c r="O195" i="1"/>
  <c r="O197" i="1" s="1"/>
  <c r="N195" i="1"/>
  <c r="N197" i="1" s="1"/>
  <c r="M195" i="1"/>
  <c r="M197" i="1" s="1"/>
  <c r="L195" i="1"/>
  <c r="L197" i="1" s="1"/>
  <c r="K195" i="1"/>
  <c r="K197" i="1" s="1"/>
  <c r="X192" i="1"/>
  <c r="J195" i="1"/>
  <c r="J197" i="1" s="1"/>
  <c r="I195" i="1"/>
  <c r="I197" i="1" s="1"/>
  <c r="H195" i="1"/>
  <c r="H197" i="1" s="1"/>
  <c r="G195" i="1"/>
  <c r="G197" i="1" s="1"/>
  <c r="F195" i="1"/>
  <c r="F197" i="1" s="1"/>
  <c r="E195" i="1"/>
  <c r="E197" i="1" s="1"/>
  <c r="D195" i="1"/>
  <c r="D197" i="1" s="1"/>
  <c r="C195" i="1"/>
  <c r="C197" i="1" s="1"/>
  <c r="B195" i="1"/>
  <c r="W181" i="1"/>
  <c r="W183" i="1" s="1"/>
  <c r="V181" i="1"/>
  <c r="V183" i="1" s="1"/>
  <c r="U181" i="1"/>
  <c r="U183" i="1" s="1"/>
  <c r="T181" i="1"/>
  <c r="T183" i="1" s="1"/>
  <c r="S181" i="1"/>
  <c r="S183" i="1" s="1"/>
  <c r="R181" i="1"/>
  <c r="R183" i="1" s="1"/>
  <c r="Q181" i="1"/>
  <c r="Q183" i="1" s="1"/>
  <c r="P181" i="1"/>
  <c r="P183" i="1" s="1"/>
  <c r="O181" i="1"/>
  <c r="O183" i="1" s="1"/>
  <c r="N181" i="1"/>
  <c r="N183" i="1" s="1"/>
  <c r="M181" i="1"/>
  <c r="M183" i="1" s="1"/>
  <c r="L181" i="1"/>
  <c r="L183" i="1" s="1"/>
  <c r="K181" i="1"/>
  <c r="K183" i="1" s="1"/>
  <c r="J181" i="1"/>
  <c r="J183" i="1" s="1"/>
  <c r="I183" i="1"/>
  <c r="H183" i="1"/>
  <c r="G181" i="1"/>
  <c r="G183" i="1" s="1"/>
  <c r="F181" i="1"/>
  <c r="F183" i="1" s="1"/>
  <c r="E181" i="1"/>
  <c r="E183" i="1" s="1"/>
  <c r="D181" i="1"/>
  <c r="D183" i="1" s="1"/>
  <c r="C183" i="1"/>
  <c r="B181" i="1"/>
  <c r="B183" i="1" s="1"/>
  <c r="W167" i="1"/>
  <c r="W169" i="1" s="1"/>
  <c r="V167" i="1"/>
  <c r="V169" i="1" s="1"/>
  <c r="U169" i="1"/>
  <c r="T169" i="1"/>
  <c r="S167" i="1"/>
  <c r="S169" i="1" s="1"/>
  <c r="R167" i="1"/>
  <c r="R169" i="1" s="1"/>
  <c r="Q167" i="1"/>
  <c r="Q169" i="1" s="1"/>
  <c r="P167" i="1"/>
  <c r="P169" i="1" s="1"/>
  <c r="O169" i="1"/>
  <c r="N167" i="1"/>
  <c r="N169" i="1" s="1"/>
  <c r="M167" i="1"/>
  <c r="M169" i="1" s="1"/>
  <c r="L167" i="1"/>
  <c r="L169" i="1" s="1"/>
  <c r="K167" i="1"/>
  <c r="K169" i="1" s="1"/>
  <c r="J167" i="1"/>
  <c r="J169" i="1" s="1"/>
  <c r="I167" i="1"/>
  <c r="I169" i="1" s="1"/>
  <c r="H167" i="1"/>
  <c r="H169" i="1" s="1"/>
  <c r="G167" i="1"/>
  <c r="G169" i="1" s="1"/>
  <c r="F167" i="1"/>
  <c r="F169" i="1" s="1"/>
  <c r="C167" i="1"/>
  <c r="C169" i="1" s="1"/>
  <c r="W153" i="1"/>
  <c r="W155" i="1" s="1"/>
  <c r="V153" i="1"/>
  <c r="V155" i="1" s="1"/>
  <c r="U153" i="1"/>
  <c r="U155" i="1" s="1"/>
  <c r="T153" i="1"/>
  <c r="T155" i="1" s="1"/>
  <c r="S153" i="1"/>
  <c r="S155" i="1" s="1"/>
  <c r="R153" i="1"/>
  <c r="R155" i="1" s="1"/>
  <c r="Q153" i="1"/>
  <c r="Q155" i="1" s="1"/>
  <c r="P153" i="1"/>
  <c r="P155" i="1" s="1"/>
  <c r="O153" i="1"/>
  <c r="O155" i="1" s="1"/>
  <c r="N153" i="1"/>
  <c r="N155" i="1" s="1"/>
  <c r="M153" i="1"/>
  <c r="M155" i="1" s="1"/>
  <c r="L153" i="1"/>
  <c r="L155" i="1" s="1"/>
  <c r="K153" i="1"/>
  <c r="K155" i="1" s="1"/>
  <c r="J153" i="1"/>
  <c r="J155" i="1" s="1"/>
  <c r="I153" i="1"/>
  <c r="I155" i="1" s="1"/>
  <c r="H153" i="1"/>
  <c r="H155" i="1" s="1"/>
  <c r="G153" i="1"/>
  <c r="G155" i="1" s="1"/>
  <c r="F153" i="1"/>
  <c r="F155" i="1" s="1"/>
  <c r="E155" i="1"/>
  <c r="W139" i="1"/>
  <c r="W141" i="1" s="1"/>
  <c r="V139" i="1"/>
  <c r="V141" i="1" s="1"/>
  <c r="U139" i="1"/>
  <c r="U141" i="1" s="1"/>
  <c r="T139" i="1"/>
  <c r="T141" i="1" s="1"/>
  <c r="S139" i="1"/>
  <c r="S141" i="1" s="1"/>
  <c r="R139" i="1"/>
  <c r="R141" i="1" s="1"/>
  <c r="Q141" i="1"/>
  <c r="P141" i="1"/>
  <c r="O139" i="1"/>
  <c r="O141" i="1" s="1"/>
  <c r="N139" i="1"/>
  <c r="N141" i="1" s="1"/>
  <c r="M139" i="1"/>
  <c r="M141" i="1" s="1"/>
  <c r="L139" i="1"/>
  <c r="L141" i="1" s="1"/>
  <c r="K141" i="1"/>
  <c r="J139" i="1"/>
  <c r="J141" i="1" s="1"/>
  <c r="I139" i="1"/>
  <c r="I141" i="1" s="1"/>
  <c r="H139" i="1"/>
  <c r="H141" i="1" s="1"/>
  <c r="G139" i="1"/>
  <c r="G141" i="1" s="1"/>
  <c r="F139" i="1"/>
  <c r="F141" i="1" s="1"/>
  <c r="W127" i="1"/>
  <c r="V125" i="1"/>
  <c r="V127" i="1" s="1"/>
  <c r="U125" i="1"/>
  <c r="U127" i="1" s="1"/>
  <c r="T125" i="1"/>
  <c r="T127" i="1" s="1"/>
  <c r="S125" i="1"/>
  <c r="S127" i="1" s="1"/>
  <c r="R125" i="1"/>
  <c r="R127" i="1" s="1"/>
  <c r="X123" i="1"/>
  <c r="Q125" i="1"/>
  <c r="Q127" i="1" s="1"/>
  <c r="P125" i="1"/>
  <c r="P127" i="1" s="1"/>
  <c r="O125" i="1"/>
  <c r="O127" i="1" s="1"/>
  <c r="N125" i="1"/>
  <c r="N127" i="1" s="1"/>
  <c r="M125" i="1"/>
  <c r="M127" i="1" s="1"/>
  <c r="L125" i="1"/>
  <c r="L127" i="1" s="1"/>
  <c r="K125" i="1"/>
  <c r="K127" i="1" s="1"/>
  <c r="J125" i="1"/>
  <c r="J127" i="1" s="1"/>
  <c r="I125" i="1"/>
  <c r="I127" i="1" s="1"/>
  <c r="H125" i="1"/>
  <c r="H127" i="1" s="1"/>
  <c r="X121" i="1"/>
  <c r="G125" i="1"/>
  <c r="G127" i="1" s="1"/>
  <c r="F125" i="1"/>
  <c r="F127" i="1" s="1"/>
  <c r="W111" i="1"/>
  <c r="W113" i="1" s="1"/>
  <c r="V111" i="1"/>
  <c r="V113" i="1" s="1"/>
  <c r="U111" i="1"/>
  <c r="U113" i="1" s="1"/>
  <c r="T111" i="1"/>
  <c r="T113" i="1" s="1"/>
  <c r="S111" i="1"/>
  <c r="S113" i="1" s="1"/>
  <c r="R111" i="1"/>
  <c r="R113" i="1" s="1"/>
  <c r="Q111" i="1"/>
  <c r="Q113" i="1" s="1"/>
  <c r="P111" i="1"/>
  <c r="P113" i="1" s="1"/>
  <c r="O111" i="1"/>
  <c r="O113" i="1" s="1"/>
  <c r="N111" i="1"/>
  <c r="N113" i="1" s="1"/>
  <c r="M113" i="1"/>
  <c r="L113" i="1"/>
  <c r="K111" i="1"/>
  <c r="K113" i="1" s="1"/>
  <c r="J111" i="1"/>
  <c r="J113" i="1" s="1"/>
  <c r="I111" i="1"/>
  <c r="I113" i="1" s="1"/>
  <c r="H111" i="1"/>
  <c r="H113" i="1" s="1"/>
  <c r="G111" i="1"/>
  <c r="G113" i="1" s="1"/>
  <c r="F111" i="1"/>
  <c r="F113" i="1" s="1"/>
  <c r="X109" i="1"/>
  <c r="AY109" i="1" s="1"/>
  <c r="B113" i="1"/>
  <c r="W97" i="1"/>
  <c r="W99" i="1" s="1"/>
  <c r="V97" i="1"/>
  <c r="V99" i="1" s="1"/>
  <c r="U97" i="1"/>
  <c r="U99" i="1" s="1"/>
  <c r="T97" i="1"/>
  <c r="T99" i="1" s="1"/>
  <c r="S97" i="1"/>
  <c r="S99" i="1" s="1"/>
  <c r="R97" i="1"/>
  <c r="R99" i="1" s="1"/>
  <c r="Q97" i="1"/>
  <c r="Q99" i="1" s="1"/>
  <c r="P97" i="1"/>
  <c r="P99" i="1" s="1"/>
  <c r="O97" i="1"/>
  <c r="O99" i="1" s="1"/>
  <c r="N99" i="1"/>
  <c r="M97" i="1"/>
  <c r="M99" i="1" s="1"/>
  <c r="L97" i="1"/>
  <c r="L99" i="1" s="1"/>
  <c r="K97" i="1"/>
  <c r="K99" i="1" s="1"/>
  <c r="J97" i="1"/>
  <c r="J99" i="1" s="1"/>
  <c r="I97" i="1"/>
  <c r="I99" i="1" s="1"/>
  <c r="H97" i="1"/>
  <c r="H99" i="1" s="1"/>
  <c r="G97" i="1"/>
  <c r="G99" i="1" s="1"/>
  <c r="F97" i="1"/>
  <c r="F99" i="1" s="1"/>
  <c r="W83" i="1"/>
  <c r="W85" i="1" s="1"/>
  <c r="V83" i="1"/>
  <c r="V85" i="1" s="1"/>
  <c r="U83" i="1"/>
  <c r="U85" i="1" s="1"/>
  <c r="T83" i="1"/>
  <c r="T85" i="1" s="1"/>
  <c r="S83" i="1"/>
  <c r="S85" i="1" s="1"/>
  <c r="R83" i="1"/>
  <c r="R85" i="1" s="1"/>
  <c r="Q83" i="1"/>
  <c r="Q85" i="1" s="1"/>
  <c r="P83" i="1"/>
  <c r="P85" i="1" s="1"/>
  <c r="O83" i="1"/>
  <c r="O85" i="1" s="1"/>
  <c r="N83" i="1"/>
  <c r="N85" i="1" s="1"/>
  <c r="M83" i="1"/>
  <c r="M85" i="1" s="1"/>
  <c r="L83" i="1"/>
  <c r="L85" i="1" s="1"/>
  <c r="K83" i="1"/>
  <c r="K85" i="1" s="1"/>
  <c r="J83" i="1"/>
  <c r="J85" i="1" s="1"/>
  <c r="I85" i="1"/>
  <c r="H83" i="1"/>
  <c r="H85" i="1" s="1"/>
  <c r="G83" i="1"/>
  <c r="G85" i="1" s="1"/>
  <c r="F83" i="1"/>
  <c r="F85" i="1" s="1"/>
  <c r="D83" i="1"/>
  <c r="W69" i="1"/>
  <c r="W71" i="1" s="1"/>
  <c r="V69" i="1"/>
  <c r="V71" i="1" s="1"/>
  <c r="U71" i="1"/>
  <c r="T69" i="1"/>
  <c r="T71" i="1" s="1"/>
  <c r="X63" i="1"/>
  <c r="R69" i="1"/>
  <c r="R71" i="1" s="1"/>
  <c r="Q69" i="1"/>
  <c r="Q71" i="1" s="1"/>
  <c r="P69" i="1"/>
  <c r="P71" i="1" s="1"/>
  <c r="O69" i="1"/>
  <c r="O71" i="1" s="1"/>
  <c r="N69" i="1"/>
  <c r="N71" i="1" s="1"/>
  <c r="M69" i="1"/>
  <c r="M71" i="1" s="1"/>
  <c r="L69" i="1"/>
  <c r="L71" i="1" s="1"/>
  <c r="K69" i="1"/>
  <c r="K71" i="1" s="1"/>
  <c r="J71" i="1"/>
  <c r="I69" i="1"/>
  <c r="I71" i="1" s="1"/>
  <c r="H69" i="1"/>
  <c r="H71" i="1" s="1"/>
  <c r="G69" i="1"/>
  <c r="G71" i="1" s="1"/>
  <c r="F69" i="1"/>
  <c r="F71" i="1" s="1"/>
  <c r="W55" i="1"/>
  <c r="W57" i="1" s="1"/>
  <c r="V57" i="1"/>
  <c r="U55" i="1"/>
  <c r="U57" i="1" s="1"/>
  <c r="T55" i="1"/>
  <c r="T57" i="1" s="1"/>
  <c r="S55" i="1"/>
  <c r="S57" i="1" s="1"/>
  <c r="R55" i="1"/>
  <c r="R57" i="1" s="1"/>
  <c r="Q55" i="1"/>
  <c r="Q57" i="1" s="1"/>
  <c r="P55" i="1"/>
  <c r="P57" i="1" s="1"/>
  <c r="O55" i="1"/>
  <c r="O57" i="1" s="1"/>
  <c r="N55" i="1"/>
  <c r="N57" i="1" s="1"/>
  <c r="M55" i="1"/>
  <c r="M57" i="1" s="1"/>
  <c r="L55" i="1"/>
  <c r="L57" i="1" s="1"/>
  <c r="K55" i="1"/>
  <c r="K57" i="1" s="1"/>
  <c r="J55" i="1"/>
  <c r="J57" i="1" s="1"/>
  <c r="I55" i="1"/>
  <c r="I57" i="1" s="1"/>
  <c r="H55" i="1"/>
  <c r="H57" i="1" s="1"/>
  <c r="G55" i="1"/>
  <c r="G57" i="1" s="1"/>
  <c r="F55" i="1"/>
  <c r="F57" i="1" s="1"/>
  <c r="E57" i="1"/>
  <c r="W41" i="1"/>
  <c r="W43" i="1" s="1"/>
  <c r="V41" i="1"/>
  <c r="V43" i="1" s="1"/>
  <c r="U41" i="1"/>
  <c r="U43" i="1" s="1"/>
  <c r="T41" i="1"/>
  <c r="T43" i="1" s="1"/>
  <c r="S41" i="1"/>
  <c r="S43" i="1" s="1"/>
  <c r="R41" i="1"/>
  <c r="R43" i="1" s="1"/>
  <c r="Q43" i="1"/>
  <c r="P41" i="1"/>
  <c r="P43" i="1" s="1"/>
  <c r="O41" i="1"/>
  <c r="O43" i="1" s="1"/>
  <c r="N41" i="1"/>
  <c r="N43" i="1" s="1"/>
  <c r="M41" i="1"/>
  <c r="M43" i="1" s="1"/>
  <c r="L41" i="1"/>
  <c r="L43" i="1" s="1"/>
  <c r="K41" i="1"/>
  <c r="K43" i="1" s="1"/>
  <c r="J41" i="1"/>
  <c r="J43" i="1" s="1"/>
  <c r="I41" i="1"/>
  <c r="I43" i="1" s="1"/>
  <c r="H41" i="1"/>
  <c r="H43" i="1" s="1"/>
  <c r="G41" i="1"/>
  <c r="G43" i="1" s="1"/>
  <c r="F43" i="1"/>
  <c r="B41" i="1"/>
  <c r="W27" i="1"/>
  <c r="W29" i="1" s="1"/>
  <c r="V27" i="1"/>
  <c r="V29" i="1" s="1"/>
  <c r="U27" i="1"/>
  <c r="U29" i="1" s="1"/>
  <c r="T27" i="1"/>
  <c r="T29" i="1" s="1"/>
  <c r="X25" i="1"/>
  <c r="R29" i="1"/>
  <c r="Q27" i="1"/>
  <c r="Q29" i="1" s="1"/>
  <c r="P27" i="1"/>
  <c r="P29" i="1" s="1"/>
  <c r="O27" i="1"/>
  <c r="O29" i="1" s="1"/>
  <c r="N27" i="1"/>
  <c r="N29" i="1" s="1"/>
  <c r="M27" i="1"/>
  <c r="M29" i="1" s="1"/>
  <c r="L27" i="1"/>
  <c r="L29" i="1" s="1"/>
  <c r="K27" i="1"/>
  <c r="K29" i="1" s="1"/>
  <c r="J27" i="1"/>
  <c r="J29" i="1" s="1"/>
  <c r="X23" i="1"/>
  <c r="I27" i="1"/>
  <c r="I29" i="1" s="1"/>
  <c r="H27" i="1"/>
  <c r="H29" i="1" s="1"/>
  <c r="G27" i="1"/>
  <c r="G29" i="1" s="1"/>
  <c r="F27" i="1"/>
  <c r="F29" i="1" s="1"/>
  <c r="Q15" i="1"/>
  <c r="O15" i="1"/>
  <c r="N15" i="1"/>
  <c r="H15" i="1"/>
  <c r="G15" i="1"/>
  <c r="E15" i="1"/>
  <c r="B15" i="1"/>
  <c r="J13" i="1"/>
  <c r="J15" i="1" s="1"/>
  <c r="I13" i="1"/>
  <c r="I15" i="1" s="1"/>
  <c r="R13" i="1"/>
  <c r="R15" i="1" s="1"/>
  <c r="D13" i="1"/>
  <c r="D15" i="1" s="1"/>
  <c r="AU13" i="1"/>
  <c r="U13" i="1"/>
  <c r="U15" i="1" s="1"/>
  <c r="S13" i="1"/>
  <c r="S15" i="1" s="1"/>
  <c r="AY145" i="1"/>
  <c r="AY8" i="1"/>
  <c r="AY19" i="1"/>
  <c r="AY22" i="1"/>
  <c r="AY47" i="1"/>
  <c r="AY51" i="1"/>
  <c r="AY61" i="1"/>
  <c r="AY76" i="1"/>
  <c r="AY90" i="1"/>
  <c r="AY107" i="1"/>
  <c r="AY135" i="1"/>
  <c r="Y78" i="70"/>
  <c r="E80" i="70"/>
  <c r="E48" i="70"/>
  <c r="Y14" i="70"/>
  <c r="D32" i="70"/>
  <c r="D80" i="70"/>
  <c r="D56" i="70"/>
  <c r="Y69" i="70"/>
  <c r="Y68" i="70"/>
  <c r="Y79" i="70"/>
  <c r="C64" i="70"/>
  <c r="Y28" i="70"/>
  <c r="C32" i="70"/>
  <c r="Y23" i="70"/>
  <c r="Y6" i="70"/>
  <c r="D167" i="1"/>
  <c r="D169" i="1" s="1"/>
  <c r="D155" i="1"/>
  <c r="AC139" i="1"/>
  <c r="D139" i="1"/>
  <c r="D141" i="1" s="1"/>
  <c r="AC125" i="1"/>
  <c r="D125" i="1"/>
  <c r="D127" i="1" s="1"/>
  <c r="AC111" i="1"/>
  <c r="D111" i="1"/>
  <c r="D113" i="1" s="1"/>
  <c r="D97" i="1"/>
  <c r="D99" i="1" s="1"/>
  <c r="D85" i="1"/>
  <c r="AC69" i="1"/>
  <c r="D69" i="1"/>
  <c r="D71" i="1" s="1"/>
  <c r="D55" i="1"/>
  <c r="D57" i="1" s="1"/>
  <c r="AC41" i="1"/>
  <c r="D41" i="1"/>
  <c r="D43" i="1" s="1"/>
  <c r="D27" i="1"/>
  <c r="D29" i="1" s="1"/>
  <c r="C139" i="1"/>
  <c r="C141" i="1" s="1"/>
  <c r="AB125" i="1"/>
  <c r="C125" i="1"/>
  <c r="C127" i="1" s="1"/>
  <c r="AB111" i="1"/>
  <c r="C97" i="1"/>
  <c r="C99" i="1" s="1"/>
  <c r="C83" i="1"/>
  <c r="C85" i="1" s="1"/>
  <c r="C69" i="1"/>
  <c r="C71" i="1" s="1"/>
  <c r="AB55" i="1"/>
  <c r="AB41" i="1"/>
  <c r="C41" i="1"/>
  <c r="C43" i="1" s="1"/>
  <c r="C27" i="1"/>
  <c r="C29" i="1" s="1"/>
  <c r="C13" i="1"/>
  <c r="B167" i="1"/>
  <c r="B169" i="1" s="1"/>
  <c r="B153" i="1"/>
  <c r="B155" i="1" s="1"/>
  <c r="B139" i="1"/>
  <c r="B141" i="1" s="1"/>
  <c r="B125" i="1"/>
  <c r="B127" i="1" s="1"/>
  <c r="AA111" i="1"/>
  <c r="B97" i="1"/>
  <c r="B99" i="1" s="1"/>
  <c r="B83" i="1"/>
  <c r="B69" i="1"/>
  <c r="B55" i="1"/>
  <c r="B27" i="1"/>
  <c r="Y55" i="70"/>
  <c r="Y54" i="70"/>
  <c r="Y51" i="70"/>
  <c r="Y43" i="70"/>
  <c r="Y37" i="70"/>
  <c r="F16" i="70"/>
  <c r="E167" i="1"/>
  <c r="E169" i="1" s="1"/>
  <c r="AW148" i="1"/>
  <c r="Y148" i="1" s="1"/>
  <c r="X147" i="1"/>
  <c r="AY147" i="1" s="1"/>
  <c r="AW146" i="1"/>
  <c r="Y146" i="1" s="1"/>
  <c r="AW135" i="1"/>
  <c r="Y135" i="1" s="1"/>
  <c r="AD139" i="1"/>
  <c r="E139" i="1"/>
  <c r="AD125" i="1"/>
  <c r="E125" i="1"/>
  <c r="AD111" i="1"/>
  <c r="E111" i="1"/>
  <c r="E113" i="1" s="1"/>
  <c r="AW103" i="1"/>
  <c r="E97" i="1"/>
  <c r="AW90" i="1"/>
  <c r="Y90" i="1" s="1"/>
  <c r="AW89" i="1"/>
  <c r="AW78" i="1"/>
  <c r="Y78" i="1" s="1"/>
  <c r="E83" i="1"/>
  <c r="E85" i="1" s="1"/>
  <c r="AD83" i="1"/>
  <c r="AD69" i="1"/>
  <c r="E69" i="1"/>
  <c r="E71" i="1" s="1"/>
  <c r="AW51" i="1"/>
  <c r="Y51" i="1" s="1"/>
  <c r="X49" i="1"/>
  <c r="AW36" i="1"/>
  <c r="Y36" i="1" s="1"/>
  <c r="E41" i="1"/>
  <c r="E43" i="1" s="1"/>
  <c r="AD27" i="1"/>
  <c r="AW20" i="1"/>
  <c r="Y20" i="1" s="1"/>
  <c r="E27" i="1"/>
  <c r="E29" i="1" s="1"/>
  <c r="AW5" i="1"/>
  <c r="AB687" i="2"/>
  <c r="A1" i="68"/>
  <c r="Z144" i="1"/>
  <c r="BE29" i="1"/>
  <c r="BE57" i="1"/>
  <c r="Z4" i="1"/>
  <c r="BE71" i="1"/>
  <c r="Z86" i="70"/>
  <c r="A48" i="71"/>
  <c r="Y7" i="70"/>
  <c r="A160" i="71"/>
  <c r="Z19" i="70"/>
  <c r="Z20" i="70"/>
  <c r="Z71" i="70"/>
  <c r="AA71" i="70" s="1"/>
  <c r="Z75" i="70"/>
  <c r="Z77" i="70"/>
  <c r="Z79" i="70"/>
  <c r="Z131" i="70"/>
  <c r="G517" i="2"/>
  <c r="Z132" i="70"/>
  <c r="Z55" i="70"/>
  <c r="AA55" i="70" s="1"/>
  <c r="B80" i="70"/>
  <c r="Z62" i="70"/>
  <c r="Z63" i="70"/>
  <c r="Y38" i="70"/>
  <c r="Z68" i="70"/>
  <c r="Z69" i="70"/>
  <c r="Z87" i="70"/>
  <c r="Z94" i="70"/>
  <c r="Z108" i="70"/>
  <c r="AA108" i="70" s="1"/>
  <c r="Z109" i="70"/>
  <c r="Z111" i="70"/>
  <c r="Z6" i="70"/>
  <c r="AA6" i="70" s="1"/>
  <c r="Z118" i="70"/>
  <c r="B32" i="70"/>
  <c r="Y116" i="70"/>
  <c r="BM19" i="1"/>
  <c r="Z7" i="70"/>
  <c r="AA7" i="70" s="1"/>
  <c r="Z123" i="70"/>
  <c r="Z11" i="70"/>
  <c r="Z124" i="70"/>
  <c r="AA124" i="70" s="1"/>
  <c r="Z14" i="70"/>
  <c r="AA14" i="70" s="1"/>
  <c r="Z125" i="70"/>
  <c r="AA125" i="70" s="1"/>
  <c r="BE15" i="1"/>
  <c r="Z15" i="70"/>
  <c r="Z127" i="70"/>
  <c r="Z23" i="70"/>
  <c r="AA23" i="70" s="1"/>
  <c r="Z134" i="70"/>
  <c r="Z35" i="70"/>
  <c r="Z36" i="70"/>
  <c r="Z143" i="70"/>
  <c r="Z142" i="70"/>
  <c r="Y22" i="70"/>
  <c r="Z43" i="70"/>
  <c r="AA43" i="70" s="1"/>
  <c r="Z155" i="70"/>
  <c r="Z53" i="70"/>
  <c r="AA69" i="70"/>
  <c r="Y101" i="70"/>
  <c r="B40" i="70"/>
  <c r="Z54" i="70"/>
  <c r="AA54" i="70" s="1"/>
  <c r="Z13" i="70"/>
  <c r="B72" i="70"/>
  <c r="B104" i="70"/>
  <c r="B120" i="70"/>
  <c r="G493" i="2"/>
  <c r="Z3" i="70"/>
  <c r="Z60" i="70"/>
  <c r="Z115" i="70"/>
  <c r="Z32" i="1"/>
  <c r="BE43" i="1"/>
  <c r="B112" i="70"/>
  <c r="BM18" i="1"/>
  <c r="Z4" i="70"/>
  <c r="Z61" i="70"/>
  <c r="Z117" i="70"/>
  <c r="A1" i="69"/>
  <c r="G541" i="2"/>
  <c r="Y39" i="70"/>
  <c r="G445" i="2"/>
  <c r="BE127" i="1"/>
  <c r="BM13" i="1"/>
  <c r="BE141" i="1"/>
  <c r="Y46" i="70"/>
  <c r="Z22" i="70"/>
  <c r="Z78" i="70"/>
  <c r="AA78" i="70" s="1"/>
  <c r="Z133" i="70"/>
  <c r="G565" i="2"/>
  <c r="G589" i="2"/>
  <c r="Z28" i="70"/>
  <c r="AA28" i="70" s="1"/>
  <c r="Z135" i="70"/>
  <c r="Z130" i="1"/>
  <c r="Z29" i="70"/>
  <c r="Z84" i="70"/>
  <c r="Z139" i="70"/>
  <c r="Z83" i="70"/>
  <c r="Y156" i="70"/>
  <c r="Z31" i="70"/>
  <c r="Z85" i="70"/>
  <c r="Z140" i="70"/>
  <c r="G613" i="2"/>
  <c r="Z158" i="1"/>
  <c r="Z37" i="70"/>
  <c r="Z91" i="70"/>
  <c r="Z147" i="70"/>
  <c r="AA147" i="70" s="1"/>
  <c r="G637" i="2"/>
  <c r="Z38" i="70"/>
  <c r="AA38" i="70" s="1"/>
  <c r="Z92" i="70"/>
  <c r="Z149" i="70"/>
  <c r="Z172" i="1"/>
  <c r="Z39" i="70"/>
  <c r="Z93" i="70"/>
  <c r="Z150" i="70"/>
  <c r="Z44" i="70"/>
  <c r="Z99" i="70"/>
  <c r="Z157" i="70"/>
  <c r="AA157" i="70" s="1"/>
  <c r="Z45" i="70"/>
  <c r="Z100" i="70"/>
  <c r="AA100" i="70" s="1"/>
  <c r="Z158" i="70"/>
  <c r="AA158" i="70" s="1"/>
  <c r="B96" i="70"/>
  <c r="Z46" i="70"/>
  <c r="Z101" i="70"/>
  <c r="B136" i="70"/>
  <c r="Z47" i="70"/>
  <c r="Z103" i="70"/>
  <c r="G661" i="2"/>
  <c r="A1" i="1"/>
  <c r="G469" i="2"/>
  <c r="BM21" i="1"/>
  <c r="Z51" i="70"/>
  <c r="AA51" i="70" s="1"/>
  <c r="Z107" i="70"/>
  <c r="Z159" i="70"/>
  <c r="Y117" i="70"/>
  <c r="AA117" i="70" s="1"/>
  <c r="B160" i="70"/>
  <c r="Y5" i="70"/>
  <c r="Y53" i="70"/>
  <c r="Z126" i="70"/>
  <c r="Y70" i="70"/>
  <c r="Y72" i="70" s="1"/>
  <c r="Y159" i="70"/>
  <c r="AA159" i="70" s="1"/>
  <c r="Z5" i="70"/>
  <c r="Z52" i="70"/>
  <c r="Z95" i="70"/>
  <c r="Z141" i="70"/>
  <c r="Y103" i="70"/>
  <c r="Y140" i="70"/>
  <c r="Y30" i="70"/>
  <c r="Y21" i="70"/>
  <c r="Z12" i="70"/>
  <c r="Z59" i="70"/>
  <c r="Z102" i="70"/>
  <c r="Z148" i="70"/>
  <c r="AA148" i="70" s="1"/>
  <c r="Y119" i="70"/>
  <c r="AA119" i="70" s="1"/>
  <c r="Z151" i="70"/>
  <c r="Y118" i="70"/>
  <c r="Z21" i="70"/>
  <c r="Z67" i="70"/>
  <c r="Z110" i="70"/>
  <c r="AA110" i="70" s="1"/>
  <c r="Z156" i="70"/>
  <c r="B8" i="70"/>
  <c r="Y60" i="70"/>
  <c r="Z27" i="70"/>
  <c r="Z70" i="70"/>
  <c r="Z116" i="70"/>
  <c r="B88" i="70"/>
  <c r="B16" i="70"/>
  <c r="Y111" i="70"/>
  <c r="Y135" i="70"/>
  <c r="AA135" i="70" s="1"/>
  <c r="Z30" i="70"/>
  <c r="Z76" i="70"/>
  <c r="A68" i="71"/>
  <c r="A30" i="71"/>
  <c r="A32" i="71"/>
  <c r="A46" i="71"/>
  <c r="A45" i="71"/>
  <c r="A54" i="71"/>
  <c r="A69" i="71"/>
  <c r="A70" i="71"/>
  <c r="A71" i="71"/>
  <c r="A149" i="71"/>
  <c r="A148" i="71"/>
  <c r="A151" i="71"/>
  <c r="A134" i="71"/>
  <c r="A125" i="71"/>
  <c r="A101" i="71"/>
  <c r="A102" i="71"/>
  <c r="BM16" i="1"/>
  <c r="A88" i="71"/>
  <c r="BM15" i="1"/>
  <c r="A96" i="71"/>
  <c r="A92" i="71"/>
  <c r="A94" i="71"/>
  <c r="A95" i="71"/>
  <c r="A104" i="71"/>
  <c r="BE183" i="1"/>
  <c r="A109" i="71"/>
  <c r="A112" i="71"/>
  <c r="A111" i="71"/>
  <c r="A110" i="71"/>
  <c r="A108" i="71"/>
  <c r="BE197" i="1"/>
  <c r="A119" i="71"/>
  <c r="BE211" i="1"/>
  <c r="Z214" i="1"/>
  <c r="BE225" i="1"/>
  <c r="A124" i="71"/>
  <c r="A135" i="71"/>
  <c r="BE239" i="1"/>
  <c r="A143" i="71"/>
  <c r="A142" i="71"/>
  <c r="A141" i="71"/>
  <c r="A140" i="71"/>
  <c r="A144" i="71"/>
  <c r="BE253" i="1"/>
  <c r="A150" i="71"/>
  <c r="BE267" i="1"/>
  <c r="Z256" i="1"/>
  <c r="BE281" i="1"/>
  <c r="Z270" i="1"/>
  <c r="A72" i="71"/>
  <c r="AA68" i="70"/>
  <c r="Z102" i="1"/>
  <c r="BE113" i="1"/>
  <c r="A53" i="71"/>
  <c r="A55" i="71"/>
  <c r="A44" i="71"/>
  <c r="Z74" i="1"/>
  <c r="A47" i="71"/>
  <c r="BE85" i="1"/>
  <c r="A31" i="71"/>
  <c r="A20" i="71"/>
  <c r="A23" i="71"/>
  <c r="A24" i="71"/>
  <c r="A21" i="71"/>
  <c r="A22" i="71"/>
  <c r="A13" i="71"/>
  <c r="A8" i="71"/>
  <c r="Z18" i="1"/>
  <c r="AA86" i="70"/>
  <c r="AA37" i="70"/>
  <c r="AA79" i="70"/>
  <c r="A63" i="71"/>
  <c r="A61" i="71"/>
  <c r="A62" i="71"/>
  <c r="A64" i="71"/>
  <c r="A60" i="71"/>
  <c r="A40" i="71"/>
  <c r="A39" i="71"/>
  <c r="A36" i="71"/>
  <c r="A38" i="71"/>
  <c r="A37" i="71"/>
  <c r="AW66" i="1"/>
  <c r="Y66" i="1" s="1"/>
  <c r="AF139" i="1"/>
  <c r="AF209" i="1"/>
  <c r="AJ279" i="1"/>
  <c r="A152" i="71"/>
  <c r="AH167" i="1"/>
  <c r="AB167" i="1"/>
  <c r="AW205" i="1"/>
  <c r="Y205" i="1" s="1"/>
  <c r="Y229" i="1"/>
  <c r="A4" i="71"/>
  <c r="A52" i="71"/>
  <c r="A103" i="71"/>
  <c r="A156" i="71"/>
  <c r="AE27" i="1"/>
  <c r="AG41" i="1"/>
  <c r="AW49" i="1"/>
  <c r="Y49" i="1" s="1"/>
  <c r="AQ55" i="1"/>
  <c r="AF69" i="1"/>
  <c r="AA69" i="1"/>
  <c r="AK83" i="1"/>
  <c r="AM111" i="1"/>
  <c r="AG167" i="1"/>
  <c r="AQ181" i="1"/>
  <c r="AK181" i="1"/>
  <c r="AL251" i="1"/>
  <c r="AW37" i="1"/>
  <c r="Y37" i="1" s="1"/>
  <c r="AP83" i="1"/>
  <c r="AW216" i="1"/>
  <c r="Y216" i="1" s="1"/>
  <c r="AW234" i="1"/>
  <c r="Y234" i="1" s="1"/>
  <c r="AL237" i="1"/>
  <c r="V104" i="70"/>
  <c r="A6" i="71"/>
  <c r="A158" i="71"/>
  <c r="AA97" i="1"/>
  <c r="AW91" i="1"/>
  <c r="Y91" i="1" s="1"/>
  <c r="AW107" i="1"/>
  <c r="Y107" i="1" s="1"/>
  <c r="AB139" i="1"/>
  <c r="AO181" i="1"/>
  <c r="AW275" i="1"/>
  <c r="Y275" i="1" s="1"/>
  <c r="AF279" i="1"/>
  <c r="A5" i="71"/>
  <c r="A157" i="71"/>
  <c r="A7" i="71"/>
  <c r="A56" i="71"/>
  <c r="A159" i="71"/>
  <c r="AD41" i="1"/>
  <c r="AH83" i="1"/>
  <c r="AW96" i="1"/>
  <c r="Y96" i="1" s="1"/>
  <c r="AG139" i="1"/>
  <c r="AW194" i="1"/>
  <c r="Y194" i="1" s="1"/>
  <c r="AW201" i="1"/>
  <c r="AK279" i="1"/>
  <c r="A12" i="71"/>
  <c r="AW26" i="1"/>
  <c r="Y26" i="1" s="1"/>
  <c r="AW21" i="1"/>
  <c r="AW38" i="1"/>
  <c r="Y38" i="1" s="1"/>
  <c r="AB69" i="1"/>
  <c r="AG83" i="1"/>
  <c r="AW136" i="1"/>
  <c r="Y136" i="1" s="1"/>
  <c r="AN223" i="1"/>
  <c r="AV265" i="1"/>
  <c r="AP279" i="1"/>
  <c r="AW271" i="1"/>
  <c r="Q16" i="70"/>
  <c r="AF27" i="1"/>
  <c r="AW62" i="1"/>
  <c r="Y62" i="1" s="1"/>
  <c r="AW79" i="1"/>
  <c r="Y79" i="1" s="1"/>
  <c r="AL83" i="1"/>
  <c r="AV97" i="1"/>
  <c r="AP97" i="1"/>
  <c r="AP125" i="1"/>
  <c r="AW177" i="1"/>
  <c r="Y177" i="1" s="1"/>
  <c r="AF181" i="1"/>
  <c r="AU195" i="1"/>
  <c r="AW218" i="1"/>
  <c r="Y218" i="1" s="1"/>
  <c r="AW230" i="1"/>
  <c r="Y230" i="1" s="1"/>
  <c r="AD265" i="1"/>
  <c r="AW272" i="1"/>
  <c r="Y272" i="1" s="1"/>
  <c r="Y13" i="70"/>
  <c r="I136" i="70"/>
  <c r="Y132" i="70"/>
  <c r="AA132" i="70" s="1"/>
  <c r="AW33" i="1"/>
  <c r="AE83" i="1"/>
  <c r="Y103" i="1"/>
  <c r="AO125" i="1"/>
  <c r="AW235" i="1"/>
  <c r="Y235" i="1" s="1"/>
  <c r="J16" i="70"/>
  <c r="AW22" i="1"/>
  <c r="Y22" i="1" s="1"/>
  <c r="AF41" i="1"/>
  <c r="AJ55" i="1"/>
  <c r="AV69" i="1"/>
  <c r="AN125" i="1"/>
  <c r="AW149" i="1"/>
  <c r="Y149" i="1" s="1"/>
  <c r="AP181" i="1"/>
  <c r="AW173" i="1"/>
  <c r="AW190" i="1"/>
  <c r="Y190" i="1" s="1"/>
  <c r="AC209" i="1"/>
  <c r="AK223" i="1"/>
  <c r="AS265" i="1"/>
  <c r="Y94" i="70"/>
  <c r="Y149" i="70"/>
  <c r="C152" i="70"/>
  <c r="A132" i="71"/>
  <c r="AA55" i="1"/>
  <c r="AU69" i="1"/>
  <c r="AW92" i="1"/>
  <c r="Y92" i="1" s="1"/>
  <c r="AM97" i="1"/>
  <c r="AW120" i="1"/>
  <c r="Y120" i="1" s="1"/>
  <c r="AA125" i="1"/>
  <c r="AS125" i="1"/>
  <c r="AW132" i="1"/>
  <c r="Y132" i="1" s="1"/>
  <c r="AW174" i="1"/>
  <c r="Y174" i="1" s="1"/>
  <c r="AH209" i="1"/>
  <c r="AJ223" i="1"/>
  <c r="AW259" i="1"/>
  <c r="Y259" i="1" s="1"/>
  <c r="AR265" i="1"/>
  <c r="AW276" i="1"/>
  <c r="Y276" i="1" s="1"/>
  <c r="M16" i="70"/>
  <c r="A16" i="71"/>
  <c r="A117" i="71"/>
  <c r="A118" i="71"/>
  <c r="A126" i="71"/>
  <c r="AW34" i="1"/>
  <c r="Y34" i="1" s="1"/>
  <c r="AN55" i="1"/>
  <c r="AH55" i="1"/>
  <c r="AT69" i="1"/>
  <c r="AW75" i="1"/>
  <c r="AW137" i="1"/>
  <c r="Y137" i="1" s="1"/>
  <c r="AA209" i="1"/>
  <c r="AW202" i="1"/>
  <c r="Y202" i="1" s="1"/>
  <c r="AT223" i="1"/>
  <c r="AO223" i="1"/>
  <c r="Y59" i="70"/>
  <c r="B64" i="70"/>
  <c r="O64" i="70"/>
  <c r="Y76" i="70"/>
  <c r="AA76" i="70" s="1"/>
  <c r="J96" i="70"/>
  <c r="Y126" i="70"/>
  <c r="N96" i="70"/>
  <c r="Y131" i="70"/>
  <c r="AA181" i="1"/>
  <c r="AL55" i="1"/>
  <c r="AW63" i="1"/>
  <c r="Y63" i="1" s="1"/>
  <c r="AJ125" i="1"/>
  <c r="AU139" i="1"/>
  <c r="AW161" i="1"/>
  <c r="AW178" i="1"/>
  <c r="Y178" i="1" s="1"/>
  <c r="AW231" i="1"/>
  <c r="Y231" i="1" s="1"/>
  <c r="AR237" i="1"/>
  <c r="AW243" i="1"/>
  <c r="Y102" i="70"/>
  <c r="AO27" i="1"/>
  <c r="AJ27" i="1"/>
  <c r="AW68" i="1"/>
  <c r="Y68" i="1" s="1"/>
  <c r="AW104" i="1"/>
  <c r="Y104" i="1" s="1"/>
  <c r="AT139" i="1"/>
  <c r="AW277" i="1"/>
  <c r="Y277" i="1" s="1"/>
  <c r="AA67" i="70"/>
  <c r="A86" i="71"/>
  <c r="A80" i="71"/>
  <c r="A77" i="71"/>
  <c r="AT27" i="1"/>
  <c r="AN27" i="1"/>
  <c r="AI27" i="1"/>
  <c r="AW121" i="1"/>
  <c r="Y121" i="1" s="1"/>
  <c r="AH153" i="1"/>
  <c r="AB153" i="1"/>
  <c r="AW236" i="1"/>
  <c r="Y236" i="1" s="1"/>
  <c r="AA279" i="1"/>
  <c r="Y84" i="70"/>
  <c r="AA84" i="70" s="1"/>
  <c r="AA251" i="1"/>
  <c r="AU41" i="1"/>
  <c r="AW133" i="1"/>
  <c r="Y133" i="1" s="1"/>
  <c r="AR139" i="1"/>
  <c r="AG153" i="1"/>
  <c r="AA153" i="1"/>
  <c r="AW145" i="1"/>
  <c r="AL195" i="1"/>
  <c r="AW203" i="1"/>
  <c r="Y203" i="1" s="1"/>
  <c r="AR209" i="1"/>
  <c r="AW260" i="1"/>
  <c r="Y260" i="1" s="1"/>
  <c r="AV279" i="1"/>
  <c r="Y12" i="70"/>
  <c r="Y92" i="70"/>
  <c r="A14" i="71"/>
  <c r="A127" i="71"/>
  <c r="A28" i="71"/>
  <c r="A76" i="71"/>
  <c r="A128" i="71"/>
  <c r="A29" i="71"/>
  <c r="A78" i="71"/>
  <c r="A133" i="71"/>
  <c r="AB83" i="1"/>
  <c r="AR97" i="1"/>
  <c r="AL97" i="1"/>
  <c r="AF97" i="1"/>
  <c r="AA139" i="1"/>
  <c r="AN167" i="1"/>
  <c r="AW179" i="1"/>
  <c r="Y179" i="1" s="1"/>
  <c r="AB181" i="1"/>
  <c r="AW191" i="1"/>
  <c r="Y191" i="1" s="1"/>
  <c r="AK195" i="1"/>
  <c r="AW208" i="1"/>
  <c r="Y208" i="1" s="1"/>
  <c r="AN237" i="1"/>
  <c r="AE279" i="1"/>
  <c r="Y29" i="70"/>
  <c r="AA195" i="1"/>
  <c r="AW47" i="1"/>
  <c r="AW64" i="1"/>
  <c r="Y64" i="1" s="1"/>
  <c r="AW93" i="1"/>
  <c r="Y93" i="1" s="1"/>
  <c r="AK97" i="1"/>
  <c r="AE97" i="1"/>
  <c r="AS111" i="1"/>
  <c r="AW138" i="1"/>
  <c r="Y138" i="1" s="1"/>
  <c r="AE153" i="1"/>
  <c r="AS167" i="1"/>
  <c r="AD195" i="1"/>
  <c r="AW220" i="1"/>
  <c r="Y220" i="1" s="1"/>
  <c r="W64" i="70"/>
  <c r="R120" i="70"/>
  <c r="A15" i="71"/>
  <c r="A120" i="71"/>
  <c r="AR41" i="1"/>
  <c r="AW52" i="1"/>
  <c r="Y52" i="1" s="1"/>
  <c r="AR55" i="1"/>
  <c r="AW81" i="1"/>
  <c r="Y81" i="1" s="1"/>
  <c r="AF83" i="1"/>
  <c r="AV83" i="1"/>
  <c r="AD97" i="1"/>
  <c r="AW105" i="1"/>
  <c r="Y105" i="1" s="1"/>
  <c r="AR111" i="1"/>
  <c r="AW162" i="1"/>
  <c r="Y162" i="1" s="1"/>
  <c r="AL167" i="1"/>
  <c r="AV181" i="1"/>
  <c r="AW215" i="1"/>
  <c r="AW244" i="1"/>
  <c r="Y244" i="1" s="1"/>
  <c r="AW261" i="1"/>
  <c r="Y261" i="1" s="1"/>
  <c r="Y27" i="70"/>
  <c r="C88" i="70"/>
  <c r="U88" i="70"/>
  <c r="L120" i="70"/>
  <c r="Y127" i="70"/>
  <c r="AA127" i="70" s="1"/>
  <c r="A84" i="71"/>
  <c r="A85" i="71"/>
  <c r="AQ41" i="1"/>
  <c r="AP69" i="1"/>
  <c r="AI97" i="1"/>
  <c r="AC97" i="1"/>
  <c r="AC153" i="1"/>
  <c r="AU181" i="1"/>
  <c r="AB195" i="1"/>
  <c r="AW249" i="1"/>
  <c r="Y249" i="1" s="1"/>
  <c r="AV251" i="1"/>
  <c r="AW262" i="1"/>
  <c r="Y262" i="1" s="1"/>
  <c r="AW278" i="1"/>
  <c r="Y278" i="1" s="1"/>
  <c r="A136" i="71"/>
  <c r="A87" i="71"/>
  <c r="AH27" i="1"/>
  <c r="AC27" i="1"/>
  <c r="AV41" i="1"/>
  <c r="AP41" i="1"/>
  <c r="AD55" i="1"/>
  <c r="AB97" i="1"/>
  <c r="AP111" i="1"/>
  <c r="AW122" i="1"/>
  <c r="Y122" i="1" s="1"/>
  <c r="AW187" i="1"/>
  <c r="AW204" i="1"/>
  <c r="Y204" i="1" s="1"/>
  <c r="AE223" i="1"/>
  <c r="AP237" i="1"/>
  <c r="AJ237" i="1"/>
  <c r="AB27" i="1"/>
  <c r="AO41" i="1"/>
  <c r="AW82" i="1"/>
  <c r="Y82" i="1" s="1"/>
  <c r="AS83" i="1"/>
  <c r="AG97" i="1"/>
  <c r="AW117" i="1"/>
  <c r="AL139" i="1"/>
  <c r="AW163" i="1"/>
  <c r="Y163" i="1" s="1"/>
  <c r="AI223" i="1"/>
  <c r="AD223" i="1"/>
  <c r="AO237" i="1"/>
  <c r="AD251" i="1"/>
  <c r="Y4" i="70"/>
  <c r="AA27" i="1"/>
  <c r="AT41" i="1"/>
  <c r="AN41" i="1"/>
  <c r="AW48" i="1"/>
  <c r="Y48" i="1" s="1"/>
  <c r="AV153" i="1"/>
  <c r="AW164" i="1"/>
  <c r="Y164" i="1" s="1"/>
  <c r="AW180" i="1"/>
  <c r="Y180" i="1" s="1"/>
  <c r="AR181" i="1"/>
  <c r="AC223" i="1"/>
  <c r="AT237" i="1"/>
  <c r="Y45" i="70"/>
  <c r="B48" i="70"/>
  <c r="Y151" i="70"/>
  <c r="A93" i="71"/>
  <c r="AM41" i="1"/>
  <c r="AA83" i="1"/>
  <c r="AW106" i="1"/>
  <c r="Y106" i="1" s="1"/>
  <c r="AP139" i="1"/>
  <c r="AW221" i="1"/>
  <c r="Y221" i="1" s="1"/>
  <c r="AM237" i="1"/>
  <c r="AG237" i="1"/>
  <c r="AW245" i="1"/>
  <c r="Y245" i="1" s="1"/>
  <c r="AW257" i="1"/>
  <c r="AT279" i="1"/>
  <c r="B24" i="70"/>
  <c r="Y19" i="70"/>
  <c r="Y62" i="70"/>
  <c r="Y91" i="70"/>
  <c r="AL41" i="1"/>
  <c r="AV55" i="1"/>
  <c r="AW65" i="1"/>
  <c r="Y65" i="1" s="1"/>
  <c r="AO139" i="1"/>
  <c r="AD153" i="1"/>
  <c r="AW233" i="1"/>
  <c r="Y233" i="1" s="1"/>
  <c r="AA237" i="1"/>
  <c r="AF237" i="1"/>
  <c r="AS279" i="1"/>
  <c r="AH195" i="1"/>
  <c r="AL279" i="1"/>
  <c r="AJ41" i="1"/>
  <c r="AT83" i="1"/>
  <c r="AH97" i="1"/>
  <c r="AJ111" i="1"/>
  <c r="AW123" i="1"/>
  <c r="Y123" i="1" s="1"/>
  <c r="AW147" i="1"/>
  <c r="Y147" i="1" s="1"/>
  <c r="AD167" i="1"/>
  <c r="AT181" i="1"/>
  <c r="AN181" i="1"/>
  <c r="AW188" i="1"/>
  <c r="Y188" i="1" s="1"/>
  <c r="AA265" i="1"/>
  <c r="T80" i="70"/>
  <c r="Y134" i="70"/>
  <c r="Y11" i="70"/>
  <c r="AY221" i="1"/>
  <c r="AY263" i="1"/>
  <c r="AW76" i="1"/>
  <c r="Y76" i="1" s="1"/>
  <c r="Y20" i="70"/>
  <c r="Y36" i="70"/>
  <c r="Y115" i="70"/>
  <c r="Y139" i="70"/>
  <c r="AY152" i="1"/>
  <c r="AY264" i="1"/>
  <c r="AX68" i="1"/>
  <c r="AZ68" i="1" s="1"/>
  <c r="AY68" i="1"/>
  <c r="AX201" i="1"/>
  <c r="AZ201" i="1" s="1"/>
  <c r="AW9" i="1"/>
  <c r="Y9" i="1" s="1"/>
  <c r="Y150" i="70"/>
  <c r="AY159" i="1"/>
  <c r="AY148" i="1"/>
  <c r="AX148" i="1"/>
  <c r="AZ148" i="1" s="1"/>
  <c r="AW159" i="1"/>
  <c r="B56" i="70"/>
  <c r="Y31" i="70"/>
  <c r="AY272" i="1"/>
  <c r="AX19" i="1"/>
  <c r="AZ19" i="1" s="1"/>
  <c r="AX107" i="1"/>
  <c r="AZ107" i="1" s="1"/>
  <c r="AX138" i="1"/>
  <c r="AZ138" i="1" s="1"/>
  <c r="AX147" i="1"/>
  <c r="AZ147" i="1" s="1"/>
  <c r="AX257" i="1"/>
  <c r="AZ257" i="1" s="1"/>
  <c r="AW12" i="1"/>
  <c r="Y12" i="1" s="1"/>
  <c r="Y35" i="70"/>
  <c r="Y75" i="70"/>
  <c r="AX229" i="1"/>
  <c r="AZ229" i="1" s="1"/>
  <c r="Y95" i="70"/>
  <c r="Y109" i="70"/>
  <c r="B85" i="1"/>
  <c r="X85" i="1" s="1"/>
  <c r="BD85" i="1" s="1"/>
  <c r="BK10" i="1" s="1"/>
  <c r="X83" i="1"/>
  <c r="C15" i="1"/>
  <c r="Y123" i="70"/>
  <c r="AY26" i="1"/>
  <c r="AX176" i="1"/>
  <c r="AZ176" i="1" s="1"/>
  <c r="Y44" i="70"/>
  <c r="Y85" i="70"/>
  <c r="Y99" i="70"/>
  <c r="X183" i="1"/>
  <c r="BD183" i="1" s="1"/>
  <c r="BK17" i="1" s="1"/>
  <c r="Y15" i="70"/>
  <c r="AA15" i="70" s="1"/>
  <c r="AX136" i="1"/>
  <c r="AZ136" i="1" s="1"/>
  <c r="B71" i="1"/>
  <c r="AY24" i="1"/>
  <c r="AX24" i="1"/>
  <c r="AZ24" i="1" s="1"/>
  <c r="AB237" i="1"/>
  <c r="B128" i="70"/>
  <c r="E96" i="70"/>
  <c r="E112" i="70"/>
  <c r="AY133" i="1"/>
  <c r="AY204" i="1"/>
  <c r="AX165" i="1"/>
  <c r="AZ165" i="1" s="1"/>
  <c r="AY165" i="1"/>
  <c r="AX203" i="1"/>
  <c r="AZ203" i="1" s="1"/>
  <c r="AY203" i="1"/>
  <c r="AW11" i="1"/>
  <c r="Y11" i="1" s="1"/>
  <c r="Y133" i="70"/>
  <c r="AY35" i="1"/>
  <c r="AY232" i="1"/>
  <c r="AX232" i="1"/>
  <c r="AZ232" i="1" s="1"/>
  <c r="X281" i="1"/>
  <c r="BD281" i="1" s="1"/>
  <c r="BK24" i="1" s="1"/>
  <c r="X169" i="1"/>
  <c r="BD169" i="1" s="1"/>
  <c r="BK16" i="1" s="1"/>
  <c r="B144" i="70"/>
  <c r="Y93" i="70"/>
  <c r="AY5" i="1"/>
  <c r="AY67" i="1"/>
  <c r="AY166" i="1"/>
  <c r="AY245" i="1"/>
  <c r="AX174" i="1"/>
  <c r="AZ174" i="1" s="1"/>
  <c r="AX231" i="1"/>
  <c r="AZ231" i="1" s="1"/>
  <c r="AY231" i="1"/>
  <c r="AY260" i="1"/>
  <c r="AX260" i="1"/>
  <c r="AZ260" i="1" s="1"/>
  <c r="B152" i="70"/>
  <c r="Y83" i="70"/>
  <c r="Y107" i="70"/>
  <c r="AY36" i="1"/>
  <c r="B57" i="1"/>
  <c r="B43" i="1"/>
  <c r="X43" i="1" s="1"/>
  <c r="BD43" i="1" s="1"/>
  <c r="BK7" i="1" s="1"/>
  <c r="X41" i="1"/>
  <c r="Y3" i="70"/>
  <c r="K120" i="70"/>
  <c r="AY105" i="1"/>
  <c r="AX259" i="1"/>
  <c r="AZ259" i="1" s="1"/>
  <c r="AA223" i="1"/>
  <c r="X267" i="1"/>
  <c r="BD267" i="1" s="1"/>
  <c r="BK23" i="1" s="1"/>
  <c r="AY106" i="1"/>
  <c r="AY208" i="1"/>
  <c r="AW7" i="1"/>
  <c r="Y7" i="1" s="1"/>
  <c r="Y5" i="1"/>
  <c r="X181" i="1"/>
  <c r="Y181" i="1" s="1"/>
  <c r="X279" i="1"/>
  <c r="Y279" i="1" s="1"/>
  <c r="D136" i="70"/>
  <c r="Y52" i="70"/>
  <c r="Y63" i="70"/>
  <c r="AA63" i="70" s="1"/>
  <c r="AX193" i="1"/>
  <c r="AZ193" i="1" s="1"/>
  <c r="AY193" i="1"/>
  <c r="AW131" i="1"/>
  <c r="Y77" i="70"/>
  <c r="AA77" i="70" s="1"/>
  <c r="AX51" i="1"/>
  <c r="AZ51" i="1" s="1"/>
  <c r="Q128" i="70"/>
  <c r="AY78" i="1"/>
  <c r="Y143" i="70"/>
  <c r="AX249" i="1"/>
  <c r="AZ249" i="1" s="1"/>
  <c r="AY249" i="1"/>
  <c r="B29" i="1"/>
  <c r="Y141" i="70"/>
  <c r="Y155" i="70"/>
  <c r="AW6" i="1"/>
  <c r="Y6" i="1" s="1"/>
  <c r="AD279" i="1"/>
  <c r="AX219" i="1"/>
  <c r="AZ219" i="1" s="1"/>
  <c r="O88" i="70"/>
  <c r="Y87" i="70"/>
  <c r="Y142" i="70"/>
  <c r="Y47" i="70"/>
  <c r="AY149" i="1"/>
  <c r="X167" i="1"/>
  <c r="X265" i="1"/>
  <c r="Y265" i="1" s="1"/>
  <c r="Y61" i="70"/>
  <c r="W136" i="70"/>
  <c r="AY50" i="1"/>
  <c r="AY110" i="1"/>
  <c r="AX110" i="1"/>
  <c r="AZ110" i="1" s="1"/>
  <c r="AX61" i="1"/>
  <c r="AZ61" i="1" s="1"/>
  <c r="AX109" i="1"/>
  <c r="AZ109" i="1" s="1"/>
  <c r="C251" i="1"/>
  <c r="C153" i="1"/>
  <c r="S69" i="1"/>
  <c r="S71" i="1" s="1"/>
  <c r="C55" i="1"/>
  <c r="P13" i="1"/>
  <c r="P15" i="1" s="1"/>
  <c r="X235" i="1"/>
  <c r="X273" i="1"/>
  <c r="F13" i="1"/>
  <c r="F15" i="1" s="1"/>
  <c r="C209" i="1"/>
  <c r="C111" i="1"/>
  <c r="S27" i="1"/>
  <c r="A2" i="68"/>
  <c r="AB8" i="1"/>
  <c r="AY258" i="1"/>
  <c r="X161" i="1"/>
  <c r="W13" i="1"/>
  <c r="W15" i="1" s="1"/>
  <c r="X89" i="1"/>
  <c r="Y89" i="1" s="1"/>
  <c r="X187" i="1"/>
  <c r="M13" i="1"/>
  <c r="M15" i="1" s="1"/>
  <c r="V13" i="1"/>
  <c r="V15" i="1" s="1"/>
  <c r="X75" i="1"/>
  <c r="X173" i="1"/>
  <c r="X271" i="1"/>
  <c r="L13" i="1"/>
  <c r="L15" i="1" s="1"/>
  <c r="AI10" i="1"/>
  <c r="AI13" i="1" s="1"/>
  <c r="K13" i="1"/>
  <c r="K15" i="1" s="1"/>
  <c r="AH10" i="1"/>
  <c r="AH13" i="1" s="1"/>
  <c r="X230" i="1"/>
  <c r="Y23" i="1" l="1"/>
  <c r="S29" i="1"/>
  <c r="X27" i="1"/>
  <c r="X29" i="1"/>
  <c r="BD29" i="1" s="1"/>
  <c r="BK6" i="1" s="1"/>
  <c r="X15" i="1"/>
  <c r="BD15" i="1" s="1"/>
  <c r="BK5" i="1" s="1"/>
  <c r="AX23" i="1"/>
  <c r="AZ23" i="1" s="1"/>
  <c r="AY23" i="1"/>
  <c r="AY25" i="1"/>
  <c r="AX25" i="1"/>
  <c r="AZ25" i="1" s="1"/>
  <c r="AX63" i="1"/>
  <c r="AZ63" i="1" s="1"/>
  <c r="AY63" i="1"/>
  <c r="AX121" i="1"/>
  <c r="AZ121" i="1" s="1"/>
  <c r="AY121" i="1"/>
  <c r="AX123" i="1"/>
  <c r="AZ123" i="1" s="1"/>
  <c r="AY123" i="1"/>
  <c r="B197" i="1"/>
  <c r="X197" i="1" s="1"/>
  <c r="BD197" i="1" s="1"/>
  <c r="BK18" i="1" s="1"/>
  <c r="X195" i="1"/>
  <c r="Y195" i="1" s="1"/>
  <c r="AX192" i="1"/>
  <c r="AZ192" i="1" s="1"/>
  <c r="AY192" i="1"/>
  <c r="AX207" i="1"/>
  <c r="AZ207" i="1" s="1"/>
  <c r="AY207" i="1"/>
  <c r="B225" i="1"/>
  <c r="X225" i="1" s="1"/>
  <c r="BD225" i="1" s="1"/>
  <c r="BK20" i="1" s="1"/>
  <c r="X223" i="1"/>
  <c r="Y223" i="1" s="1"/>
  <c r="B239" i="1"/>
  <c r="X239" i="1" s="1"/>
  <c r="BD239" i="1" s="1"/>
  <c r="BK21" i="1" s="1"/>
  <c r="X237" i="1"/>
  <c r="Y237" i="1" s="1"/>
  <c r="AX233" i="1"/>
  <c r="AZ233" i="1" s="1"/>
  <c r="AY233" i="1"/>
  <c r="C57" i="1"/>
  <c r="X55" i="1"/>
  <c r="X57" i="1"/>
  <c r="BD57" i="1" s="1"/>
  <c r="BK8" i="1" s="1"/>
  <c r="AW8" i="1"/>
  <c r="Y8" i="1" s="1"/>
  <c r="AB13" i="1"/>
  <c r="Y161" i="1"/>
  <c r="E141" i="1"/>
  <c r="X141" i="1" s="1"/>
  <c r="BD141" i="1" s="1"/>
  <c r="BK14" i="1" s="1"/>
  <c r="X139" i="1"/>
  <c r="E127" i="1"/>
  <c r="X127" i="1" s="1"/>
  <c r="BD127" i="1" s="1"/>
  <c r="BK13" i="1" s="1"/>
  <c r="X125" i="1"/>
  <c r="E99" i="1"/>
  <c r="X99" i="1" s="1"/>
  <c r="BD99" i="1" s="1"/>
  <c r="BK11" i="1" s="1"/>
  <c r="X97" i="1"/>
  <c r="AY49" i="1"/>
  <c r="AX49" i="1"/>
  <c r="AZ49" i="1" s="1"/>
  <c r="AA46" i="70"/>
  <c r="Z24" i="70"/>
  <c r="AA156" i="70"/>
  <c r="AA85" i="70"/>
  <c r="Z88" i="70"/>
  <c r="AA111" i="70"/>
  <c r="Z72" i="70"/>
  <c r="Z8" i="70"/>
  <c r="AA134" i="70"/>
  <c r="AA47" i="70"/>
  <c r="AA45" i="70"/>
  <c r="AA60" i="70"/>
  <c r="AA142" i="70"/>
  <c r="AA87" i="70"/>
  <c r="AA102" i="70"/>
  <c r="AA118" i="70"/>
  <c r="AA20" i="70"/>
  <c r="AA101" i="70"/>
  <c r="Z112" i="70"/>
  <c r="AA109" i="70"/>
  <c r="AA36" i="70"/>
  <c r="Z160" i="70"/>
  <c r="AA4" i="70"/>
  <c r="AA62" i="70"/>
  <c r="AA13" i="70"/>
  <c r="AA143" i="70"/>
  <c r="AA126" i="70"/>
  <c r="Z104" i="70"/>
  <c r="Z136" i="70"/>
  <c r="Z16" i="70"/>
  <c r="AA31" i="70"/>
  <c r="AA61" i="70"/>
  <c r="Z96" i="70"/>
  <c r="Z48" i="70"/>
  <c r="Z128" i="70"/>
  <c r="Z120" i="70"/>
  <c r="AA53" i="70"/>
  <c r="AA39" i="70"/>
  <c r="AA94" i="70"/>
  <c r="AA22" i="70"/>
  <c r="Z40" i="70"/>
  <c r="Z152" i="70"/>
  <c r="Z32" i="70"/>
  <c r="AA52" i="70"/>
  <c r="AA56" i="70" s="1"/>
  <c r="AA44" i="70"/>
  <c r="AA48" i="70" s="1"/>
  <c r="AA93" i="70"/>
  <c r="AA29" i="70"/>
  <c r="Z56" i="70"/>
  <c r="AA133" i="70"/>
  <c r="AA95" i="70"/>
  <c r="Z64" i="70"/>
  <c r="AA21" i="70"/>
  <c r="AA30" i="70"/>
  <c r="AA150" i="70"/>
  <c r="AA92" i="70"/>
  <c r="AA149" i="70"/>
  <c r="AA140" i="70"/>
  <c r="AA103" i="70"/>
  <c r="Z80" i="70"/>
  <c r="Z144" i="70"/>
  <c r="AA116" i="70"/>
  <c r="AA70" i="70"/>
  <c r="AA72" i="70" s="1"/>
  <c r="AA5" i="70"/>
  <c r="AA151" i="70"/>
  <c r="AA12" i="70"/>
  <c r="AA141" i="70"/>
  <c r="Y56" i="70"/>
  <c r="Y120" i="70"/>
  <c r="AA115" i="70"/>
  <c r="Y215" i="1"/>
  <c r="AW223" i="1"/>
  <c r="Y173" i="1"/>
  <c r="AW181" i="1"/>
  <c r="AY230" i="1"/>
  <c r="AX230" i="1"/>
  <c r="AZ230" i="1" s="1"/>
  <c r="Y145" i="1"/>
  <c r="AW153" i="1"/>
  <c r="AW251" i="1"/>
  <c r="Y243" i="1"/>
  <c r="Y80" i="70"/>
  <c r="AA75" i="70"/>
  <c r="AA80" i="70" s="1"/>
  <c r="AA35" i="70"/>
  <c r="AA40" i="70" s="1"/>
  <c r="Y40" i="70"/>
  <c r="AW209" i="1"/>
  <c r="Y201" i="1"/>
  <c r="AY273" i="1"/>
  <c r="AX273" i="1"/>
  <c r="AZ273" i="1" s="1"/>
  <c r="C253" i="1"/>
  <c r="X253" i="1" s="1"/>
  <c r="BD253" i="1" s="1"/>
  <c r="BK22" i="1" s="1"/>
  <c r="X251" i="1"/>
  <c r="Y251" i="1" s="1"/>
  <c r="AA11" i="70"/>
  <c r="Y16" i="70"/>
  <c r="AY271" i="1"/>
  <c r="AX271" i="1"/>
  <c r="AZ271" i="1" s="1"/>
  <c r="Y112" i="70"/>
  <c r="AA107" i="70"/>
  <c r="C155" i="1"/>
  <c r="X155" i="1" s="1"/>
  <c r="BD155" i="1" s="1"/>
  <c r="BK15" i="1" s="1"/>
  <c r="X153" i="1"/>
  <c r="Y153" i="1" s="1"/>
  <c r="AA91" i="70"/>
  <c r="Y96" i="70"/>
  <c r="AY173" i="1"/>
  <c r="AX173" i="1"/>
  <c r="AZ173" i="1" s="1"/>
  <c r="Y257" i="1"/>
  <c r="AW265" i="1"/>
  <c r="AX75" i="1"/>
  <c r="AZ75" i="1" s="1"/>
  <c r="AY75" i="1"/>
  <c r="AW139" i="1"/>
  <c r="Y139" i="1" s="1"/>
  <c r="Y131" i="1"/>
  <c r="AA19" i="70"/>
  <c r="Y24" i="70"/>
  <c r="AW195" i="1"/>
  <c r="Y187" i="1"/>
  <c r="Y271" i="1"/>
  <c r="AW279" i="1"/>
  <c r="AA131" i="70"/>
  <c r="Y136" i="70"/>
  <c r="X71" i="1"/>
  <c r="BD71" i="1" s="1"/>
  <c r="BK9" i="1" s="1"/>
  <c r="X69" i="1"/>
  <c r="AW111" i="1"/>
  <c r="AW10" i="1"/>
  <c r="Y10" i="1" s="1"/>
  <c r="Y117" i="1"/>
  <c r="AW125" i="1"/>
  <c r="Y125" i="1" s="1"/>
  <c r="AY187" i="1"/>
  <c r="AX187" i="1"/>
  <c r="AZ187" i="1" s="1"/>
  <c r="AW97" i="1"/>
  <c r="Y97" i="1" s="1"/>
  <c r="AY89" i="1"/>
  <c r="AX89" i="1"/>
  <c r="AZ89" i="1" s="1"/>
  <c r="AX161" i="1"/>
  <c r="AZ161" i="1" s="1"/>
  <c r="AY161" i="1"/>
  <c r="AW69" i="1"/>
  <c r="AA3" i="70"/>
  <c r="Y8" i="70"/>
  <c r="Y88" i="70"/>
  <c r="AA83" i="70"/>
  <c r="AA88" i="70" s="1"/>
  <c r="AW237" i="1"/>
  <c r="AW167" i="1"/>
  <c r="Y167" i="1" s="1"/>
  <c r="Y159" i="1"/>
  <c r="Y21" i="1"/>
  <c r="AW27" i="1"/>
  <c r="Y27" i="1" s="1"/>
  <c r="Y33" i="1"/>
  <c r="AW41" i="1"/>
  <c r="Y41" i="1" s="1"/>
  <c r="Y104" i="70"/>
  <c r="AA99" i="70"/>
  <c r="AA59" i="70"/>
  <c r="Y64" i="70"/>
  <c r="Y48" i="70"/>
  <c r="Y152" i="70"/>
  <c r="C113" i="1"/>
  <c r="X113" i="1" s="1"/>
  <c r="BD113" i="1" s="1"/>
  <c r="BK12" i="1" s="1"/>
  <c r="X111" i="1"/>
  <c r="Y111" i="1" s="1"/>
  <c r="C211" i="1"/>
  <c r="X211" i="1" s="1"/>
  <c r="BD211" i="1" s="1"/>
  <c r="BK19" i="1" s="1"/>
  <c r="X209" i="1"/>
  <c r="Y209" i="1" s="1"/>
  <c r="Y128" i="70"/>
  <c r="AA123" i="70"/>
  <c r="AY235" i="1"/>
  <c r="AX235" i="1"/>
  <c r="AZ235" i="1" s="1"/>
  <c r="AA155" i="70"/>
  <c r="AA160" i="70" s="1"/>
  <c r="Y160" i="70"/>
  <c r="X13" i="1"/>
  <c r="AA27" i="70"/>
  <c r="Y32" i="70"/>
  <c r="AW83" i="1"/>
  <c r="Y83" i="1" s="1"/>
  <c r="Y75" i="1"/>
  <c r="Y144" i="70"/>
  <c r="AA139" i="70"/>
  <c r="AW55" i="1"/>
  <c r="Y55" i="1" s="1"/>
  <c r="Y47" i="1"/>
  <c r="Y69" i="1" l="1"/>
  <c r="AA104" i="70"/>
  <c r="AA32" i="70"/>
  <c r="AA112" i="70"/>
  <c r="AA152" i="70"/>
  <c r="AA128" i="70"/>
  <c r="AA64" i="70"/>
  <c r="AA136" i="70"/>
  <c r="AA144" i="70"/>
  <c r="AA24" i="70"/>
  <c r="AA8" i="70"/>
  <c r="AA96" i="70"/>
  <c r="AA120" i="70"/>
  <c r="AA16" i="70"/>
  <c r="AW13" i="1"/>
  <c r="Y13" i="1" s="1"/>
  <c r="K663" i="2" l="1"/>
  <c r="K471" i="2"/>
  <c r="K447" i="2"/>
  <c r="C137" i="71"/>
  <c r="C105" i="71"/>
  <c r="C73" i="71"/>
  <c r="C41" i="71"/>
  <c r="C9" i="71"/>
  <c r="K639" i="2"/>
  <c r="K615" i="2"/>
  <c r="K591" i="2"/>
  <c r="C129" i="71"/>
  <c r="C97" i="71"/>
  <c r="C65" i="71"/>
  <c r="C33" i="71"/>
  <c r="K567" i="2"/>
  <c r="K543" i="2"/>
  <c r="C153" i="71"/>
  <c r="C121" i="71"/>
  <c r="C89" i="71"/>
  <c r="C57" i="71"/>
  <c r="C25" i="71"/>
  <c r="K519" i="2"/>
  <c r="C1" i="71"/>
  <c r="K495" i="2"/>
  <c r="C145" i="71"/>
  <c r="C113" i="71"/>
  <c r="C81" i="71"/>
  <c r="C49" i="71"/>
  <c r="C17" i="71"/>
  <c r="A5" i="68"/>
  <c r="A5" i="69"/>
  <c r="D148" i="71" l="1" a="1"/>
  <c r="D147" i="71"/>
  <c r="D146" i="71"/>
  <c r="D27" i="71"/>
  <c r="D26" i="71"/>
  <c r="D28" i="71" a="1"/>
  <c r="D91" i="71"/>
  <c r="D90" i="71"/>
  <c r="D92" i="71" a="1"/>
  <c r="D124" i="71" a="1"/>
  <c r="D123" i="71"/>
  <c r="D122" i="71"/>
  <c r="D155" i="71"/>
  <c r="D154" i="71"/>
  <c r="D156" i="71" a="1"/>
  <c r="D36" i="71" a="1"/>
  <c r="D35" i="71"/>
  <c r="D34" i="71"/>
  <c r="D3" i="71"/>
  <c r="D2" i="71"/>
  <c r="D4" i="71" a="1"/>
  <c r="D132" i="71" a="1"/>
  <c r="D131" i="71"/>
  <c r="D130" i="71"/>
  <c r="D44" i="71" a="1"/>
  <c r="D43" i="71"/>
  <c r="D42" i="71"/>
  <c r="D84" i="71" a="1"/>
  <c r="D83" i="71"/>
  <c r="D82" i="71"/>
  <c r="D108" i="71" a="1"/>
  <c r="D107" i="71"/>
  <c r="D106" i="71"/>
  <c r="D116" i="71" a="1"/>
  <c r="D115" i="71"/>
  <c r="D114" i="71"/>
  <c r="D59" i="71"/>
  <c r="D58" i="71"/>
  <c r="D60" i="71" a="1"/>
  <c r="D98" i="71"/>
  <c r="D100" i="71" a="1"/>
  <c r="D99" i="71"/>
  <c r="D12" i="71" a="1"/>
  <c r="D11" i="71"/>
  <c r="D10" i="71"/>
  <c r="D75" i="71"/>
  <c r="D74" i="71"/>
  <c r="D76" i="71" a="1"/>
  <c r="D140" i="71" a="1"/>
  <c r="D139" i="71"/>
  <c r="D138" i="71"/>
  <c r="D67" i="71"/>
  <c r="D66" i="71"/>
  <c r="D68" i="71" a="1"/>
  <c r="D20" i="71" a="1"/>
  <c r="D19" i="71"/>
  <c r="D18" i="71"/>
  <c r="D52" i="71" a="1"/>
  <c r="D51" i="71"/>
  <c r="D50" i="71"/>
  <c r="S641" i="2"/>
  <c r="S569" i="2"/>
  <c r="H521" i="2"/>
  <c r="H569" i="2"/>
  <c r="S617" i="2"/>
  <c r="S497" i="2"/>
  <c r="S473" i="2"/>
  <c r="H473" i="2"/>
  <c r="H617" i="2"/>
  <c r="H665" i="2"/>
  <c r="S593" i="2"/>
  <c r="S545" i="2"/>
  <c r="H593" i="2"/>
  <c r="H449" i="2"/>
  <c r="H545" i="2"/>
  <c r="H497" i="2"/>
  <c r="S449" i="2"/>
  <c r="S665" i="2"/>
  <c r="S521" i="2"/>
  <c r="H641" i="2"/>
  <c r="D148" i="71" l="1"/>
  <c r="D149" i="71"/>
  <c r="D150" i="71"/>
  <c r="D151" i="71"/>
  <c r="D152" i="71"/>
  <c r="D116" i="71"/>
  <c r="D117" i="71"/>
  <c r="D118" i="71"/>
  <c r="D119" i="71"/>
  <c r="D120" i="71"/>
  <c r="D68" i="71"/>
  <c r="D69" i="71"/>
  <c r="D70" i="71"/>
  <c r="D71" i="71"/>
  <c r="D72" i="71"/>
  <c r="D28" i="71"/>
  <c r="D29" i="71"/>
  <c r="D30" i="71"/>
  <c r="D31" i="71"/>
  <c r="D32" i="71"/>
  <c r="D84" i="71"/>
  <c r="D85" i="71"/>
  <c r="D86" i="71"/>
  <c r="D87" i="71"/>
  <c r="D88" i="71"/>
  <c r="D44" i="71"/>
  <c r="D45" i="71"/>
  <c r="D46" i="71"/>
  <c r="D47" i="71"/>
  <c r="D48" i="71"/>
  <c r="D140" i="71"/>
  <c r="D141" i="71"/>
  <c r="D142" i="71"/>
  <c r="D143" i="71"/>
  <c r="D144" i="71"/>
  <c r="D7" i="71"/>
  <c r="D8" i="71"/>
  <c r="D4" i="71"/>
  <c r="D5" i="71"/>
  <c r="D6" i="71"/>
  <c r="D132" i="71"/>
  <c r="D133" i="71"/>
  <c r="D134" i="71"/>
  <c r="D135" i="71"/>
  <c r="D136" i="71"/>
  <c r="D100" i="71"/>
  <c r="D101" i="71"/>
  <c r="D102" i="71"/>
  <c r="D103" i="71"/>
  <c r="D104" i="71"/>
  <c r="D156" i="71"/>
  <c r="D157" i="71"/>
  <c r="D158" i="71"/>
  <c r="D159" i="71"/>
  <c r="D160" i="71"/>
  <c r="D60" i="71"/>
  <c r="D61" i="71"/>
  <c r="D62" i="71"/>
  <c r="D63" i="71"/>
  <c r="D64" i="71"/>
  <c r="D52" i="71"/>
  <c r="D53" i="71"/>
  <c r="D54" i="71"/>
  <c r="D55" i="71"/>
  <c r="D56" i="71"/>
  <c r="D20" i="71"/>
  <c r="D21" i="71"/>
  <c r="D22" i="71"/>
  <c r="D23" i="71"/>
  <c r="D24" i="71"/>
  <c r="D124" i="71"/>
  <c r="D125" i="71"/>
  <c r="D126" i="71"/>
  <c r="D127" i="71"/>
  <c r="D128" i="71"/>
  <c r="D76" i="71"/>
  <c r="D77" i="71"/>
  <c r="D78" i="71"/>
  <c r="D79" i="71"/>
  <c r="D80" i="71"/>
  <c r="D92" i="71"/>
  <c r="D93" i="71"/>
  <c r="D94" i="71"/>
  <c r="D95" i="71"/>
  <c r="D96" i="71"/>
  <c r="D12" i="71"/>
  <c r="D13" i="71"/>
  <c r="D14" i="71"/>
  <c r="D15" i="71"/>
  <c r="D16" i="71"/>
  <c r="D36" i="71"/>
  <c r="D37" i="71"/>
  <c r="D38" i="71"/>
  <c r="D39" i="71"/>
  <c r="D40" i="71"/>
  <c r="D108" i="71"/>
  <c r="D109" i="71"/>
  <c r="D110" i="71"/>
  <c r="D111" i="71"/>
  <c r="D112" i="71"/>
  <c r="G619" i="2" a="1"/>
  <c r="U497" i="2"/>
  <c r="G547" i="2" a="1"/>
  <c r="J617" i="2"/>
  <c r="G523" i="2" a="1"/>
  <c r="N577" i="2"/>
  <c r="Y577" i="2"/>
  <c r="N529" i="2"/>
  <c r="R595" i="2" a="1"/>
  <c r="U545" i="2"/>
  <c r="Y601" i="2"/>
  <c r="U449" i="2"/>
  <c r="U593" i="2"/>
  <c r="U617" i="2"/>
  <c r="U569" i="2"/>
  <c r="J641" i="2"/>
  <c r="Y505" i="2"/>
  <c r="N505" i="2"/>
  <c r="J569" i="2"/>
  <c r="Y457" i="2"/>
  <c r="J449" i="2"/>
  <c r="G499" i="2" a="1"/>
  <c r="G643" i="2" a="1"/>
  <c r="J473" i="2"/>
  <c r="J593" i="2"/>
  <c r="Y553" i="2"/>
  <c r="U521" i="2"/>
  <c r="Y625" i="2"/>
  <c r="N481" i="2"/>
  <c r="Y649" i="2"/>
  <c r="Y481" i="2"/>
  <c r="N649" i="2"/>
  <c r="G475" i="2" a="1"/>
  <c r="R619" i="2" a="1"/>
  <c r="N457" i="2"/>
  <c r="R571" i="2" a="1"/>
  <c r="N553" i="2"/>
  <c r="N601" i="2"/>
  <c r="R451" i="2" a="1"/>
  <c r="J665" i="2"/>
  <c r="J497" i="2"/>
  <c r="J545" i="2"/>
  <c r="G595" i="2" a="1"/>
  <c r="G451" i="2" a="1"/>
  <c r="G667" i="2" a="1"/>
  <c r="R475" i="2" a="1"/>
  <c r="R499" i="2" a="1"/>
  <c r="Y673" i="2"/>
  <c r="R643" i="2" a="1"/>
  <c r="U641" i="2"/>
  <c r="N673" i="2"/>
  <c r="Y529" i="2"/>
  <c r="J521" i="2"/>
  <c r="G571" i="2" a="1"/>
  <c r="N625" i="2"/>
  <c r="R547" i="2" a="1"/>
  <c r="U665" i="2"/>
  <c r="R523" i="2" a="1"/>
  <c r="R667" i="2" a="1"/>
  <c r="U473" i="2"/>
  <c r="G501" i="2" l="1"/>
  <c r="G499" i="2"/>
  <c r="G500" i="2"/>
  <c r="G502" i="2"/>
  <c r="G503" i="2"/>
  <c r="J457" i="2"/>
  <c r="L457" i="2"/>
  <c r="K457" i="2"/>
  <c r="I457" i="2"/>
  <c r="M457" i="2"/>
  <c r="R621" i="2"/>
  <c r="R619" i="2"/>
  <c r="R620" i="2"/>
  <c r="R622" i="2"/>
  <c r="R623" i="2"/>
  <c r="R502" i="2"/>
  <c r="R503" i="2"/>
  <c r="R501" i="2"/>
  <c r="R499" i="2"/>
  <c r="R500" i="2"/>
  <c r="K505" i="2"/>
  <c r="M505" i="2"/>
  <c r="I505" i="2"/>
  <c r="L505" i="2"/>
  <c r="J505" i="2"/>
  <c r="U481" i="2"/>
  <c r="W481" i="2"/>
  <c r="V481" i="2"/>
  <c r="T481" i="2"/>
  <c r="X481" i="2"/>
  <c r="W649" i="2"/>
  <c r="V649" i="2"/>
  <c r="T649" i="2"/>
  <c r="U649" i="2"/>
  <c r="X649" i="2"/>
  <c r="R477" i="2"/>
  <c r="R475" i="2"/>
  <c r="R479" i="2"/>
  <c r="R476" i="2"/>
  <c r="R478" i="2"/>
  <c r="X625" i="2"/>
  <c r="W625" i="2"/>
  <c r="V625" i="2"/>
  <c r="U625" i="2"/>
  <c r="T625" i="2"/>
  <c r="R595" i="2"/>
  <c r="R596" i="2"/>
  <c r="R597" i="2"/>
  <c r="R598" i="2"/>
  <c r="R599" i="2"/>
  <c r="U577" i="2"/>
  <c r="X577" i="2"/>
  <c r="T577" i="2"/>
  <c r="W577" i="2"/>
  <c r="V577" i="2"/>
  <c r="G523" i="2"/>
  <c r="G524" i="2"/>
  <c r="G527" i="2"/>
  <c r="G525" i="2"/>
  <c r="G526" i="2"/>
  <c r="G548" i="2"/>
  <c r="G549" i="2"/>
  <c r="G550" i="2"/>
  <c r="G551" i="2"/>
  <c r="G547" i="2"/>
  <c r="W553" i="2"/>
  <c r="T553" i="2"/>
  <c r="X553" i="2"/>
  <c r="V553" i="2"/>
  <c r="U553" i="2"/>
  <c r="R451" i="2"/>
  <c r="R452" i="2"/>
  <c r="R453" i="2"/>
  <c r="R454" i="2"/>
  <c r="R455" i="2"/>
  <c r="M601" i="2"/>
  <c r="L601" i="2"/>
  <c r="K601" i="2"/>
  <c r="J601" i="2"/>
  <c r="I601" i="2"/>
  <c r="G643" i="2"/>
  <c r="G647" i="2"/>
  <c r="G644" i="2"/>
  <c r="G645" i="2"/>
  <c r="G646" i="2"/>
  <c r="L553" i="2"/>
  <c r="M553" i="2"/>
  <c r="K553" i="2"/>
  <c r="I553" i="2"/>
  <c r="J553" i="2"/>
  <c r="R571" i="2"/>
  <c r="R572" i="2"/>
  <c r="R573" i="2"/>
  <c r="R574" i="2"/>
  <c r="R575" i="2"/>
  <c r="G596" i="2"/>
  <c r="G599" i="2"/>
  <c r="G598" i="2"/>
  <c r="G595" i="2"/>
  <c r="G597" i="2"/>
  <c r="X457" i="2"/>
  <c r="W457" i="2"/>
  <c r="V457" i="2"/>
  <c r="U457" i="2"/>
  <c r="T457" i="2"/>
  <c r="G475" i="2"/>
  <c r="G476" i="2"/>
  <c r="G477" i="2"/>
  <c r="G478" i="2"/>
  <c r="G479" i="2"/>
  <c r="L649" i="2"/>
  <c r="I649" i="2"/>
  <c r="M649" i="2"/>
  <c r="K649" i="2"/>
  <c r="J649" i="2"/>
  <c r="W505" i="2"/>
  <c r="U505" i="2"/>
  <c r="T505" i="2"/>
  <c r="V505" i="2"/>
  <c r="X505" i="2"/>
  <c r="R548" i="2"/>
  <c r="R551" i="2"/>
  <c r="R547" i="2"/>
  <c r="R549" i="2"/>
  <c r="R550" i="2"/>
  <c r="G575" i="2"/>
  <c r="G571" i="2"/>
  <c r="G572" i="2"/>
  <c r="G573" i="2"/>
  <c r="G574" i="2"/>
  <c r="M481" i="2"/>
  <c r="J481" i="2"/>
  <c r="L481" i="2"/>
  <c r="K481" i="2"/>
  <c r="I481" i="2"/>
  <c r="X601" i="2"/>
  <c r="U601" i="2"/>
  <c r="W601" i="2"/>
  <c r="V601" i="2"/>
  <c r="T601" i="2"/>
  <c r="I529" i="2"/>
  <c r="M529" i="2"/>
  <c r="L529" i="2"/>
  <c r="K529" i="2"/>
  <c r="J529" i="2"/>
  <c r="J577" i="2"/>
  <c r="I577" i="2"/>
  <c r="M577" i="2"/>
  <c r="L577" i="2"/>
  <c r="K577" i="2"/>
  <c r="G619" i="2"/>
  <c r="G620" i="2"/>
  <c r="G622" i="2"/>
  <c r="G621" i="2"/>
  <c r="G623" i="2"/>
  <c r="R527" i="2"/>
  <c r="R523" i="2"/>
  <c r="R524" i="2"/>
  <c r="R525" i="2"/>
  <c r="R526" i="2"/>
  <c r="K625" i="2"/>
  <c r="I625" i="2"/>
  <c r="J625" i="2"/>
  <c r="M625" i="2"/>
  <c r="L625" i="2"/>
  <c r="G669" i="2"/>
  <c r="G667" i="2"/>
  <c r="G668" i="2"/>
  <c r="G670" i="2"/>
  <c r="G671" i="2"/>
  <c r="X529" i="2"/>
  <c r="W529" i="2"/>
  <c r="V529" i="2"/>
  <c r="U529" i="2"/>
  <c r="T529" i="2"/>
  <c r="M673" i="2"/>
  <c r="L673" i="2"/>
  <c r="K673" i="2"/>
  <c r="J673" i="2"/>
  <c r="I673" i="2"/>
  <c r="G452" i="2"/>
  <c r="G454" i="2"/>
  <c r="G455" i="2"/>
  <c r="G453" i="2"/>
  <c r="G451" i="2"/>
  <c r="R669" i="2"/>
  <c r="R668" i="2"/>
  <c r="R670" i="2"/>
  <c r="R671" i="2"/>
  <c r="R667" i="2"/>
  <c r="R645" i="2"/>
  <c r="R643" i="2"/>
  <c r="R644" i="2"/>
  <c r="R646" i="2"/>
  <c r="R647" i="2"/>
  <c r="W673" i="2"/>
  <c r="T673" i="2"/>
  <c r="X673" i="2"/>
  <c r="V673" i="2"/>
  <c r="U673" i="2"/>
</calcChain>
</file>

<file path=xl/sharedStrings.xml><?xml version="1.0" encoding="utf-8"?>
<sst xmlns="http://schemas.openxmlformats.org/spreadsheetml/2006/main" count="8037" uniqueCount="343">
  <si>
    <t>WEEK 1</t>
  </si>
  <si>
    <t>Raw</t>
  </si>
  <si>
    <t>Amount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</si>
  <si>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</si>
  <si>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</si>
  <si>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</si>
  <si>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</si>
  <si>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</si>
  <si>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</si>
  <si>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</si>
  <si>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</si>
  <si>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</si>
  <si>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</si>
  <si>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</si>
  <si>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</si>
  <si>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</si>
  <si>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</si>
  <si>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</si>
  <si>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</si>
  <si>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</si>
  <si>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</si>
  <si>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</si>
  <si>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</si>
  <si>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</si>
  <si>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8-Ball</t>
  </si>
  <si>
    <t>Get-a-Cue</t>
  </si>
  <si>
    <t>Team #1 Name: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</si>
  <si>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</si>
  <si>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</si>
  <si>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</si>
  <si>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</si>
  <si>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</si>
  <si>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</si>
  <si>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</si>
  <si>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</si>
  <si>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</si>
  <si>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</si>
  <si>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</si>
  <si>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</si>
  <si>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</si>
  <si>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</si>
  <si>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</si>
  <si>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</si>
  <si>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</si>
  <si>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</si>
  <si>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</si>
  <si>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</si>
  <si>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</si>
  <si>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</si>
  <si>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Total Average Information</t>
  </si>
  <si>
    <t>Score</t>
  </si>
  <si>
    <t>Totals</t>
  </si>
  <si>
    <t>Averages</t>
  </si>
  <si>
    <t xml:space="preserve">Team Total </t>
  </si>
  <si>
    <t>Team #2 Name:</t>
  </si>
  <si>
    <t>Team #3 Name:</t>
  </si>
  <si>
    <t>Team #4 Name:</t>
  </si>
  <si>
    <t>Team #5 Name:</t>
  </si>
  <si>
    <t>Team #6 Name:</t>
  </si>
  <si>
    <t>Team #7 Name:</t>
  </si>
  <si>
    <t>Team #8 Name:</t>
  </si>
  <si>
    <t>Team #9 Name:</t>
  </si>
  <si>
    <t>Team #10 Name:</t>
  </si>
  <si>
    <t>Team #11 Name:</t>
  </si>
  <si>
    <t>Team #12 Name:</t>
  </si>
  <si>
    <t>Team #13 Name:</t>
  </si>
  <si>
    <t>Team #14 Name:</t>
  </si>
  <si>
    <t>Team #15 Name:</t>
  </si>
  <si>
    <t>Team #16 Name:</t>
  </si>
  <si>
    <t>Team #17 Name:</t>
  </si>
  <si>
    <t>Team #18 Name:</t>
  </si>
  <si>
    <t>Team #19 Name:</t>
  </si>
  <si>
    <t>Team #20 Name:</t>
  </si>
  <si>
    <t>Team Name</t>
  </si>
  <si>
    <t>Player Name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</si>
  <si>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</si>
  <si>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</si>
  <si>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</si>
  <si>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</si>
  <si>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</si>
  <si>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</si>
  <si>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</si>
  <si>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</si>
  <si>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</si>
  <si>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</si>
  <si>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</si>
  <si>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</si>
  <si>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Wk 13</t>
  </si>
  <si>
    <t>Wk 14</t>
  </si>
  <si>
    <t>Wk 15</t>
  </si>
  <si>
    <t>Wk 16</t>
  </si>
  <si>
    <t>Wk 17</t>
  </si>
  <si>
    <t>Wk 18</t>
  </si>
  <si>
    <t>Wk 19</t>
  </si>
  <si>
    <t>Wk 20</t>
  </si>
  <si>
    <t>Wk 21</t>
  </si>
  <si>
    <t>Wk 22</t>
  </si>
  <si>
    <t>Total</t>
  </si>
  <si>
    <t xml:space="preserve">     Clicks League Setup Utility</t>
  </si>
  <si>
    <t>Location:</t>
  </si>
  <si>
    <t># of Teams:</t>
  </si>
  <si>
    <t># of Players per Team:</t>
  </si>
  <si>
    <t># of Subs per Team:</t>
  </si>
  <si>
    <t># of Weeks in League:</t>
  </si>
  <si>
    <t>Type of League:</t>
  </si>
  <si>
    <t>Name of League:</t>
  </si>
  <si>
    <t>One Time Set-Up Fee:</t>
  </si>
  <si>
    <t>Type of Handicap:</t>
  </si>
  <si>
    <t>Team Captain:</t>
  </si>
  <si>
    <t>Player 1 Name:</t>
  </si>
  <si>
    <t>Address:</t>
  </si>
  <si>
    <t>State, Zip:</t>
  </si>
  <si>
    <t>Phone:</t>
  </si>
  <si>
    <t>Mobile or Pager:</t>
  </si>
  <si>
    <t>Player 2 Name:</t>
  </si>
  <si>
    <t>Player 3 Name:</t>
  </si>
  <si>
    <t>Player 4 Name:</t>
  </si>
  <si>
    <t>Player 5 Name:</t>
  </si>
  <si>
    <t>Sub 1 Name:</t>
  </si>
  <si>
    <t>Sub 2 Name:</t>
  </si>
  <si>
    <t>Sub 3 Name:</t>
  </si>
  <si>
    <t>A</t>
  </si>
  <si>
    <t>H</t>
  </si>
  <si>
    <t>Week # :</t>
  </si>
  <si>
    <t>Home Team # :</t>
  </si>
  <si>
    <t># of</t>
  </si>
  <si>
    <t>Visiting Team # :</t>
  </si>
  <si>
    <t>$ Paid</t>
  </si>
  <si>
    <t>1</t>
  </si>
  <si>
    <t>2</t>
  </si>
  <si>
    <t>3</t>
  </si>
  <si>
    <t>4</t>
  </si>
  <si>
    <t>5</t>
  </si>
  <si>
    <t>Wins</t>
  </si>
  <si>
    <t>Sub Total</t>
  </si>
  <si>
    <t>Hdcp.</t>
  </si>
  <si>
    <t>Visiting</t>
  </si>
  <si>
    <t>Home</t>
  </si>
  <si>
    <t>Captain</t>
  </si>
  <si>
    <t>Paid</t>
  </si>
  <si>
    <t>Notes:</t>
  </si>
  <si>
    <t>Shaded area denotes player who has choice of break.  Home Captain keeps Score.  Visiting Captain initials for accuracy.</t>
  </si>
  <si>
    <t>Name:</t>
  </si>
  <si>
    <t>League Number:</t>
  </si>
  <si>
    <t>League:</t>
  </si>
  <si>
    <t>4 &amp; 5</t>
  </si>
  <si>
    <t>Match to be played on tables:</t>
  </si>
  <si>
    <t>4 Team Schedule</t>
  </si>
  <si>
    <t>13 &amp; 14</t>
  </si>
  <si>
    <t>6 &amp; 15</t>
  </si>
  <si>
    <t>Tables</t>
  </si>
  <si>
    <t>Home/Away</t>
  </si>
  <si>
    <t>Match 1</t>
  </si>
  <si>
    <t>TEAM1</t>
  </si>
  <si>
    <t>TEAM2</t>
  </si>
  <si>
    <t>TEAM3</t>
  </si>
  <si>
    <t>TEAM4</t>
  </si>
  <si>
    <t>TEAM5</t>
  </si>
  <si>
    <t>TEAM6</t>
  </si>
  <si>
    <t>TEAM7</t>
  </si>
  <si>
    <t>TEAM8</t>
  </si>
  <si>
    <t>TEAM9</t>
  </si>
  <si>
    <t>TEAM10</t>
  </si>
  <si>
    <t>TEAM11</t>
  </si>
  <si>
    <t>TEAM12</t>
  </si>
  <si>
    <t>TEAM13</t>
  </si>
  <si>
    <t>TEAM14</t>
  </si>
  <si>
    <t>TEAM15</t>
  </si>
  <si>
    <t>TEAM16</t>
  </si>
  <si>
    <t>TEAM17</t>
  </si>
  <si>
    <t>TEAM18</t>
  </si>
  <si>
    <t>TEAM19</t>
  </si>
  <si>
    <t>TEAM20</t>
  </si>
  <si>
    <t>3 &amp; 4</t>
  </si>
  <si>
    <t>12 &amp; 13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</si>
  <si>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</si>
  <si>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</si>
  <si>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</si>
  <si>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</si>
  <si>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</si>
  <si>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</si>
  <si>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</si>
  <si>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</si>
  <si>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</si>
  <si>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C</t>
  </si>
  <si>
    <t>D</t>
  </si>
  <si>
    <t>E</t>
  </si>
  <si>
    <t>F</t>
  </si>
  <si>
    <t>G</t>
  </si>
  <si>
    <t>Handicap</t>
  </si>
  <si>
    <t>Individual Stats Range</t>
  </si>
  <si>
    <t>(Unsorted)</t>
  </si>
  <si>
    <t>(Sorted)</t>
  </si>
  <si>
    <t>Individual Stats Value</t>
  </si>
  <si>
    <t>Team Stats Range</t>
  </si>
  <si>
    <t>Team Stats Value</t>
  </si>
  <si>
    <t>Rank</t>
  </si>
  <si>
    <t>Tucson</t>
  </si>
  <si>
    <t>League Money</t>
  </si>
  <si>
    <t>Reg. Fee</t>
  </si>
  <si>
    <t>Total:</t>
  </si>
  <si>
    <t>Due</t>
  </si>
  <si>
    <t>Unpaid</t>
  </si>
  <si>
    <t>Week:</t>
  </si>
  <si>
    <t>Team 1</t>
  </si>
  <si>
    <t>$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</si>
  <si>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</si>
  <si>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</si>
  <si>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</si>
  <si>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</si>
  <si>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</si>
  <si>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</si>
  <si>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</si>
  <si>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</si>
  <si>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</si>
  <si>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</si>
  <si>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</si>
  <si>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</si>
  <si>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</si>
  <si>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</si>
  <si>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</si>
  <si>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</si>
  <si>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</si>
  <si>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</si>
  <si>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</si>
  <si>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Click's League Menu</t>
  </si>
  <si>
    <t>Written by:  Dan Mills - January 2004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</si>
  <si>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</si>
  <si>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</si>
  <si>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</si>
  <si>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</si>
  <si>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</si>
  <si>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</si>
  <si>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</si>
  <si>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</si>
  <si>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</si>
  <si>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</si>
  <si>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</si>
  <si>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</si>
  <si>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</si>
  <si>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</si>
  <si>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</si>
  <si>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</si>
  <si>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Scotch Doubles</t>
  </si>
  <si>
    <t>9-Ball</t>
  </si>
  <si>
    <t>Darts</t>
  </si>
  <si>
    <t>Foosball</t>
  </si>
  <si>
    <t>Hard Hitters</t>
  </si>
  <si>
    <t>Wednesday Wizards</t>
  </si>
  <si>
    <t>Player</t>
  </si>
  <si>
    <t>Name</t>
  </si>
  <si>
    <t>2 &amp; 3</t>
  </si>
  <si>
    <t>11 &amp; 12</t>
  </si>
  <si>
    <t>6 Team Schedule</t>
  </si>
  <si>
    <t>8 Team Schedule</t>
  </si>
  <si>
    <t>10 Team Schedule</t>
  </si>
  <si>
    <t>Team</t>
  </si>
  <si>
    <t>Day of the Week:</t>
  </si>
  <si>
    <t>Monday</t>
  </si>
  <si>
    <t>Tuesday</t>
  </si>
  <si>
    <t>Wednesday</t>
  </si>
  <si>
    <t>Thursday</t>
  </si>
  <si>
    <t>Friday</t>
  </si>
  <si>
    <t>Saturday</t>
  </si>
  <si>
    <t>Sunday</t>
  </si>
  <si>
    <t>Package Choice</t>
  </si>
  <si>
    <t>3 &amp; 12</t>
  </si>
  <si>
    <t>Teams</t>
  </si>
  <si>
    <t>12 Team Schedule</t>
  </si>
  <si>
    <t>14 Team Schedule</t>
  </si>
  <si>
    <t>16 Team Schedule</t>
  </si>
  <si>
    <t>TBD1</t>
  </si>
  <si>
    <t>TBD2</t>
  </si>
  <si>
    <t>TBD3</t>
  </si>
  <si>
    <t>18 Team Schedule</t>
  </si>
  <si>
    <t>20 Team Schedule</t>
  </si>
  <si>
    <t>TBD4</t>
  </si>
  <si>
    <t>TBD5</t>
  </si>
  <si>
    <t>https://scheduler.leaguelobster.com/schedule/lite/2447020/new-league/new-season/</t>
  </si>
  <si>
    <t>12 team, 22 games, 22 rounds</t>
  </si>
  <si>
    <t>TBD</t>
  </si>
  <si>
    <t>SPAM FO LUNCH</t>
  </si>
  <si>
    <t>PIRATES OF THE TABLE</t>
  </si>
  <si>
    <t>BYE</t>
  </si>
  <si>
    <t>JASON</t>
  </si>
  <si>
    <t>TRAYE</t>
  </si>
  <si>
    <t>WC</t>
  </si>
  <si>
    <t>DON</t>
  </si>
  <si>
    <t>SAM</t>
  </si>
  <si>
    <t>VLADIMIR POOLIN</t>
  </si>
  <si>
    <t>LEIGH</t>
  </si>
  <si>
    <t>IAN</t>
  </si>
  <si>
    <t>ELI</t>
  </si>
  <si>
    <t>COLE</t>
  </si>
  <si>
    <t>JAMES</t>
  </si>
  <si>
    <t>RACK PACK</t>
  </si>
  <si>
    <t>BRENNEN</t>
  </si>
  <si>
    <t>NICK</t>
  </si>
  <si>
    <t>SCOTT</t>
  </si>
  <si>
    <t>TIM</t>
  </si>
  <si>
    <t>HOT WHEELS</t>
  </si>
  <si>
    <t>ERIC</t>
  </si>
  <si>
    <t>CARA</t>
  </si>
  <si>
    <t>DAN</t>
  </si>
  <si>
    <t>HABOOBS</t>
  </si>
  <si>
    <t>MIKE</t>
  </si>
  <si>
    <t>OLGA</t>
  </si>
  <si>
    <t>MIKE MO</t>
  </si>
  <si>
    <t>VICKIE</t>
  </si>
  <si>
    <t>FFFFF TO THE 1OTH POWER</t>
  </si>
  <si>
    <t>RICHARD</t>
  </si>
  <si>
    <t>JUSTIN</t>
  </si>
  <si>
    <t>DENNIS</t>
  </si>
  <si>
    <t>VE</t>
  </si>
  <si>
    <t>YOUNG BLOODS</t>
  </si>
  <si>
    <t>RICH</t>
  </si>
  <si>
    <t>VIC</t>
  </si>
  <si>
    <t>JIM</t>
  </si>
  <si>
    <t>PAM</t>
  </si>
  <si>
    <t>THE BOYS</t>
  </si>
  <si>
    <t>JOHN A</t>
  </si>
  <si>
    <t>ROGER</t>
  </si>
  <si>
    <t>JOHN B.</t>
  </si>
  <si>
    <t>THE DOUGERNAUTS</t>
  </si>
  <si>
    <t>MICHAEL</t>
  </si>
  <si>
    <t>DOUG</t>
  </si>
  <si>
    <t>SARAH</t>
  </si>
  <si>
    <t>KASH</t>
  </si>
  <si>
    <t>DARRIC</t>
  </si>
  <si>
    <t>CHRIS</t>
  </si>
  <si>
    <t>MIKE R.</t>
  </si>
  <si>
    <t>SERGEI</t>
  </si>
  <si>
    <t>JORDAN</t>
  </si>
  <si>
    <t>PABLO</t>
  </si>
  <si>
    <t>SABRINA</t>
  </si>
  <si>
    <t>LON</t>
  </si>
  <si>
    <t>SANDY</t>
  </si>
  <si>
    <t>BOBBY</t>
  </si>
  <si>
    <t>CRAZY TRAIN</t>
  </si>
  <si>
    <t>PATRICK</t>
  </si>
  <si>
    <t>BRANDY</t>
  </si>
  <si>
    <t>PJ</t>
  </si>
  <si>
    <t>GARY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</si>
</sst>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164" formatCode="0.00_)"/>
    <numFmt numFmtId="165" formatCode="[$-409]mmmm\ d\,\ yyyy;@"/>
    <numFmt numFmtId="166" formatCode="&quot;$&quot;#,##0.00"/>
    <numFmt numFmtId="167" formatCode="&quot;$&quot;#,##0"/>
  </numFmts>
  <fonts count="26">
    <font>
      <sz val="12"/>
      <name val="Arial MT"/>
    </font>
    <font>
      <sz val="12"/>
      <color indexed="12"/>
      <name val="Arial MT"/>
    </font>
    <font>
      <b/>
      <i/>
      <sz val="24"/>
      <name val="Arial MT"/>
    </font>
    <font>
      <b/>
      <sz val="10"/>
      <name val="Arial MT"/>
    </font>
    <font>
      <sz val="10"/>
      <name val="Arial MT"/>
    </font>
    <font>
      <b/>
      <sz val="14"/>
      <name val="Arial MT"/>
    </font>
    <font>
      <sz val="20"/>
      <name val="Arial MT"/>
    </font>
    <font>
      <sz val="18"/>
      <name val="Arial MT"/>
    </font>
    <font>
      <b/>
      <sz val="18"/>
      <name val="Arial MT"/>
    </font>
    <font>
      <b/>
      <sz val="12"/>
      <name val="Arial MT"/>
    </font>
    <font>
      <sz val="14"/>
      <name val="Arial MT"/>
    </font>
    <font>
      <sz val="24"/>
      <name val="Arial MT"/>
    </font>
    <font>
      <sz val="12"/>
      <color indexed="10"/>
      <name val="Arial MT"/>
    </font>
    <font>
      <sz val="12"/>
      <color indexed="14"/>
      <name val="Arial MT"/>
    </font>
    <font>
      <b/>
      <i/>
      <sz val="12"/>
      <name val="Arial MT"/>
    </font>
    <font>
      <sz val="8"/>
      <name val="Arial MT"/>
    </font>
    <font>
      <b/>
      <sz val="24"/>
      <name val="Arial MT"/>
    </font>
    <font>
      <sz val="10"/>
      <name val="Arial"/>
      <family val="2"/>
    </font>
    <font>
      <sz val="12"/>
      <name val="Arial"/>
      <family val="2"/>
    </font>
    <font>
      <sz val="12"/>
      <name val="Arial MT"/>
    </font>
    <font>
      <sz val="11"/>
      <name val="Arial MT"/>
    </font>
    <font>
      <b/>
      <sz val="16"/>
      <name val="Arial MT"/>
    </font>
    <font>
      <sz val="10"/>
      <color indexed="12"/>
      <name val="Arial MT"/>
    </font>
    <font>
      <sz val="8"/>
      <color rgb="FF000000"/>
      <name val="Tahoma"/>
      <family val="2"/>
    </font>
    <font>
      <sz val="12"/>
      <color rgb="FF000000"/>
      <name val="Arial MT"/>
    </font>
    <font>
      <u/>
      <sz val="12"/>
      <color theme="10"/>
      <name val="Arial MT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</fills>
  <borders count="8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double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double">
        <color indexed="8"/>
      </bottom>
      <diagonal/>
    </border>
    <border>
      <left/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double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double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double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double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/>
      <bottom style="double">
        <color indexed="8"/>
      </bottom>
      <diagonal/>
    </border>
    <border>
      <left style="thin">
        <color indexed="8"/>
      </left>
      <right/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/>
      <top style="thick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double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double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245">
    <xf numFmtId="0" fontId="0" fillId="0" borderId="0" xfId="0"/>
    <xf numFmtId="164" fontId="0" fillId="0" borderId="0" xfId="0" applyNumberFormat="1"/>
    <xf numFmtId="0" fontId="1" fillId="0" borderId="0" xfId="0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0" xfId="0" applyAlignment="1">
      <alignment horizontal="centerContinuous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/>
    <xf numFmtId="0" fontId="0" fillId="0" borderId="2" xfId="0" applyBorder="1"/>
    <xf numFmtId="0" fontId="3" fillId="0" borderId="5" xfId="0" applyFont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5" xfId="0" applyBorder="1"/>
    <xf numFmtId="164" fontId="0" fillId="0" borderId="9" xfId="0" applyNumberFormat="1" applyBorder="1"/>
    <xf numFmtId="0" fontId="0" fillId="0" borderId="16" xfId="0" applyBorder="1"/>
    <xf numFmtId="0" fontId="0" fillId="0" borderId="6" xfId="0" applyBorder="1"/>
    <xf numFmtId="0" fontId="0" fillId="0" borderId="12" xfId="0" applyBorder="1" applyAlignment="1">
      <alignment horizontal="right"/>
    </xf>
    <xf numFmtId="164" fontId="0" fillId="0" borderId="17" xfId="0" applyNumberFormat="1" applyBorder="1"/>
    <xf numFmtId="164" fontId="0" fillId="0" borderId="6" xfId="0" applyNumberFormat="1" applyBorder="1" applyAlignment="1">
      <alignment horizontal="center"/>
    </xf>
    <xf numFmtId="0" fontId="5" fillId="0" borderId="0" xfId="0" applyFont="1"/>
    <xf numFmtId="0" fontId="5" fillId="0" borderId="12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2" xfId="0" applyBorder="1"/>
    <xf numFmtId="7" fontId="0" fillId="0" borderId="12" xfId="0" applyNumberFormat="1" applyBorder="1"/>
    <xf numFmtId="0" fontId="9" fillId="0" borderId="12" xfId="0" applyFont="1" applyBorder="1" applyAlignment="1">
      <alignment horizontal="right"/>
    </xf>
    <xf numFmtId="7" fontId="9" fillId="0" borderId="12" xfId="0" applyNumberFormat="1" applyFont="1" applyBorder="1"/>
    <xf numFmtId="7" fontId="9" fillId="0" borderId="18" xfId="0" applyNumberFormat="1" applyFont="1" applyBorder="1"/>
    <xf numFmtId="0" fontId="11" fillId="0" borderId="0" xfId="0" applyFont="1"/>
    <xf numFmtId="0" fontId="1" fillId="0" borderId="12" xfId="0" applyFont="1" applyBorder="1" applyProtection="1">
      <protection locked="0"/>
    </xf>
    <xf numFmtId="7" fontId="1" fillId="0" borderId="12" xfId="0" applyNumberFormat="1" applyFont="1" applyBorder="1" applyProtection="1">
      <protection locked="0"/>
    </xf>
    <xf numFmtId="0" fontId="12" fillId="0" borderId="12" xfId="0" applyFont="1" applyBorder="1" applyProtection="1">
      <protection locked="0"/>
    </xf>
    <xf numFmtId="0" fontId="9" fillId="0" borderId="12" xfId="0" applyFont="1" applyBorder="1"/>
    <xf numFmtId="0" fontId="9" fillId="0" borderId="5" xfId="0" applyFont="1" applyBorder="1" applyAlignment="1">
      <alignment horizontal="right"/>
    </xf>
    <xf numFmtId="0" fontId="13" fillId="0" borderId="5" xfId="0" applyFont="1" applyBorder="1" applyProtection="1">
      <protection locked="0"/>
    </xf>
    <xf numFmtId="0" fontId="14" fillId="0" borderId="12" xfId="0" applyFont="1" applyBorder="1" applyAlignment="1">
      <alignment horizontal="right"/>
    </xf>
    <xf numFmtId="0" fontId="0" fillId="0" borderId="19" xfId="0" applyBorder="1"/>
    <xf numFmtId="0" fontId="8" fillId="0" borderId="0" xfId="0" applyFont="1"/>
    <xf numFmtId="0" fontId="0" fillId="0" borderId="20" xfId="0" applyBorder="1"/>
    <xf numFmtId="0" fontId="4" fillId="0" borderId="21" xfId="0" applyFont="1" applyBorder="1" applyAlignment="1">
      <alignment horizontal="center"/>
    </xf>
    <xf numFmtId="0" fontId="9" fillId="0" borderId="22" xfId="0" applyFont="1" applyBorder="1"/>
    <xf numFmtId="0" fontId="9" fillId="0" borderId="23" xfId="0" applyFont="1" applyBorder="1"/>
    <xf numFmtId="0" fontId="9" fillId="0" borderId="23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15" fillId="0" borderId="1" xfId="0" applyFont="1" applyBorder="1"/>
    <xf numFmtId="0" fontId="9" fillId="0" borderId="0" xfId="0" applyFont="1" applyAlignment="1">
      <alignment horizontal="right"/>
    </xf>
    <xf numFmtId="0" fontId="15" fillId="0" borderId="0" xfId="0" applyFont="1"/>
    <xf numFmtId="0" fontId="15" fillId="0" borderId="3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" fillId="0" borderId="24" xfId="0" applyFont="1" applyBorder="1" applyProtection="1">
      <protection locked="0"/>
    </xf>
    <xf numFmtId="7" fontId="0" fillId="0" borderId="26" xfId="0" applyNumberFormat="1" applyBorder="1"/>
    <xf numFmtId="0" fontId="0" fillId="0" borderId="0" xfId="0" quotePrefix="1"/>
    <xf numFmtId="0" fontId="1" fillId="0" borderId="12" xfId="0" applyFont="1" applyBorder="1" applyAlignment="1" applyProtection="1">
      <alignment horizontal="right"/>
      <protection locked="0"/>
    </xf>
    <xf numFmtId="0" fontId="1" fillId="0" borderId="12" xfId="0" quotePrefix="1" applyFont="1" applyBorder="1" applyAlignment="1" applyProtection="1">
      <alignment horizontal="right"/>
      <protection locked="0"/>
    </xf>
    <xf numFmtId="7" fontId="1" fillId="0" borderId="12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>
      <alignment horizontal="left"/>
    </xf>
    <xf numFmtId="164" fontId="0" fillId="0" borderId="1" xfId="0" applyNumberFormat="1" applyBorder="1"/>
    <xf numFmtId="164" fontId="0" fillId="0" borderId="26" xfId="0" applyNumberFormat="1" applyBorder="1"/>
    <xf numFmtId="0" fontId="0" fillId="0" borderId="28" xfId="0" applyBorder="1"/>
    <xf numFmtId="0" fontId="0" fillId="0" borderId="29" xfId="0" applyBorder="1"/>
    <xf numFmtId="0" fontId="4" fillId="0" borderId="30" xfId="0" applyFont="1" applyBorder="1"/>
    <xf numFmtId="0" fontId="17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17" fillId="2" borderId="0" xfId="0" applyFont="1" applyFill="1" applyAlignment="1">
      <alignment horizontal="center"/>
    </xf>
    <xf numFmtId="0" fontId="8" fillId="0" borderId="0" xfId="0" applyFont="1" applyAlignment="1">
      <alignment horizontal="right"/>
    </xf>
    <xf numFmtId="0" fontId="0" fillId="0" borderId="31" xfId="0" applyBorder="1"/>
    <xf numFmtId="0" fontId="15" fillId="0" borderId="1" xfId="0" applyFont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5" fillId="0" borderId="28" xfId="0" applyFont="1" applyBorder="1" applyAlignment="1">
      <alignment horizontal="left" vertical="top"/>
    </xf>
    <xf numFmtId="0" fontId="9" fillId="0" borderId="0" xfId="0" applyFont="1"/>
    <xf numFmtId="14" fontId="0" fillId="0" borderId="0" xfId="0" applyNumberFormat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9" fillId="0" borderId="36" xfId="0" applyFont="1" applyBorder="1"/>
    <xf numFmtId="0" fontId="12" fillId="0" borderId="0" xfId="0" applyFont="1"/>
    <xf numFmtId="0" fontId="4" fillId="0" borderId="0" xfId="0" applyFont="1"/>
    <xf numFmtId="0" fontId="4" fillId="2" borderId="0" xfId="0" applyFont="1" applyFill="1"/>
    <xf numFmtId="0" fontId="4" fillId="3" borderId="0" xfId="0" applyFont="1" applyFill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9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164" fontId="0" fillId="0" borderId="41" xfId="0" applyNumberFormat="1" applyBorder="1"/>
    <xf numFmtId="164" fontId="0" fillId="0" borderId="42" xfId="0" applyNumberFormat="1" applyBorder="1"/>
    <xf numFmtId="0" fontId="0" fillId="0" borderId="5" xfId="0" applyBorder="1" applyAlignment="1">
      <alignment horizontal="right"/>
    </xf>
    <xf numFmtId="164" fontId="0" fillId="0" borderId="5" xfId="0" applyNumberFormat="1" applyBorder="1"/>
    <xf numFmtId="0" fontId="1" fillId="0" borderId="1" xfId="0" applyFont="1" applyBorder="1" applyProtection="1">
      <protection locked="0"/>
    </xf>
    <xf numFmtId="7" fontId="1" fillId="0" borderId="1" xfId="0" applyNumberFormat="1" applyFont="1" applyBorder="1" applyProtection="1">
      <protection locked="0"/>
    </xf>
    <xf numFmtId="7" fontId="0" fillId="0" borderId="5" xfId="0" applyNumberFormat="1" applyBorder="1"/>
    <xf numFmtId="0" fontId="9" fillId="0" borderId="43" xfId="0" applyFont="1" applyBorder="1"/>
    <xf numFmtId="0" fontId="16" fillId="0" borderId="0" xfId="0" applyFont="1"/>
    <xf numFmtId="2" fontId="7" fillId="0" borderId="44" xfId="0" applyNumberFormat="1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5" xfId="0" applyFont="1" applyBorder="1"/>
    <xf numFmtId="0" fontId="0" fillId="0" borderId="5" xfId="0" applyBorder="1" applyAlignment="1">
      <alignment horizontal="center"/>
    </xf>
    <xf numFmtId="7" fontId="1" fillId="2" borderId="24" xfId="0" applyNumberFormat="1" applyFont="1" applyFill="1" applyBorder="1"/>
    <xf numFmtId="0" fontId="1" fillId="2" borderId="24" xfId="0" applyFont="1" applyFill="1" applyBorder="1"/>
    <xf numFmtId="7" fontId="1" fillId="2" borderId="45" xfId="0" applyNumberFormat="1" applyFont="1" applyFill="1" applyBorder="1"/>
    <xf numFmtId="0" fontId="1" fillId="2" borderId="45" xfId="0" applyFont="1" applyFill="1" applyBorder="1"/>
    <xf numFmtId="0" fontId="0" fillId="0" borderId="26" xfId="0" applyBorder="1" applyAlignment="1">
      <alignment horizontal="center"/>
    </xf>
    <xf numFmtId="0" fontId="0" fillId="0" borderId="26" xfId="0" applyBorder="1"/>
    <xf numFmtId="0" fontId="0" fillId="0" borderId="5" xfId="0" applyBorder="1"/>
    <xf numFmtId="164" fontId="0" fillId="2" borderId="14" xfId="0" applyNumberFormat="1" applyFill="1" applyBorder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0" borderId="15" xfId="0" applyBorder="1" applyAlignment="1">
      <alignment horizontal="left"/>
    </xf>
    <xf numFmtId="0" fontId="0" fillId="2" borderId="46" xfId="0" applyFill="1" applyBorder="1" applyAlignment="1">
      <alignment horizontal="centerContinuous"/>
    </xf>
    <xf numFmtId="0" fontId="0" fillId="2" borderId="47" xfId="0" applyFill="1" applyBorder="1" applyAlignment="1">
      <alignment horizontal="centerContinuous"/>
    </xf>
    <xf numFmtId="0" fontId="0" fillId="2" borderId="48" xfId="0" applyFill="1" applyBorder="1" applyAlignment="1">
      <alignment horizontal="centerContinuous"/>
    </xf>
    <xf numFmtId="0" fontId="0" fillId="2" borderId="49" xfId="0" applyFill="1" applyBorder="1" applyAlignment="1">
      <alignment horizontal="centerContinuous"/>
    </xf>
    <xf numFmtId="0" fontId="0" fillId="2" borderId="49" xfId="0" quotePrefix="1" applyFill="1" applyBorder="1" applyAlignment="1">
      <alignment horizontal="centerContinuous"/>
    </xf>
    <xf numFmtId="0" fontId="0" fillId="2" borderId="50" xfId="0" quotePrefix="1" applyFill="1" applyBorder="1" applyAlignment="1">
      <alignment horizontal="centerContinuous"/>
    </xf>
    <xf numFmtId="0" fontId="0" fillId="2" borderId="51" xfId="0" applyFill="1" applyBorder="1" applyAlignment="1">
      <alignment horizontal="centerContinuous"/>
    </xf>
    <xf numFmtId="0" fontId="9" fillId="0" borderId="52" xfId="0" applyFont="1" applyBorder="1"/>
    <xf numFmtId="0" fontId="0" fillId="0" borderId="53" xfId="0" applyBorder="1" applyAlignment="1">
      <alignment horizontal="right"/>
    </xf>
    <xf numFmtId="164" fontId="0" fillId="0" borderId="54" xfId="0" applyNumberFormat="1" applyBorder="1"/>
    <xf numFmtId="164" fontId="0" fillId="0" borderId="55" xfId="0" applyNumberFormat="1" applyBorder="1"/>
    <xf numFmtId="164" fontId="0" fillId="2" borderId="56" xfId="0" applyNumberFormat="1" applyFill="1" applyBorder="1"/>
    <xf numFmtId="164" fontId="0" fillId="0" borderId="57" xfId="0" applyNumberFormat="1" applyBorder="1"/>
    <xf numFmtId="0" fontId="0" fillId="0" borderId="3" xfId="0" applyBorder="1"/>
    <xf numFmtId="0" fontId="19" fillId="0" borderId="0" xfId="0" applyFont="1"/>
    <xf numFmtId="0" fontId="11" fillId="0" borderId="0" xfId="0" applyFont="1" applyAlignment="1">
      <alignment horizontal="centerContinuous"/>
    </xf>
    <xf numFmtId="0" fontId="6" fillId="0" borderId="58" xfId="0" applyFont="1" applyBorder="1" applyAlignment="1">
      <alignment horizontal="center"/>
    </xf>
    <xf numFmtId="0" fontId="7" fillId="0" borderId="59" xfId="0" applyFont="1" applyBorder="1" applyAlignment="1">
      <alignment horizontal="center"/>
    </xf>
    <xf numFmtId="0" fontId="7" fillId="0" borderId="60" xfId="0" applyFont="1" applyBorder="1" applyAlignment="1">
      <alignment horizontal="center"/>
    </xf>
    <xf numFmtId="2" fontId="7" fillId="0" borderId="61" xfId="0" applyNumberFormat="1" applyFont="1" applyBorder="1" applyAlignment="1">
      <alignment horizontal="right"/>
    </xf>
    <xf numFmtId="0" fontId="7" fillId="0" borderId="62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2" fontId="7" fillId="0" borderId="64" xfId="0" applyNumberFormat="1" applyFont="1" applyBorder="1" applyAlignment="1">
      <alignment horizontal="right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9" fillId="0" borderId="0" xfId="0" applyFont="1" applyAlignment="1">
      <alignment horizontal="centerContinuous"/>
    </xf>
    <xf numFmtId="0" fontId="21" fillId="0" borderId="58" xfId="0" applyFont="1" applyBorder="1" applyAlignment="1">
      <alignment horizontal="center"/>
    </xf>
    <xf numFmtId="0" fontId="10" fillId="0" borderId="59" xfId="0" applyFont="1" applyBorder="1" applyAlignment="1">
      <alignment horizontal="center"/>
    </xf>
    <xf numFmtId="0" fontId="10" fillId="0" borderId="60" xfId="0" applyFont="1" applyBorder="1" applyAlignment="1">
      <alignment horizontal="center" shrinkToFit="1"/>
    </xf>
    <xf numFmtId="2" fontId="10" fillId="0" borderId="61" xfId="0" applyNumberFormat="1" applyFont="1" applyBorder="1" applyAlignment="1">
      <alignment horizontal="right"/>
    </xf>
    <xf numFmtId="0" fontId="10" fillId="0" borderId="62" xfId="0" applyFont="1" applyBorder="1" applyAlignment="1">
      <alignment horizontal="center"/>
    </xf>
    <xf numFmtId="0" fontId="10" fillId="0" borderId="63" xfId="0" applyFont="1" applyBorder="1" applyAlignment="1">
      <alignment horizontal="center" shrinkToFit="1"/>
    </xf>
    <xf numFmtId="2" fontId="10" fillId="0" borderId="64" xfId="0" applyNumberFormat="1" applyFont="1" applyBorder="1" applyAlignment="1">
      <alignment horizontal="right"/>
    </xf>
    <xf numFmtId="0" fontId="10" fillId="0" borderId="65" xfId="0" applyFont="1" applyBorder="1" applyAlignment="1">
      <alignment horizontal="center"/>
    </xf>
    <xf numFmtId="0" fontId="10" fillId="0" borderId="66" xfId="0" applyFont="1" applyBorder="1" applyAlignment="1">
      <alignment horizontal="center" shrinkToFit="1"/>
    </xf>
    <xf numFmtId="2" fontId="10" fillId="0" borderId="44" xfId="0" applyNumberFormat="1" applyFont="1" applyBorder="1" applyAlignment="1">
      <alignment horizontal="right"/>
    </xf>
    <xf numFmtId="0" fontId="0" fillId="0" borderId="67" xfId="0" applyBorder="1"/>
    <xf numFmtId="0" fontId="0" fillId="0" borderId="68" xfId="0" applyBorder="1"/>
    <xf numFmtId="0" fontId="0" fillId="0" borderId="8" xfId="0" applyBorder="1"/>
    <xf numFmtId="0" fontId="10" fillId="0" borderId="30" xfId="0" applyFont="1" applyBorder="1" applyAlignment="1">
      <alignment horizontal="center" shrinkToFit="1"/>
    </xf>
    <xf numFmtId="0" fontId="10" fillId="0" borderId="69" xfId="0" applyFont="1" applyBorder="1" applyAlignment="1">
      <alignment horizontal="center" shrinkToFit="1"/>
    </xf>
    <xf numFmtId="0" fontId="10" fillId="0" borderId="70" xfId="0" applyFont="1" applyBorder="1" applyAlignment="1">
      <alignment horizontal="center" shrinkToFit="1"/>
    </xf>
    <xf numFmtId="0" fontId="10" fillId="0" borderId="71" xfId="0" applyFont="1" applyBorder="1" applyAlignment="1">
      <alignment horizontal="center" shrinkToFit="1"/>
    </xf>
    <xf numFmtId="0" fontId="10" fillId="0" borderId="2" xfId="0" applyFont="1" applyBorder="1" applyAlignment="1">
      <alignment horizontal="center" shrinkToFit="1"/>
    </xf>
    <xf numFmtId="0" fontId="10" fillId="0" borderId="31" xfId="0" applyFont="1" applyBorder="1" applyAlignment="1">
      <alignment horizontal="center" shrinkToFit="1"/>
    </xf>
    <xf numFmtId="0" fontId="5" fillId="0" borderId="72" xfId="0" applyFont="1" applyBorder="1" applyAlignment="1">
      <alignment horizontal="right"/>
    </xf>
    <xf numFmtId="0" fontId="5" fillId="0" borderId="10" xfId="0" applyFont="1" applyBorder="1"/>
    <xf numFmtId="0" fontId="12" fillId="0" borderId="69" xfId="0" applyFont="1" applyBorder="1" applyProtection="1">
      <protection locked="0"/>
    </xf>
    <xf numFmtId="0" fontId="9" fillId="0" borderId="10" xfId="0" applyFont="1" applyBorder="1"/>
    <xf numFmtId="0" fontId="0" fillId="0" borderId="63" xfId="0" applyBorder="1" applyAlignment="1">
      <alignment horizontal="center"/>
    </xf>
    <xf numFmtId="0" fontId="14" fillId="0" borderId="73" xfId="0" applyFont="1" applyBorder="1" applyAlignment="1">
      <alignment horizontal="right"/>
    </xf>
    <xf numFmtId="0" fontId="14" fillId="0" borderId="69" xfId="0" applyFont="1" applyBorder="1" applyAlignment="1">
      <alignment horizontal="right"/>
    </xf>
    <xf numFmtId="0" fontId="9" fillId="0" borderId="0" xfId="0" applyFont="1" applyAlignment="1">
      <alignment horizontal="center" shrinkToFit="1"/>
    </xf>
    <xf numFmtId="0" fontId="5" fillId="0" borderId="12" xfId="0" applyFont="1" applyBorder="1" applyAlignment="1">
      <alignment horizontal="center" shrinkToFit="1"/>
    </xf>
    <xf numFmtId="0" fontId="0" fillId="0" borderId="0" xfId="0" applyAlignment="1">
      <alignment horizontal="center" shrinkToFit="1"/>
    </xf>
    <xf numFmtId="165" fontId="5" fillId="0" borderId="0" xfId="0" applyNumberFormat="1" applyFont="1" applyAlignment="1">
      <alignment horizontal="center"/>
    </xf>
    <xf numFmtId="7" fontId="9" fillId="0" borderId="74" xfId="0" applyNumberFormat="1" applyFont="1" applyBorder="1"/>
    <xf numFmtId="0" fontId="5" fillId="0" borderId="75" xfId="0" applyFont="1" applyBorder="1" applyAlignment="1">
      <alignment horizontal="center"/>
    </xf>
    <xf numFmtId="0" fontId="5" fillId="0" borderId="76" xfId="0" applyFont="1" applyBorder="1" applyAlignment="1">
      <alignment horizontal="center"/>
    </xf>
    <xf numFmtId="7" fontId="9" fillId="0" borderId="77" xfId="0" applyNumberFormat="1" applyFont="1" applyBorder="1"/>
    <xf numFmtId="7" fontId="9" fillId="0" borderId="68" xfId="0" applyNumberFormat="1" applyFont="1" applyBorder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/>
    </xf>
    <xf numFmtId="0" fontId="0" fillId="0" borderId="78" xfId="0" applyBorder="1" applyAlignment="1">
      <alignment horizontal="left"/>
    </xf>
    <xf numFmtId="166" fontId="0" fillId="0" borderId="0" xfId="0" applyNumberFormat="1" applyAlignment="1">
      <alignment horizontal="right"/>
    </xf>
    <xf numFmtId="1" fontId="0" fillId="0" borderId="0" xfId="0" applyNumberFormat="1"/>
    <xf numFmtId="1" fontId="0" fillId="2" borderId="47" xfId="0" applyNumberFormat="1" applyFill="1" applyBorder="1" applyAlignment="1">
      <alignment horizontal="centerContinuous"/>
    </xf>
    <xf numFmtId="1" fontId="0" fillId="2" borderId="50" xfId="0" quotePrefix="1" applyNumberFormat="1" applyFill="1" applyBorder="1" applyAlignment="1">
      <alignment horizontal="centerContinuous"/>
    </xf>
    <xf numFmtId="0" fontId="0" fillId="0" borderId="12" xfId="0" applyBorder="1" applyAlignment="1">
      <alignment horizontal="center" shrinkToFit="1"/>
    </xf>
    <xf numFmtId="0" fontId="9" fillId="0" borderId="12" xfId="0" applyFont="1" applyBorder="1" applyAlignment="1">
      <alignment horizontal="center" shrinkToFit="1"/>
    </xf>
    <xf numFmtId="0" fontId="0" fillId="5" borderId="0" xfId="0" applyFill="1"/>
    <xf numFmtId="0" fontId="6" fillId="5" borderId="0" xfId="0" applyFont="1" applyFill="1"/>
    <xf numFmtId="1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1" fontId="0" fillId="0" borderId="9" xfId="0" applyNumberFormat="1" applyBorder="1" applyProtection="1">
      <protection locked="0"/>
    </xf>
    <xf numFmtId="0" fontId="0" fillId="0" borderId="15" xfId="0" applyBorder="1" applyAlignment="1" applyProtection="1">
      <alignment horizontal="left"/>
      <protection locked="0"/>
    </xf>
    <xf numFmtId="1" fontId="0" fillId="0" borderId="79" xfId="0" applyNumberFormat="1" applyBorder="1" applyProtection="1">
      <protection locked="0"/>
    </xf>
    <xf numFmtId="0" fontId="0" fillId="0" borderId="80" xfId="0" applyBorder="1" applyAlignment="1" applyProtection="1">
      <alignment horizontal="left"/>
      <protection locked="0"/>
    </xf>
    <xf numFmtId="164" fontId="0" fillId="0" borderId="9" xfId="0" applyNumberFormat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9" fontId="0" fillId="0" borderId="0" xfId="0" applyNumberFormat="1"/>
    <xf numFmtId="0" fontId="15" fillId="6" borderId="1" xfId="0" applyFont="1" applyFill="1" applyBorder="1" applyAlignment="1">
      <alignment horizontal="left" vertical="top"/>
    </xf>
    <xf numFmtId="0" fontId="15" fillId="6" borderId="3" xfId="0" applyFont="1" applyFill="1" applyBorder="1" applyAlignment="1">
      <alignment horizontal="left" vertical="top"/>
    </xf>
    <xf numFmtId="0" fontId="15" fillId="6" borderId="1" xfId="0" applyFont="1" applyFill="1" applyBorder="1"/>
    <xf numFmtId="165" fontId="10" fillId="0" borderId="81" xfId="0" applyNumberFormat="1" applyFont="1" applyBorder="1" applyAlignment="1">
      <alignment horizontal="center"/>
    </xf>
    <xf numFmtId="0" fontId="10" fillId="0" borderId="81" xfId="0" applyFont="1" applyBorder="1" applyAlignment="1">
      <alignment horizontal="center"/>
    </xf>
    <xf numFmtId="0" fontId="10" fillId="0" borderId="81" xfId="0" applyFont="1" applyBorder="1" applyAlignment="1">
      <alignment horizontal="left"/>
    </xf>
    <xf numFmtId="0" fontId="10" fillId="0" borderId="81" xfId="0" applyFont="1" applyBorder="1"/>
    <xf numFmtId="165" fontId="10" fillId="0" borderId="78" xfId="0" applyNumberFormat="1" applyFont="1" applyBorder="1" applyAlignment="1">
      <alignment horizontal="center"/>
    </xf>
    <xf numFmtId="0" fontId="10" fillId="0" borderId="78" xfId="0" applyFont="1" applyBorder="1" applyAlignment="1">
      <alignment horizontal="center"/>
    </xf>
    <xf numFmtId="0" fontId="19" fillId="0" borderId="78" xfId="0" applyFont="1" applyBorder="1" applyAlignment="1">
      <alignment horizontal="left"/>
    </xf>
    <xf numFmtId="0" fontId="19" fillId="0" borderId="78" xfId="0" applyFont="1" applyBorder="1" applyAlignment="1">
      <alignment horizontal="right"/>
    </xf>
    <xf numFmtId="0" fontId="19" fillId="0" borderId="78" xfId="0" applyFont="1" applyBorder="1"/>
    <xf numFmtId="0" fontId="0" fillId="0" borderId="82" xfId="0" applyBorder="1"/>
    <xf numFmtId="0" fontId="0" fillId="7" borderId="0" xfId="0" applyFill="1"/>
    <xf numFmtId="7" fontId="0" fillId="0" borderId="0" xfId="0" applyNumberFormat="1"/>
    <xf numFmtId="0" fontId="3" fillId="0" borderId="0" xfId="0" applyFont="1" applyAlignment="1">
      <alignment horizontal="center"/>
    </xf>
    <xf numFmtId="167" fontId="22" fillId="0" borderId="0" xfId="0" applyNumberFormat="1" applyFont="1" applyAlignment="1" applyProtection="1">
      <alignment horizontal="center"/>
      <protection locked="0"/>
    </xf>
    <xf numFmtId="0" fontId="0" fillId="0" borderId="83" xfId="0" applyBorder="1" applyAlignment="1">
      <alignment horizontal="right"/>
    </xf>
    <xf numFmtId="0" fontId="1" fillId="0" borderId="83" xfId="0" applyFont="1" applyBorder="1" applyAlignment="1" applyProtection="1">
      <alignment horizontal="right"/>
      <protection locked="0"/>
    </xf>
    <xf numFmtId="0" fontId="0" fillId="0" borderId="82" xfId="0" applyBorder="1" applyProtection="1">
      <protection locked="0"/>
    </xf>
    <xf numFmtId="0" fontId="1" fillId="0" borderId="12" xfId="0" quotePrefix="1" applyFont="1" applyBorder="1" applyProtection="1">
      <protection locked="0"/>
    </xf>
    <xf numFmtId="0" fontId="4" fillId="0" borderId="0" xfId="0" quotePrefix="1" applyFon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25" fillId="0" borderId="0" xfId="1" quotePrefix="1" applyAlignment="1">
      <alignment horizontal="center"/>
    </xf>
    <xf numFmtId="0" fontId="25" fillId="0" borderId="0" xfId="1" applyAlignment="1">
      <alignment horizontal="center"/>
    </xf>
    <xf numFmtId="165" fontId="5" fillId="0" borderId="28" xfId="0" applyNumberFormat="1" applyFont="1" applyBorder="1" applyAlignment="1">
      <alignment horizontal="left" shrinkToFit="1"/>
    </xf>
    <xf numFmtId="165" fontId="5" fillId="0" borderId="72" xfId="0" applyNumberFormat="1" applyFont="1" applyBorder="1" applyAlignment="1">
      <alignment horizontal="left" shrinkToFit="1"/>
    </xf>
    <xf numFmtId="0" fontId="5" fillId="0" borderId="29" xfId="0" quotePrefix="1" applyFont="1" applyBorder="1" applyAlignment="1">
      <alignment horizontal="right"/>
    </xf>
    <xf numFmtId="0" fontId="5" fillId="0" borderId="72" xfId="0" applyFont="1" applyBorder="1" applyAlignment="1">
      <alignment horizontal="right"/>
    </xf>
    <xf numFmtId="0" fontId="9" fillId="0" borderId="20" xfId="0" applyFont="1" applyBorder="1" applyAlignment="1">
      <alignment horizontal="center" shrinkToFit="1"/>
    </xf>
    <xf numFmtId="0" fontId="9" fillId="0" borderId="36" xfId="0" applyFont="1" applyBorder="1" applyAlignment="1">
      <alignment horizontal="center" shrinkToFit="1"/>
    </xf>
    <xf numFmtId="0" fontId="17" fillId="0" borderId="0" xfId="0" quotePrefix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 shrinkToFit="1"/>
    </xf>
    <xf numFmtId="1" fontId="0" fillId="0" borderId="0" xfId="0" applyNumberFormat="1" applyBorder="1" applyProtection="1">
      <protection locked="0"/>
    </xf>
    <xf numFmtId="0" fontId="0" fillId="0" borderId="0" xfId="0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C$18" lockText="1" noThreeD="1"/>
</file>

<file path=xl/ctrlProps/ctrlProp2.xml><?xml version="1.0" encoding="utf-8"?>
<formControlPr xmlns="http://schemas.microsoft.com/office/spreadsheetml/2009/9/main" objectType="CheckBox" fmlaLink="$C$23" lockText="1" noThreeD="1"/>
</file>

<file path=xl/ctrlProps/ctrlProp3.xml><?xml version="1.0" encoding="utf-8"?>
<formControlPr xmlns="http://schemas.microsoft.com/office/spreadsheetml/2009/9/main" objectType="CheckBox" fmlaLink="$C$28" lockText="1" noThreeD="1"/>
</file>

<file path=xl/ctrlProps/ctrlProp4.xml><?xml version="1.0" encoding="utf-8"?>
<formControlPr xmlns="http://schemas.microsoft.com/office/spreadsheetml/2009/9/main" objectType="CheckBox" fmlaLink="$C$33" lockText="1" noThreeD="1"/>
</file>

<file path=xl/ctrlProps/ctrlProp5.xml><?xml version="1.0" encoding="utf-8"?>
<formControlPr xmlns="http://schemas.microsoft.com/office/spreadsheetml/2009/9/main" objectType="CheckBox" fmlaLink="$C$38" lockText="1" noThreeD="1"/>
</file>

<file path=xl/ctrlProps/ctrlProp6.xml><?xml version="1.0" encoding="utf-8"?>
<formControlPr xmlns="http://schemas.microsoft.com/office/spreadsheetml/2009/9/main" objectType="CheckBox" fmlaLink="$C$61" lockText="1" noThreeD="1"/>
</file>

<file path=xl/ctrlProps/ctrlProp7.xml><?xml version="1.0" encoding="utf-8"?>
<formControlPr xmlns="http://schemas.microsoft.com/office/spreadsheetml/2009/9/main" objectType="CheckBox" fmlaLink="$C$66" lockText="1" noThreeD="1"/>
</file>

<file path=xl/ctrlProps/ctrlProp8.xml><?xml version="1.0" encoding="utf-8"?>
<formControlPr xmlns="http://schemas.microsoft.com/office/spreadsheetml/2009/9/main" objectType="CheckBox" fmlaLink="$C$71" lockText="1" noThreeD="1"/>
</file>

<file path=xl/ctrlProps/ctrlProp9.xml><?xml version="1.0" encoding="utf-8"?>
<formControlPr xmlns="http://schemas.microsoft.com/office/spreadsheetml/2009/9/main" objectType="CheckBox" fmlaLink="$C$76" lockText="1" noThreeD="1"/>
</file>

<file path=xl/ctrlProps/ctrlProp10.xml><?xml version="1.0" encoding="utf-8"?>
<formControlPr xmlns="http://schemas.microsoft.com/office/spreadsheetml/2009/9/main" objectType="CheckBox" fmlaLink="$C$81" lockText="1" noThreeD="1"/>
</file>

<file path=xl/ctrlProps/ctrlProp11.xml><?xml version="1.0" encoding="utf-8"?>
<formControlPr xmlns="http://schemas.microsoft.com/office/spreadsheetml/2009/9/main" objectType="CheckBox" fmlaLink="$C$104" lockText="1" noThreeD="1"/>
</file>

<file path=xl/ctrlProps/ctrlProp12.xml><?xml version="1.0" encoding="utf-8"?>
<formControlPr xmlns="http://schemas.microsoft.com/office/spreadsheetml/2009/9/main" objectType="CheckBox" fmlaLink="$C$109" lockText="1" noThreeD="1"/>
</file>

<file path=xl/ctrlProps/ctrlProp13.xml><?xml version="1.0" encoding="utf-8"?>
<formControlPr xmlns="http://schemas.microsoft.com/office/spreadsheetml/2009/9/main" objectType="CheckBox" fmlaLink="$C$114" lockText="1" noThreeD="1"/>
</file>

<file path=xl/ctrlProps/ctrlProp14.xml><?xml version="1.0" encoding="utf-8"?>
<formControlPr xmlns="http://schemas.microsoft.com/office/spreadsheetml/2009/9/main" objectType="CheckBox" fmlaLink="$C$119" lockText="1" noThreeD="1"/>
</file>

<file path=xl/ctrlProps/ctrlProp15.xml><?xml version="1.0" encoding="utf-8"?>
<formControlPr xmlns="http://schemas.microsoft.com/office/spreadsheetml/2009/9/main" objectType="CheckBox" fmlaLink="$C$124" lockText="1" noThreeD="1"/>
</file>

<file path=xl/ctrlProps/ctrlProp16.xml><?xml version="1.0" encoding="utf-8"?>
<formControlPr xmlns="http://schemas.microsoft.com/office/spreadsheetml/2009/9/main" objectType="CheckBox" fmlaLink="$C$147" lockText="1" noThreeD="1"/>
</file>

<file path=xl/ctrlProps/ctrlProp17.xml><?xml version="1.0" encoding="utf-8"?>
<formControlPr xmlns="http://schemas.microsoft.com/office/spreadsheetml/2009/9/main" objectType="CheckBox" checked="Checked" fmlaLink="$C$152" lockText="1" noThreeD="1"/>
</file>

<file path=xl/ctrlProps/ctrlProp18.xml><?xml version="1.0" encoding="utf-8"?>
<formControlPr xmlns="http://schemas.microsoft.com/office/spreadsheetml/2009/9/main" objectType="CheckBox" fmlaLink="$C$157" lockText="1" noThreeD="1"/>
</file>

<file path=xl/ctrlProps/ctrlProp19.xml><?xml version="1.0" encoding="utf-8"?>
<formControlPr xmlns="http://schemas.microsoft.com/office/spreadsheetml/2009/9/main" objectType="CheckBox" fmlaLink="$C$162" lockText="1" noThreeD="1"/>
</file>

<file path=xl/ctrlProps/ctrlProp20.xml><?xml version="1.0" encoding="utf-8"?>
<formControlPr xmlns="http://schemas.microsoft.com/office/spreadsheetml/2009/9/main" objectType="CheckBox" fmlaLink="$C$167" lockText="1" noThreeD="1"/>
</file>

<file path=xl/ctrlProps/ctrlProp21.xml><?xml version="1.0" encoding="utf-8"?>
<formControlPr xmlns="http://schemas.microsoft.com/office/spreadsheetml/2009/9/main" objectType="CheckBox" fmlaLink="$C$190" lockText="1" noThreeD="1"/>
</file>

<file path=xl/ctrlProps/ctrlProp22.xml><?xml version="1.0" encoding="utf-8"?>
<formControlPr xmlns="http://schemas.microsoft.com/office/spreadsheetml/2009/9/main" objectType="CheckBox" fmlaLink="$C$195" lockText="1" noThreeD="1"/>
</file>

<file path=xl/ctrlProps/ctrlProp23.xml><?xml version="1.0" encoding="utf-8"?>
<formControlPr xmlns="http://schemas.microsoft.com/office/spreadsheetml/2009/9/main" objectType="CheckBox" fmlaLink="$C$200" lockText="1" noThreeD="1"/>
</file>

<file path=xl/ctrlProps/ctrlProp24.xml><?xml version="1.0" encoding="utf-8"?>
<formControlPr xmlns="http://schemas.microsoft.com/office/spreadsheetml/2009/9/main" objectType="CheckBox" fmlaLink="$C$205" lockText="1" noThreeD="1"/>
</file>

<file path=xl/ctrlProps/ctrlProp25.xml><?xml version="1.0" encoding="utf-8"?>
<formControlPr xmlns="http://schemas.microsoft.com/office/spreadsheetml/2009/9/main" objectType="CheckBox" fmlaLink="$C$210" lockText="1" noThreeD="1"/>
</file>

<file path=xl/ctrlProps/ctrlProp26.xml><?xml version="1.0" encoding="utf-8"?>
<formControlPr xmlns="http://schemas.microsoft.com/office/spreadsheetml/2009/9/main" objectType="CheckBox" fmlaLink="$C$233" lockText="1" noThreeD="1"/>
</file>

<file path=xl/ctrlProps/ctrlProp27.xml><?xml version="1.0" encoding="utf-8"?>
<formControlPr xmlns="http://schemas.microsoft.com/office/spreadsheetml/2009/9/main" objectType="CheckBox" fmlaLink="$C$238" lockText="1" noThreeD="1"/>
</file>

<file path=xl/ctrlProps/ctrlProp28.xml><?xml version="1.0" encoding="utf-8"?>
<formControlPr xmlns="http://schemas.microsoft.com/office/spreadsheetml/2009/9/main" objectType="CheckBox" fmlaLink="$C$243" lockText="1" noThreeD="1"/>
</file>

<file path=xl/ctrlProps/ctrlProp29.xml><?xml version="1.0" encoding="utf-8"?>
<formControlPr xmlns="http://schemas.microsoft.com/office/spreadsheetml/2009/9/main" objectType="CheckBox" fmlaLink="$C$248" lockText="1" noThreeD="1"/>
</file>

<file path=xl/ctrlProps/ctrlProp30.xml><?xml version="1.0" encoding="utf-8"?>
<formControlPr xmlns="http://schemas.microsoft.com/office/spreadsheetml/2009/9/main" objectType="CheckBox" fmlaLink="$C$253" lockText="1" noThreeD="1"/>
</file>

<file path=xl/ctrlProps/ctrlProp31.xml><?xml version="1.0" encoding="utf-8"?>
<formControlPr xmlns="http://schemas.microsoft.com/office/spreadsheetml/2009/9/main" objectType="CheckBox" fmlaLink="$C$276" lockText="1" noThreeD="1"/>
</file>

<file path=xl/ctrlProps/ctrlProp32.xml><?xml version="1.0" encoding="utf-8"?>
<formControlPr xmlns="http://schemas.microsoft.com/office/spreadsheetml/2009/9/main" objectType="CheckBox" fmlaLink="$C$281" lockText="1" noThreeD="1"/>
</file>

<file path=xl/ctrlProps/ctrlProp33.xml><?xml version="1.0" encoding="utf-8"?>
<formControlPr xmlns="http://schemas.microsoft.com/office/spreadsheetml/2009/9/main" objectType="CheckBox" fmlaLink="$C$286" lockText="1" noThreeD="1"/>
</file>

<file path=xl/ctrlProps/ctrlProp34.xml><?xml version="1.0" encoding="utf-8"?>
<formControlPr xmlns="http://schemas.microsoft.com/office/spreadsheetml/2009/9/main" objectType="CheckBox" fmlaLink="$C$291" lockText="1" noThreeD="1"/>
</file>

<file path=xl/ctrlProps/ctrlProp35.xml><?xml version="1.0" encoding="utf-8"?>
<formControlPr xmlns="http://schemas.microsoft.com/office/spreadsheetml/2009/9/main" objectType="CheckBox" fmlaLink="$C$296" lockText="1" noThreeD="1"/>
</file>

<file path=xl/ctrlProps/ctrlProp36.xml><?xml version="1.0" encoding="utf-8"?>
<formControlPr xmlns="http://schemas.microsoft.com/office/spreadsheetml/2009/9/main" objectType="CheckBox" fmlaLink="$C$319" lockText="1" noThreeD="1"/>
</file>

<file path=xl/ctrlProps/ctrlProp37.xml><?xml version="1.0" encoding="utf-8"?>
<formControlPr xmlns="http://schemas.microsoft.com/office/spreadsheetml/2009/9/main" objectType="CheckBox" fmlaLink="$C$324" lockText="1" noThreeD="1"/>
</file>

<file path=xl/ctrlProps/ctrlProp38.xml><?xml version="1.0" encoding="utf-8"?>
<formControlPr xmlns="http://schemas.microsoft.com/office/spreadsheetml/2009/9/main" objectType="CheckBox" fmlaLink="$C$329" lockText="1" noThreeD="1"/>
</file>

<file path=xl/ctrlProps/ctrlProp39.xml><?xml version="1.0" encoding="utf-8"?>
<formControlPr xmlns="http://schemas.microsoft.com/office/spreadsheetml/2009/9/main" objectType="CheckBox" fmlaLink="$C$334" lockText="1" noThreeD="1"/>
</file>

<file path=xl/ctrlProps/ctrlProp40.xml><?xml version="1.0" encoding="utf-8"?>
<formControlPr xmlns="http://schemas.microsoft.com/office/spreadsheetml/2009/9/main" objectType="CheckBox" fmlaLink="$C$339" lockText="1" noThreeD="1"/>
</file>

<file path=xl/ctrlProps/ctrlProp41.xml><?xml version="1.0" encoding="utf-8"?>
<formControlPr xmlns="http://schemas.microsoft.com/office/spreadsheetml/2009/9/main" objectType="CheckBox" fmlaLink="$C$362" lockText="1" noThreeD="1"/>
</file>

<file path=xl/ctrlProps/ctrlProp42.xml><?xml version="1.0" encoding="utf-8"?>
<formControlPr xmlns="http://schemas.microsoft.com/office/spreadsheetml/2009/9/main" objectType="CheckBox" fmlaLink="$C$367" lockText="1" noThreeD="1"/>
</file>

<file path=xl/ctrlProps/ctrlProp43.xml><?xml version="1.0" encoding="utf-8"?>
<formControlPr xmlns="http://schemas.microsoft.com/office/spreadsheetml/2009/9/main" objectType="CheckBox" fmlaLink="$C$372" lockText="1" noThreeD="1"/>
</file>

<file path=xl/ctrlProps/ctrlProp44.xml><?xml version="1.0" encoding="utf-8"?>
<formControlPr xmlns="http://schemas.microsoft.com/office/spreadsheetml/2009/9/main" objectType="CheckBox" fmlaLink="$C$377" lockText="1" noThreeD="1"/>
</file>

<file path=xl/ctrlProps/ctrlProp45.xml><?xml version="1.0" encoding="utf-8"?>
<formControlPr xmlns="http://schemas.microsoft.com/office/spreadsheetml/2009/9/main" objectType="CheckBox" fmlaLink="$C$382" lockText="1" noThreeD="1"/>
</file>

<file path=xl/ctrlProps/ctrlProp46.xml><?xml version="1.0" encoding="utf-8"?>
<formControlPr xmlns="http://schemas.microsoft.com/office/spreadsheetml/2009/9/main" objectType="CheckBox" fmlaLink="$C$405" lockText="1" noThreeD="1"/>
</file>

<file path=xl/ctrlProps/ctrlProp47.xml><?xml version="1.0" encoding="utf-8"?>
<formControlPr xmlns="http://schemas.microsoft.com/office/spreadsheetml/2009/9/main" objectType="CheckBox" fmlaLink="$C$410" lockText="1" noThreeD="1"/>
</file>

<file path=xl/ctrlProps/ctrlProp48.xml><?xml version="1.0" encoding="utf-8"?>
<formControlPr xmlns="http://schemas.microsoft.com/office/spreadsheetml/2009/9/main" objectType="CheckBox" fmlaLink="$C$415" lockText="1" noThreeD="1"/>
</file>

<file path=xl/ctrlProps/ctrlProp49.xml><?xml version="1.0" encoding="utf-8"?>
<formControlPr xmlns="http://schemas.microsoft.com/office/spreadsheetml/2009/9/main" objectType="CheckBox" fmlaLink="$C$420" lockText="1" noThreeD="1"/>
</file>

<file path=xl/ctrlProps/ctrlProp50.xml><?xml version="1.0" encoding="utf-8"?>
<formControlPr xmlns="http://schemas.microsoft.com/office/spreadsheetml/2009/9/main" objectType="CheckBox" fmlaLink="$C$425" lockText="1" noThreeD="1"/>
</file>

<file path=xl/ctrlProps/ctrlProp51.xml><?xml version="1.0" encoding="utf-8"?>
<formControlPr xmlns="http://schemas.microsoft.com/office/spreadsheetml/2009/9/main" objectType="CheckBox" fmlaLink="$F$18" lockText="1" noThreeD="1"/>
</file>

<file path=xl/ctrlProps/ctrlProp52.xml><?xml version="1.0" encoding="utf-8"?>
<formControlPr xmlns="http://schemas.microsoft.com/office/spreadsheetml/2009/9/main" objectType="CheckBox" fmlaLink="$F$23" lockText="1" noThreeD="1"/>
</file>

<file path=xl/ctrlProps/ctrlProp53.xml><?xml version="1.0" encoding="utf-8"?>
<formControlPr xmlns="http://schemas.microsoft.com/office/spreadsheetml/2009/9/main" objectType="CheckBox" fmlaLink="$F$28" lockText="1" noThreeD="1"/>
</file>

<file path=xl/ctrlProps/ctrlProp54.xml><?xml version="1.0" encoding="utf-8"?>
<formControlPr xmlns="http://schemas.microsoft.com/office/spreadsheetml/2009/9/main" objectType="CheckBox" fmlaLink="$F$33" lockText="1" noThreeD="1"/>
</file>

<file path=xl/ctrlProps/ctrlProp55.xml><?xml version="1.0" encoding="utf-8"?>
<formControlPr xmlns="http://schemas.microsoft.com/office/spreadsheetml/2009/9/main" objectType="CheckBox" fmlaLink="$F$38" lockText="1" noThreeD="1"/>
</file>

<file path=xl/ctrlProps/ctrlProp56.xml><?xml version="1.0" encoding="utf-8"?>
<formControlPr xmlns="http://schemas.microsoft.com/office/spreadsheetml/2009/9/main" objectType="CheckBox" fmlaLink="$F$61" lockText="1" noThreeD="1"/>
</file>

<file path=xl/ctrlProps/ctrlProp57.xml><?xml version="1.0" encoding="utf-8"?>
<formControlPr xmlns="http://schemas.microsoft.com/office/spreadsheetml/2009/9/main" objectType="CheckBox" fmlaLink="$F$66" lockText="1" noThreeD="1"/>
</file>

<file path=xl/ctrlProps/ctrlProp58.xml><?xml version="1.0" encoding="utf-8"?>
<formControlPr xmlns="http://schemas.microsoft.com/office/spreadsheetml/2009/9/main" objectType="CheckBox" fmlaLink="$F$71" lockText="1" noThreeD="1"/>
</file>

<file path=xl/ctrlProps/ctrlProp59.xml><?xml version="1.0" encoding="utf-8"?>
<formControlPr xmlns="http://schemas.microsoft.com/office/spreadsheetml/2009/9/main" objectType="CheckBox" fmlaLink="$F$76" lockText="1" noThreeD="1"/>
</file>

<file path=xl/ctrlProps/ctrlProp60.xml><?xml version="1.0" encoding="utf-8"?>
<formControlPr xmlns="http://schemas.microsoft.com/office/spreadsheetml/2009/9/main" objectType="CheckBox" fmlaLink="$F$81" lockText="1" noThreeD="1"/>
</file>

<file path=xl/ctrlProps/ctrlProp61.xml><?xml version="1.0" encoding="utf-8"?>
<formControlPr xmlns="http://schemas.microsoft.com/office/spreadsheetml/2009/9/main" objectType="CheckBox" fmlaLink="$F$104" lockText="1" noThreeD="1"/>
</file>

<file path=xl/ctrlProps/ctrlProp62.xml><?xml version="1.0" encoding="utf-8"?>
<formControlPr xmlns="http://schemas.microsoft.com/office/spreadsheetml/2009/9/main" objectType="CheckBox" fmlaLink="$F$109" lockText="1" noThreeD="1"/>
</file>

<file path=xl/ctrlProps/ctrlProp63.xml><?xml version="1.0" encoding="utf-8"?>
<formControlPr xmlns="http://schemas.microsoft.com/office/spreadsheetml/2009/9/main" objectType="CheckBox" fmlaLink="$F$114" lockText="1" noThreeD="1"/>
</file>

<file path=xl/ctrlProps/ctrlProp64.xml><?xml version="1.0" encoding="utf-8"?>
<formControlPr xmlns="http://schemas.microsoft.com/office/spreadsheetml/2009/9/main" objectType="CheckBox" fmlaLink="$F$119" lockText="1" noThreeD="1"/>
</file>

<file path=xl/ctrlProps/ctrlProp65.xml><?xml version="1.0" encoding="utf-8"?>
<formControlPr xmlns="http://schemas.microsoft.com/office/spreadsheetml/2009/9/main" objectType="CheckBox" fmlaLink="$F$124" lockText="1" noThreeD="1"/>
</file>

<file path=xl/ctrlProps/ctrlProp66.xml><?xml version="1.0" encoding="utf-8"?>
<formControlPr xmlns="http://schemas.microsoft.com/office/spreadsheetml/2009/9/main" objectType="CheckBox" fmlaLink="$F$147" lockText="1" noThreeD="1"/>
</file>

<file path=xl/ctrlProps/ctrlProp67.xml><?xml version="1.0" encoding="utf-8"?>
<formControlPr xmlns="http://schemas.microsoft.com/office/spreadsheetml/2009/9/main" objectType="CheckBox" fmlaLink="$F$152" lockText="1" noThreeD="1"/>
</file>

<file path=xl/ctrlProps/ctrlProp68.xml><?xml version="1.0" encoding="utf-8"?>
<formControlPr xmlns="http://schemas.microsoft.com/office/spreadsheetml/2009/9/main" objectType="CheckBox" fmlaLink="$F$157" lockText="1" noThreeD="1"/>
</file>

<file path=xl/ctrlProps/ctrlProp69.xml><?xml version="1.0" encoding="utf-8"?>
<formControlPr xmlns="http://schemas.microsoft.com/office/spreadsheetml/2009/9/main" objectType="CheckBox" fmlaLink="$F$162" lockText="1" noThreeD="1"/>
</file>

<file path=xl/ctrlProps/ctrlProp70.xml><?xml version="1.0" encoding="utf-8"?>
<formControlPr xmlns="http://schemas.microsoft.com/office/spreadsheetml/2009/9/main" objectType="CheckBox" fmlaLink="$F$167" lockText="1" noThreeD="1"/>
</file>

<file path=xl/ctrlProps/ctrlProp71.xml><?xml version="1.0" encoding="utf-8"?>
<formControlPr xmlns="http://schemas.microsoft.com/office/spreadsheetml/2009/9/main" objectType="CheckBox" fmlaLink="$F$190" lockText="1" noThreeD="1"/>
</file>

<file path=xl/ctrlProps/ctrlProp72.xml><?xml version="1.0" encoding="utf-8"?>
<formControlPr xmlns="http://schemas.microsoft.com/office/spreadsheetml/2009/9/main" objectType="CheckBox" fmlaLink="$F$195" lockText="1" noThreeD="1"/>
</file>

<file path=xl/ctrlProps/ctrlProp73.xml><?xml version="1.0" encoding="utf-8"?>
<formControlPr xmlns="http://schemas.microsoft.com/office/spreadsheetml/2009/9/main" objectType="CheckBox" fmlaLink="$F$200" lockText="1" noThreeD="1"/>
</file>

<file path=xl/ctrlProps/ctrlProp74.xml><?xml version="1.0" encoding="utf-8"?>
<formControlPr xmlns="http://schemas.microsoft.com/office/spreadsheetml/2009/9/main" objectType="CheckBox" fmlaLink="$F$205" lockText="1" noThreeD="1"/>
</file>

<file path=xl/ctrlProps/ctrlProp75.xml><?xml version="1.0" encoding="utf-8"?>
<formControlPr xmlns="http://schemas.microsoft.com/office/spreadsheetml/2009/9/main" objectType="CheckBox" fmlaLink="$F$210" lockText="1" noThreeD="1"/>
</file>

<file path=xl/ctrlProps/ctrlProp76.xml><?xml version="1.0" encoding="utf-8"?>
<formControlPr xmlns="http://schemas.microsoft.com/office/spreadsheetml/2009/9/main" objectType="CheckBox" fmlaLink="$F$233" lockText="1" noThreeD="1"/>
</file>

<file path=xl/ctrlProps/ctrlProp77.xml><?xml version="1.0" encoding="utf-8"?>
<formControlPr xmlns="http://schemas.microsoft.com/office/spreadsheetml/2009/9/main" objectType="CheckBox" fmlaLink="$F$238" lockText="1" noThreeD="1"/>
</file>

<file path=xl/ctrlProps/ctrlProp78.xml><?xml version="1.0" encoding="utf-8"?>
<formControlPr xmlns="http://schemas.microsoft.com/office/spreadsheetml/2009/9/main" objectType="CheckBox" fmlaLink="$F$243" lockText="1" noThreeD="1"/>
</file>

<file path=xl/ctrlProps/ctrlProp79.xml><?xml version="1.0" encoding="utf-8"?>
<formControlPr xmlns="http://schemas.microsoft.com/office/spreadsheetml/2009/9/main" objectType="CheckBox" fmlaLink="$F$248" lockText="1" noThreeD="1"/>
</file>

<file path=xl/ctrlProps/ctrlProp80.xml><?xml version="1.0" encoding="utf-8"?>
<formControlPr xmlns="http://schemas.microsoft.com/office/spreadsheetml/2009/9/main" objectType="CheckBox" fmlaLink="$F$253" lockText="1" noThreeD="1"/>
</file>

<file path=xl/ctrlProps/ctrlProp81.xml><?xml version="1.0" encoding="utf-8"?>
<formControlPr xmlns="http://schemas.microsoft.com/office/spreadsheetml/2009/9/main" objectType="CheckBox" fmlaLink="$F$276" lockText="1" noThreeD="1"/>
</file>

<file path=xl/ctrlProps/ctrlProp82.xml><?xml version="1.0" encoding="utf-8"?>
<formControlPr xmlns="http://schemas.microsoft.com/office/spreadsheetml/2009/9/main" objectType="CheckBox" fmlaLink="$F$281" lockText="1" noThreeD="1"/>
</file>

<file path=xl/ctrlProps/ctrlProp83.xml><?xml version="1.0" encoding="utf-8"?>
<formControlPr xmlns="http://schemas.microsoft.com/office/spreadsheetml/2009/9/main" objectType="CheckBox" fmlaLink="$F$286" lockText="1" noThreeD="1"/>
</file>

<file path=xl/ctrlProps/ctrlProp84.xml><?xml version="1.0" encoding="utf-8"?>
<formControlPr xmlns="http://schemas.microsoft.com/office/spreadsheetml/2009/9/main" objectType="CheckBox" fmlaLink="$F$291" lockText="1" noThreeD="1"/>
</file>

<file path=xl/ctrlProps/ctrlProp85.xml><?xml version="1.0" encoding="utf-8"?>
<formControlPr xmlns="http://schemas.microsoft.com/office/spreadsheetml/2009/9/main" objectType="CheckBox" fmlaLink="$F$296" lockText="1" noThreeD="1"/>
</file>

<file path=xl/ctrlProps/ctrlProp86.xml><?xml version="1.0" encoding="utf-8"?>
<formControlPr xmlns="http://schemas.microsoft.com/office/spreadsheetml/2009/9/main" objectType="CheckBox" fmlaLink="$F$319" lockText="1" noThreeD="1"/>
</file>

<file path=xl/ctrlProps/ctrlProp87.xml><?xml version="1.0" encoding="utf-8"?>
<formControlPr xmlns="http://schemas.microsoft.com/office/spreadsheetml/2009/9/main" objectType="CheckBox" fmlaLink="$F$324" lockText="1" noThreeD="1"/>
</file>

<file path=xl/ctrlProps/ctrlProp88.xml><?xml version="1.0" encoding="utf-8"?>
<formControlPr xmlns="http://schemas.microsoft.com/office/spreadsheetml/2009/9/main" objectType="CheckBox" fmlaLink="$F$329" lockText="1" noThreeD="1"/>
</file>

<file path=xl/ctrlProps/ctrlProp89.xml><?xml version="1.0" encoding="utf-8"?>
<formControlPr xmlns="http://schemas.microsoft.com/office/spreadsheetml/2009/9/main" objectType="CheckBox" fmlaLink="$F$334" lockText="1" noThreeD="1"/>
</file>

<file path=xl/ctrlProps/ctrlProp90.xml><?xml version="1.0" encoding="utf-8"?>
<formControlPr xmlns="http://schemas.microsoft.com/office/spreadsheetml/2009/9/main" objectType="CheckBox" fmlaLink="$F$339" lockText="1" noThreeD="1"/>
</file>

<file path=xl/ctrlProps/ctrlProp91.xml><?xml version="1.0" encoding="utf-8"?>
<formControlPr xmlns="http://schemas.microsoft.com/office/spreadsheetml/2009/9/main" objectType="CheckBox" fmlaLink="$F$362" lockText="1" noThreeD="1"/>
</file>

<file path=xl/ctrlProps/ctrlProp92.xml><?xml version="1.0" encoding="utf-8"?>
<formControlPr xmlns="http://schemas.microsoft.com/office/spreadsheetml/2009/9/main" objectType="CheckBox" fmlaLink="$F$367" lockText="1" noThreeD="1"/>
</file>

<file path=xl/ctrlProps/ctrlProp93.xml><?xml version="1.0" encoding="utf-8"?>
<formControlPr xmlns="http://schemas.microsoft.com/office/spreadsheetml/2009/9/main" objectType="CheckBox" fmlaLink="$F$372" lockText="1" noThreeD="1"/>
</file>

<file path=xl/ctrlProps/ctrlProp94.xml><?xml version="1.0" encoding="utf-8"?>
<formControlPr xmlns="http://schemas.microsoft.com/office/spreadsheetml/2009/9/main" objectType="CheckBox" fmlaLink="$F$377" lockText="1" noThreeD="1"/>
</file>

<file path=xl/ctrlProps/ctrlProp95.xml><?xml version="1.0" encoding="utf-8"?>
<formControlPr xmlns="http://schemas.microsoft.com/office/spreadsheetml/2009/9/main" objectType="CheckBox" fmlaLink="$F$382" lockText="1" noThreeD="1"/>
</file>

<file path=xl/ctrlProps/ctrlProp96.xml><?xml version="1.0" encoding="utf-8"?>
<formControlPr xmlns="http://schemas.microsoft.com/office/spreadsheetml/2009/9/main" objectType="CheckBox" fmlaLink="$F$405" lockText="1" noThreeD="1"/>
</file>

<file path=xl/ctrlProps/ctrlProp97.xml><?xml version="1.0" encoding="utf-8"?>
<formControlPr xmlns="http://schemas.microsoft.com/office/spreadsheetml/2009/9/main" objectType="CheckBox" fmlaLink="$F$410" lockText="1" noThreeD="1"/>
</file>

<file path=xl/ctrlProps/ctrlProp98.xml><?xml version="1.0" encoding="utf-8"?>
<formControlPr xmlns="http://schemas.microsoft.com/office/spreadsheetml/2009/9/main" objectType="CheckBox" fmlaLink="$F$415" lockText="1" noThreeD="1"/>
</file>

<file path=xl/ctrlProps/ctrlProp99.xml><?xml version="1.0" encoding="utf-8"?>
<formControlPr xmlns="http://schemas.microsoft.com/office/spreadsheetml/2009/9/main" objectType="CheckBox" fmlaLink="$F$420" lockText="1" noThreeD="1"/>
</file>

<file path=xl/ctrlProps/ctrlProp100.xml><?xml version="1.0" encoding="utf-8"?>
<formControlPr xmlns="http://schemas.microsoft.com/office/spreadsheetml/2009/9/main" objectType="CheckBox" fmlaLink="$F$425" lockText="1" noThreeD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Drop" dropStyle="combo" dx="26" fmlaLink="$L$13" fmlaRange="$L$14:$L$22" noThreeD="1" sel="5" val="0"/>
</file>

<file path=xl/ctrlProps/ctrlProp103.xml><?xml version="1.0" encoding="utf-8"?>
<formControlPr xmlns="http://schemas.microsoft.com/office/spreadsheetml/2009/9/main" objectType="Drop" dropStyle="combo" dx="26" fmlaLink="$M$13" fmlaRange="$M$14:$M$17" noThreeD="1" sel="4" val="0"/>
</file>

<file path=xl/ctrlProps/ctrlProp104.xml><?xml version="1.0" encoding="utf-8"?>
<formControlPr xmlns="http://schemas.microsoft.com/office/spreadsheetml/2009/9/main" objectType="Drop" dropStyle="combo" dx="26" fmlaLink="$N$13" fmlaRange="$N$14:$N$17" noThreeD="1" sel="4" val="0"/>
</file>

<file path=xl/ctrlProps/ctrlProp105.xml><?xml version="1.0" encoding="utf-8"?>
<formControlPr xmlns="http://schemas.microsoft.com/office/spreadsheetml/2009/9/main" objectType="Drop" dropStyle="combo" dx="26" fmlaLink="$O$13" fmlaRange="$O$14:$O$30" noThreeD="1" sel="17" val="9"/>
</file>

<file path=xl/ctrlProps/ctrlProp106.xml><?xml version="1.0" encoding="utf-8"?>
<formControlPr xmlns="http://schemas.microsoft.com/office/spreadsheetml/2009/9/main" objectType="Drop" dropStyle="combo" dx="26" fmlaLink="$Q$13" fmlaRange="$Q$14:$Q$18" noThreeD="1" sel="1" val="0"/>
</file>

<file path=xl/ctrlProps/ctrlProp107.xml><?xml version="1.0" encoding="utf-8"?>
<formControlPr xmlns="http://schemas.microsoft.com/office/spreadsheetml/2009/9/main" objectType="Drop" dropStyle="combo" dx="26" fmlaLink="$R$13" fmlaRange="$R$14:$R$16" noThreeD="1" sel="1" val="0"/>
</file>

<file path=xl/ctrlProps/ctrlProp108.xml><?xml version="1.0" encoding="utf-8"?>
<formControlPr xmlns="http://schemas.microsoft.com/office/spreadsheetml/2009/9/main" objectType="Drop" dropStyle="combo" dx="26" fmlaLink="$S$13" fmlaRange="$S$14:$S$34" noThreeD="1" sel="11" val="3"/>
</file>

<file path=xl/ctrlProps/ctrlProp109.xml><?xml version="1.0" encoding="utf-8"?>
<formControlPr xmlns="http://schemas.microsoft.com/office/spreadsheetml/2009/9/main" objectType="Drop" dropStyle="combo" dx="26" fmlaLink="$T$13" fmlaRange="$T$14:$T$21" noThreeD="1" sel="2" val="0"/>
</file>

<file path=xl/ctrlProps/ctrlProp110.xml><?xml version="1.0" encoding="utf-8"?>
<formControlPr xmlns="http://schemas.microsoft.com/office/spreadsheetml/2009/9/main" objectType="Drop" dropStyle="combo" dx="26" fmlaLink="$U$13" fmlaRange="$U$14:$U$20" noThreeD="1" sel="3" val="0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0</xdr:rowOff>
        </xdr:from>
        <xdr:to>
          <xdr:col>3</xdr:col>
          <xdr:colOff>0</xdr:colOff>
          <xdr:row>18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0</xdr:rowOff>
        </xdr:from>
        <xdr:to>
          <xdr:col>3</xdr:col>
          <xdr:colOff>0</xdr:colOff>
          <xdr:row>23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0</xdr:rowOff>
        </xdr:from>
        <xdr:to>
          <xdr:col>3</xdr:col>
          <xdr:colOff>0</xdr:colOff>
          <xdr:row>28</xdr:row>
          <xdr:rowOff>28575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0</xdr:rowOff>
        </xdr:from>
        <xdr:to>
          <xdr:col>3</xdr:col>
          <xdr:colOff>0</xdr:colOff>
          <xdr:row>33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0</xdr:rowOff>
        </xdr:from>
        <xdr:to>
          <xdr:col>3</xdr:col>
          <xdr:colOff>0</xdr:colOff>
          <xdr:row>38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60</xdr:row>
          <xdr:rowOff>0</xdr:rowOff>
        </xdr:from>
        <xdr:to>
          <xdr:col>3</xdr:col>
          <xdr:colOff>0</xdr:colOff>
          <xdr:row>61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65</xdr:row>
          <xdr:rowOff>0</xdr:rowOff>
        </xdr:from>
        <xdr:to>
          <xdr:col>3</xdr:col>
          <xdr:colOff>0</xdr:colOff>
          <xdr:row>66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70</xdr:row>
          <xdr:rowOff>0</xdr:rowOff>
        </xdr:from>
        <xdr:to>
          <xdr:col>3</xdr:col>
          <xdr:colOff>0</xdr:colOff>
          <xdr:row>71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75</xdr:row>
          <xdr:rowOff>0</xdr:rowOff>
        </xdr:from>
        <xdr:to>
          <xdr:col>3</xdr:col>
          <xdr:colOff>0</xdr:colOff>
          <xdr:row>76</xdr:row>
          <xdr:rowOff>28575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80</xdr:row>
          <xdr:rowOff>0</xdr:rowOff>
        </xdr:from>
        <xdr:to>
          <xdr:col>3</xdr:col>
          <xdr:colOff>0</xdr:colOff>
          <xdr:row>81</xdr:row>
          <xdr:rowOff>28575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103</xdr:row>
          <xdr:rowOff>0</xdr:rowOff>
        </xdr:from>
        <xdr:to>
          <xdr:col>3</xdr:col>
          <xdr:colOff>0</xdr:colOff>
          <xdr:row>104</xdr:row>
          <xdr:rowOff>28575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108</xdr:row>
          <xdr:rowOff>0</xdr:rowOff>
        </xdr:from>
        <xdr:to>
          <xdr:col>3</xdr:col>
          <xdr:colOff>0</xdr:colOff>
          <xdr:row>109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113</xdr:row>
          <xdr:rowOff>0</xdr:rowOff>
        </xdr:from>
        <xdr:to>
          <xdr:col>3</xdr:col>
          <xdr:colOff>0</xdr:colOff>
          <xdr:row>114</xdr:row>
          <xdr:rowOff>28575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118</xdr:row>
          <xdr:rowOff>0</xdr:rowOff>
        </xdr:from>
        <xdr:to>
          <xdr:col>3</xdr:col>
          <xdr:colOff>0</xdr:colOff>
          <xdr:row>119</xdr:row>
          <xdr:rowOff>28575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123</xdr:row>
          <xdr:rowOff>0</xdr:rowOff>
        </xdr:from>
        <xdr:to>
          <xdr:col>3</xdr:col>
          <xdr:colOff>0</xdr:colOff>
          <xdr:row>124</xdr:row>
          <xdr:rowOff>28575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146</xdr:row>
          <xdr:rowOff>0</xdr:rowOff>
        </xdr:from>
        <xdr:to>
          <xdr:col>3</xdr:col>
          <xdr:colOff>0</xdr:colOff>
          <xdr:row>147</xdr:row>
          <xdr:rowOff>28575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151</xdr:row>
          <xdr:rowOff>0</xdr:rowOff>
        </xdr:from>
        <xdr:to>
          <xdr:col>3</xdr:col>
          <xdr:colOff>0</xdr:colOff>
          <xdr:row>152</xdr:row>
          <xdr:rowOff>28575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156</xdr:row>
          <xdr:rowOff>0</xdr:rowOff>
        </xdr:from>
        <xdr:to>
          <xdr:col>3</xdr:col>
          <xdr:colOff>0</xdr:colOff>
          <xdr:row>157</xdr:row>
          <xdr:rowOff>28575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161</xdr:row>
          <xdr:rowOff>0</xdr:rowOff>
        </xdr:from>
        <xdr:to>
          <xdr:col>3</xdr:col>
          <xdr:colOff>0</xdr:colOff>
          <xdr:row>162</xdr:row>
          <xdr:rowOff>28575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166</xdr:row>
          <xdr:rowOff>0</xdr:rowOff>
        </xdr:from>
        <xdr:to>
          <xdr:col>3</xdr:col>
          <xdr:colOff>0</xdr:colOff>
          <xdr:row>167</xdr:row>
          <xdr:rowOff>28575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189</xdr:row>
          <xdr:rowOff>0</xdr:rowOff>
        </xdr:from>
        <xdr:to>
          <xdr:col>3</xdr:col>
          <xdr:colOff>0</xdr:colOff>
          <xdr:row>190</xdr:row>
          <xdr:rowOff>28575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194</xdr:row>
          <xdr:rowOff>0</xdr:rowOff>
        </xdr:from>
        <xdr:to>
          <xdr:col>3</xdr:col>
          <xdr:colOff>0</xdr:colOff>
          <xdr:row>195</xdr:row>
          <xdr:rowOff>28575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199</xdr:row>
          <xdr:rowOff>0</xdr:rowOff>
        </xdr:from>
        <xdr:to>
          <xdr:col>3</xdr:col>
          <xdr:colOff>0</xdr:colOff>
          <xdr:row>200</xdr:row>
          <xdr:rowOff>28575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204</xdr:row>
          <xdr:rowOff>0</xdr:rowOff>
        </xdr:from>
        <xdr:to>
          <xdr:col>3</xdr:col>
          <xdr:colOff>0</xdr:colOff>
          <xdr:row>205</xdr:row>
          <xdr:rowOff>28575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209</xdr:row>
          <xdr:rowOff>0</xdr:rowOff>
        </xdr:from>
        <xdr:to>
          <xdr:col>3</xdr:col>
          <xdr:colOff>0</xdr:colOff>
          <xdr:row>210</xdr:row>
          <xdr:rowOff>28575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232</xdr:row>
          <xdr:rowOff>0</xdr:rowOff>
        </xdr:from>
        <xdr:to>
          <xdr:col>3</xdr:col>
          <xdr:colOff>0</xdr:colOff>
          <xdr:row>233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237</xdr:row>
          <xdr:rowOff>0</xdr:rowOff>
        </xdr:from>
        <xdr:to>
          <xdr:col>3</xdr:col>
          <xdr:colOff>0</xdr:colOff>
          <xdr:row>238</xdr:row>
          <xdr:rowOff>28575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242</xdr:row>
          <xdr:rowOff>0</xdr:rowOff>
        </xdr:from>
        <xdr:to>
          <xdr:col>3</xdr:col>
          <xdr:colOff>0</xdr:colOff>
          <xdr:row>243</xdr:row>
          <xdr:rowOff>28575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247</xdr:row>
          <xdr:rowOff>0</xdr:rowOff>
        </xdr:from>
        <xdr:to>
          <xdr:col>3</xdr:col>
          <xdr:colOff>0</xdr:colOff>
          <xdr:row>248</xdr:row>
          <xdr:rowOff>28575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252</xdr:row>
          <xdr:rowOff>0</xdr:rowOff>
        </xdr:from>
        <xdr:to>
          <xdr:col>3</xdr:col>
          <xdr:colOff>0</xdr:colOff>
          <xdr:row>253</xdr:row>
          <xdr:rowOff>28575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275</xdr:row>
          <xdr:rowOff>0</xdr:rowOff>
        </xdr:from>
        <xdr:to>
          <xdr:col>3</xdr:col>
          <xdr:colOff>0</xdr:colOff>
          <xdr:row>276</xdr:row>
          <xdr:rowOff>28575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280</xdr:row>
          <xdr:rowOff>0</xdr:rowOff>
        </xdr:from>
        <xdr:to>
          <xdr:col>3</xdr:col>
          <xdr:colOff>0</xdr:colOff>
          <xdr:row>281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285</xdr:row>
          <xdr:rowOff>0</xdr:rowOff>
        </xdr:from>
        <xdr:to>
          <xdr:col>3</xdr:col>
          <xdr:colOff>0</xdr:colOff>
          <xdr:row>286</xdr:row>
          <xdr:rowOff>28575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290</xdr:row>
          <xdr:rowOff>0</xdr:rowOff>
        </xdr:from>
        <xdr:to>
          <xdr:col>3</xdr:col>
          <xdr:colOff>0</xdr:colOff>
          <xdr:row>291</xdr:row>
          <xdr:rowOff>28575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295</xdr:row>
          <xdr:rowOff>0</xdr:rowOff>
        </xdr:from>
        <xdr:to>
          <xdr:col>3</xdr:col>
          <xdr:colOff>0</xdr:colOff>
          <xdr:row>296</xdr:row>
          <xdr:rowOff>28575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318</xdr:row>
          <xdr:rowOff>0</xdr:rowOff>
        </xdr:from>
        <xdr:to>
          <xdr:col>3</xdr:col>
          <xdr:colOff>0</xdr:colOff>
          <xdr:row>319</xdr:row>
          <xdr:rowOff>28575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323</xdr:row>
          <xdr:rowOff>0</xdr:rowOff>
        </xdr:from>
        <xdr:to>
          <xdr:col>3</xdr:col>
          <xdr:colOff>0</xdr:colOff>
          <xdr:row>324</xdr:row>
          <xdr:rowOff>28575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328</xdr:row>
          <xdr:rowOff>0</xdr:rowOff>
        </xdr:from>
        <xdr:to>
          <xdr:col>3</xdr:col>
          <xdr:colOff>0</xdr:colOff>
          <xdr:row>329</xdr:row>
          <xdr:rowOff>28575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333</xdr:row>
          <xdr:rowOff>0</xdr:rowOff>
        </xdr:from>
        <xdr:to>
          <xdr:col>3</xdr:col>
          <xdr:colOff>0</xdr:colOff>
          <xdr:row>334</xdr:row>
          <xdr:rowOff>28575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338</xdr:row>
          <xdr:rowOff>0</xdr:rowOff>
        </xdr:from>
        <xdr:to>
          <xdr:col>3</xdr:col>
          <xdr:colOff>0</xdr:colOff>
          <xdr:row>339</xdr:row>
          <xdr:rowOff>28575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361</xdr:row>
          <xdr:rowOff>0</xdr:rowOff>
        </xdr:from>
        <xdr:to>
          <xdr:col>3</xdr:col>
          <xdr:colOff>0</xdr:colOff>
          <xdr:row>362</xdr:row>
          <xdr:rowOff>28575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366</xdr:row>
          <xdr:rowOff>0</xdr:rowOff>
        </xdr:from>
        <xdr:to>
          <xdr:col>3</xdr:col>
          <xdr:colOff>0</xdr:colOff>
          <xdr:row>367</xdr:row>
          <xdr:rowOff>28575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371</xdr:row>
          <xdr:rowOff>0</xdr:rowOff>
        </xdr:from>
        <xdr:to>
          <xdr:col>3</xdr:col>
          <xdr:colOff>0</xdr:colOff>
          <xdr:row>372</xdr:row>
          <xdr:rowOff>28575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376</xdr:row>
          <xdr:rowOff>0</xdr:rowOff>
        </xdr:from>
        <xdr:to>
          <xdr:col>3</xdr:col>
          <xdr:colOff>0</xdr:colOff>
          <xdr:row>377</xdr:row>
          <xdr:rowOff>28575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381</xdr:row>
          <xdr:rowOff>0</xdr:rowOff>
        </xdr:from>
        <xdr:to>
          <xdr:col>3</xdr:col>
          <xdr:colOff>0</xdr:colOff>
          <xdr:row>382</xdr:row>
          <xdr:rowOff>28575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404</xdr:row>
          <xdr:rowOff>0</xdr:rowOff>
        </xdr:from>
        <xdr:to>
          <xdr:col>3</xdr:col>
          <xdr:colOff>0</xdr:colOff>
          <xdr:row>405</xdr:row>
          <xdr:rowOff>28575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409</xdr:row>
          <xdr:rowOff>0</xdr:rowOff>
        </xdr:from>
        <xdr:to>
          <xdr:col>3</xdr:col>
          <xdr:colOff>0</xdr:colOff>
          <xdr:row>410</xdr:row>
          <xdr:rowOff>28575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414</xdr:row>
          <xdr:rowOff>0</xdr:rowOff>
        </xdr:from>
        <xdr:to>
          <xdr:col>3</xdr:col>
          <xdr:colOff>0</xdr:colOff>
          <xdr:row>415</xdr:row>
          <xdr:rowOff>28575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419</xdr:row>
          <xdr:rowOff>0</xdr:rowOff>
        </xdr:from>
        <xdr:to>
          <xdr:col>3</xdr:col>
          <xdr:colOff>0</xdr:colOff>
          <xdr:row>420</xdr:row>
          <xdr:rowOff>28575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424</xdr:row>
          <xdr:rowOff>0</xdr:rowOff>
        </xdr:from>
        <xdr:to>
          <xdr:col>3</xdr:col>
          <xdr:colOff>0</xdr:colOff>
          <xdr:row>425</xdr:row>
          <xdr:rowOff>28575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6</xdr:col>
          <xdr:colOff>0</xdr:colOff>
          <xdr:row>18</xdr:row>
          <xdr:rowOff>28575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22</xdr:row>
          <xdr:rowOff>0</xdr:rowOff>
        </xdr:from>
        <xdr:to>
          <xdr:col>6</xdr:col>
          <xdr:colOff>0</xdr:colOff>
          <xdr:row>23</xdr:row>
          <xdr:rowOff>28575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</xdr:row>
          <xdr:rowOff>0</xdr:rowOff>
        </xdr:from>
        <xdr:to>
          <xdr:col>6</xdr:col>
          <xdr:colOff>0</xdr:colOff>
          <xdr:row>28</xdr:row>
          <xdr:rowOff>28575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0</xdr:rowOff>
        </xdr:from>
        <xdr:to>
          <xdr:col>6</xdr:col>
          <xdr:colOff>0</xdr:colOff>
          <xdr:row>33</xdr:row>
          <xdr:rowOff>28575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37</xdr:row>
          <xdr:rowOff>0</xdr:rowOff>
        </xdr:from>
        <xdr:to>
          <xdr:col>6</xdr:col>
          <xdr:colOff>0</xdr:colOff>
          <xdr:row>38</xdr:row>
          <xdr:rowOff>28575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60</xdr:row>
          <xdr:rowOff>0</xdr:rowOff>
        </xdr:from>
        <xdr:to>
          <xdr:col>6</xdr:col>
          <xdr:colOff>0</xdr:colOff>
          <xdr:row>61</xdr:row>
          <xdr:rowOff>28575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65</xdr:row>
          <xdr:rowOff>0</xdr:rowOff>
        </xdr:from>
        <xdr:to>
          <xdr:col>6</xdr:col>
          <xdr:colOff>0</xdr:colOff>
          <xdr:row>66</xdr:row>
          <xdr:rowOff>28575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70</xdr:row>
          <xdr:rowOff>0</xdr:rowOff>
        </xdr:from>
        <xdr:to>
          <xdr:col>6</xdr:col>
          <xdr:colOff>0</xdr:colOff>
          <xdr:row>71</xdr:row>
          <xdr:rowOff>28575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75</xdr:row>
          <xdr:rowOff>0</xdr:rowOff>
        </xdr:from>
        <xdr:to>
          <xdr:col>6</xdr:col>
          <xdr:colOff>0</xdr:colOff>
          <xdr:row>76</xdr:row>
          <xdr:rowOff>28575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80</xdr:row>
          <xdr:rowOff>0</xdr:rowOff>
        </xdr:from>
        <xdr:to>
          <xdr:col>6</xdr:col>
          <xdr:colOff>0</xdr:colOff>
          <xdr:row>81</xdr:row>
          <xdr:rowOff>28575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103</xdr:row>
          <xdr:rowOff>0</xdr:rowOff>
        </xdr:from>
        <xdr:to>
          <xdr:col>6</xdr:col>
          <xdr:colOff>0</xdr:colOff>
          <xdr:row>104</xdr:row>
          <xdr:rowOff>28575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108</xdr:row>
          <xdr:rowOff>0</xdr:rowOff>
        </xdr:from>
        <xdr:to>
          <xdr:col>6</xdr:col>
          <xdr:colOff>0</xdr:colOff>
          <xdr:row>109</xdr:row>
          <xdr:rowOff>28575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113</xdr:row>
          <xdr:rowOff>0</xdr:rowOff>
        </xdr:from>
        <xdr:to>
          <xdr:col>6</xdr:col>
          <xdr:colOff>0</xdr:colOff>
          <xdr:row>114</xdr:row>
          <xdr:rowOff>28575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118</xdr:row>
          <xdr:rowOff>0</xdr:rowOff>
        </xdr:from>
        <xdr:to>
          <xdr:col>6</xdr:col>
          <xdr:colOff>0</xdr:colOff>
          <xdr:row>119</xdr:row>
          <xdr:rowOff>28575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123</xdr:row>
          <xdr:rowOff>0</xdr:rowOff>
        </xdr:from>
        <xdr:to>
          <xdr:col>6</xdr:col>
          <xdr:colOff>0</xdr:colOff>
          <xdr:row>124</xdr:row>
          <xdr:rowOff>28575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146</xdr:row>
          <xdr:rowOff>0</xdr:rowOff>
        </xdr:from>
        <xdr:to>
          <xdr:col>6</xdr:col>
          <xdr:colOff>0</xdr:colOff>
          <xdr:row>147</xdr:row>
          <xdr:rowOff>28575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151</xdr:row>
          <xdr:rowOff>0</xdr:rowOff>
        </xdr:from>
        <xdr:to>
          <xdr:col>6</xdr:col>
          <xdr:colOff>0</xdr:colOff>
          <xdr:row>152</xdr:row>
          <xdr:rowOff>28575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156</xdr:row>
          <xdr:rowOff>0</xdr:rowOff>
        </xdr:from>
        <xdr:to>
          <xdr:col>6</xdr:col>
          <xdr:colOff>0</xdr:colOff>
          <xdr:row>157</xdr:row>
          <xdr:rowOff>28575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161</xdr:row>
          <xdr:rowOff>0</xdr:rowOff>
        </xdr:from>
        <xdr:to>
          <xdr:col>6</xdr:col>
          <xdr:colOff>0</xdr:colOff>
          <xdr:row>162</xdr:row>
          <xdr:rowOff>28575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166</xdr:row>
          <xdr:rowOff>0</xdr:rowOff>
        </xdr:from>
        <xdr:to>
          <xdr:col>6</xdr:col>
          <xdr:colOff>0</xdr:colOff>
          <xdr:row>167</xdr:row>
          <xdr:rowOff>28575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189</xdr:row>
          <xdr:rowOff>0</xdr:rowOff>
        </xdr:from>
        <xdr:to>
          <xdr:col>6</xdr:col>
          <xdr:colOff>0</xdr:colOff>
          <xdr:row>190</xdr:row>
          <xdr:rowOff>28575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194</xdr:row>
          <xdr:rowOff>0</xdr:rowOff>
        </xdr:from>
        <xdr:to>
          <xdr:col>6</xdr:col>
          <xdr:colOff>0</xdr:colOff>
          <xdr:row>195</xdr:row>
          <xdr:rowOff>28575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199</xdr:row>
          <xdr:rowOff>0</xdr:rowOff>
        </xdr:from>
        <xdr:to>
          <xdr:col>6</xdr:col>
          <xdr:colOff>0</xdr:colOff>
          <xdr:row>200</xdr:row>
          <xdr:rowOff>28575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204</xdr:row>
          <xdr:rowOff>0</xdr:rowOff>
        </xdr:from>
        <xdr:to>
          <xdr:col>6</xdr:col>
          <xdr:colOff>0</xdr:colOff>
          <xdr:row>205</xdr:row>
          <xdr:rowOff>28575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209</xdr:row>
          <xdr:rowOff>0</xdr:rowOff>
        </xdr:from>
        <xdr:to>
          <xdr:col>6</xdr:col>
          <xdr:colOff>0</xdr:colOff>
          <xdr:row>210</xdr:row>
          <xdr:rowOff>28575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232</xdr:row>
          <xdr:rowOff>0</xdr:rowOff>
        </xdr:from>
        <xdr:to>
          <xdr:col>6</xdr:col>
          <xdr:colOff>0</xdr:colOff>
          <xdr:row>233</xdr:row>
          <xdr:rowOff>28575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237</xdr:row>
          <xdr:rowOff>0</xdr:rowOff>
        </xdr:from>
        <xdr:to>
          <xdr:col>6</xdr:col>
          <xdr:colOff>0</xdr:colOff>
          <xdr:row>238</xdr:row>
          <xdr:rowOff>28575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242</xdr:row>
          <xdr:rowOff>0</xdr:rowOff>
        </xdr:from>
        <xdr:to>
          <xdr:col>6</xdr:col>
          <xdr:colOff>0</xdr:colOff>
          <xdr:row>243</xdr:row>
          <xdr:rowOff>28575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247</xdr:row>
          <xdr:rowOff>0</xdr:rowOff>
        </xdr:from>
        <xdr:to>
          <xdr:col>6</xdr:col>
          <xdr:colOff>0</xdr:colOff>
          <xdr:row>248</xdr:row>
          <xdr:rowOff>28575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252</xdr:row>
          <xdr:rowOff>0</xdr:rowOff>
        </xdr:from>
        <xdr:to>
          <xdr:col>6</xdr:col>
          <xdr:colOff>0</xdr:colOff>
          <xdr:row>253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275</xdr:row>
          <xdr:rowOff>0</xdr:rowOff>
        </xdr:from>
        <xdr:to>
          <xdr:col>6</xdr:col>
          <xdr:colOff>0</xdr:colOff>
          <xdr:row>276</xdr:row>
          <xdr:rowOff>28575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280</xdr:row>
          <xdr:rowOff>0</xdr:rowOff>
        </xdr:from>
        <xdr:to>
          <xdr:col>6</xdr:col>
          <xdr:colOff>0</xdr:colOff>
          <xdr:row>281</xdr:row>
          <xdr:rowOff>28575</xdr:rowOff>
        </xdr:to>
        <xdr:sp macro="" textlink="">
          <xdr:nvSpPr>
            <xdr:cNvPr id="1188" name="Check Box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285</xdr:row>
          <xdr:rowOff>0</xdr:rowOff>
        </xdr:from>
        <xdr:to>
          <xdr:col>6</xdr:col>
          <xdr:colOff>0</xdr:colOff>
          <xdr:row>286</xdr:row>
          <xdr:rowOff>28575</xdr:rowOff>
        </xdr:to>
        <xdr:sp macro="" textlink="">
          <xdr:nvSpPr>
            <xdr:cNvPr id="1190" name="Check Box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290</xdr:row>
          <xdr:rowOff>0</xdr:rowOff>
        </xdr:from>
        <xdr:to>
          <xdr:col>6</xdr:col>
          <xdr:colOff>0</xdr:colOff>
          <xdr:row>291</xdr:row>
          <xdr:rowOff>28575</xdr:rowOff>
        </xdr:to>
        <xdr:sp macro="" textlink="">
          <xdr:nvSpPr>
            <xdr:cNvPr id="1192" name="Check Box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295</xdr:row>
          <xdr:rowOff>0</xdr:rowOff>
        </xdr:from>
        <xdr:to>
          <xdr:col>6</xdr:col>
          <xdr:colOff>0</xdr:colOff>
          <xdr:row>296</xdr:row>
          <xdr:rowOff>28575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318</xdr:row>
          <xdr:rowOff>0</xdr:rowOff>
        </xdr:from>
        <xdr:to>
          <xdr:col>6</xdr:col>
          <xdr:colOff>0</xdr:colOff>
          <xdr:row>319</xdr:row>
          <xdr:rowOff>28575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323</xdr:row>
          <xdr:rowOff>0</xdr:rowOff>
        </xdr:from>
        <xdr:to>
          <xdr:col>6</xdr:col>
          <xdr:colOff>0</xdr:colOff>
          <xdr:row>324</xdr:row>
          <xdr:rowOff>28575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328</xdr:row>
          <xdr:rowOff>0</xdr:rowOff>
        </xdr:from>
        <xdr:to>
          <xdr:col>6</xdr:col>
          <xdr:colOff>0</xdr:colOff>
          <xdr:row>329</xdr:row>
          <xdr:rowOff>28575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333</xdr:row>
          <xdr:rowOff>0</xdr:rowOff>
        </xdr:from>
        <xdr:to>
          <xdr:col>6</xdr:col>
          <xdr:colOff>0</xdr:colOff>
          <xdr:row>334</xdr:row>
          <xdr:rowOff>28575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338</xdr:row>
          <xdr:rowOff>0</xdr:rowOff>
        </xdr:from>
        <xdr:to>
          <xdr:col>6</xdr:col>
          <xdr:colOff>0</xdr:colOff>
          <xdr:row>339</xdr:row>
          <xdr:rowOff>28575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361</xdr:row>
          <xdr:rowOff>0</xdr:rowOff>
        </xdr:from>
        <xdr:to>
          <xdr:col>6</xdr:col>
          <xdr:colOff>0</xdr:colOff>
          <xdr:row>362</xdr:row>
          <xdr:rowOff>28575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366</xdr:row>
          <xdr:rowOff>0</xdr:rowOff>
        </xdr:from>
        <xdr:to>
          <xdr:col>6</xdr:col>
          <xdr:colOff>0</xdr:colOff>
          <xdr:row>367</xdr:row>
          <xdr:rowOff>28575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371</xdr:row>
          <xdr:rowOff>0</xdr:rowOff>
        </xdr:from>
        <xdr:to>
          <xdr:col>6</xdr:col>
          <xdr:colOff>0</xdr:colOff>
          <xdr:row>372</xdr:row>
          <xdr:rowOff>28575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376</xdr:row>
          <xdr:rowOff>0</xdr:rowOff>
        </xdr:from>
        <xdr:to>
          <xdr:col>6</xdr:col>
          <xdr:colOff>0</xdr:colOff>
          <xdr:row>377</xdr:row>
          <xdr:rowOff>28575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381</xdr:row>
          <xdr:rowOff>0</xdr:rowOff>
        </xdr:from>
        <xdr:to>
          <xdr:col>6</xdr:col>
          <xdr:colOff>0</xdr:colOff>
          <xdr:row>382</xdr:row>
          <xdr:rowOff>28575</xdr:rowOff>
        </xdr:to>
        <xdr:sp macro="" textlink="">
          <xdr:nvSpPr>
            <xdr:cNvPr id="1214" name="Check Box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404</xdr:row>
          <xdr:rowOff>0</xdr:rowOff>
        </xdr:from>
        <xdr:to>
          <xdr:col>6</xdr:col>
          <xdr:colOff>0</xdr:colOff>
          <xdr:row>405</xdr:row>
          <xdr:rowOff>28575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409</xdr:row>
          <xdr:rowOff>0</xdr:rowOff>
        </xdr:from>
        <xdr:to>
          <xdr:col>6</xdr:col>
          <xdr:colOff>0</xdr:colOff>
          <xdr:row>410</xdr:row>
          <xdr:rowOff>28575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414</xdr:row>
          <xdr:rowOff>0</xdr:rowOff>
        </xdr:from>
        <xdr:to>
          <xdr:col>6</xdr:col>
          <xdr:colOff>0</xdr:colOff>
          <xdr:row>415</xdr:row>
          <xdr:rowOff>28575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419</xdr:row>
          <xdr:rowOff>0</xdr:rowOff>
        </xdr:from>
        <xdr:to>
          <xdr:col>6</xdr:col>
          <xdr:colOff>0</xdr:colOff>
          <xdr:row>420</xdr:row>
          <xdr:rowOff>28575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424</xdr:row>
          <xdr:rowOff>0</xdr:rowOff>
        </xdr:from>
        <xdr:to>
          <xdr:col>6</xdr:col>
          <xdr:colOff>0</xdr:colOff>
          <xdr:row>425</xdr:row>
          <xdr:rowOff>28575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Registration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232" name="Drop Dow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233" name="Drop Dow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234" name="Drop Dow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235" name="Drop Dow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236" name="Drop Dow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237" name="Drop Dow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238" name="Drop Dow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239" name="Drop Dow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240" name="Drop Dow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Return to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Setup New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C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Add Weekly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C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Print Individual Standings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1C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Print Team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Standings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C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Print Score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1C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Print Money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Envelopes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C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Print Money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MT"/>
                </a:rPr>
                <a:t>Statement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84" Type="http://schemas.openxmlformats.org/officeDocument/2006/relationships/ctrlProp" Target="../ctrlProps/ctrlProp80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87" Type="http://schemas.openxmlformats.org/officeDocument/2006/relationships/ctrlProp" Target="../ctrlProps/ctrlProp83.xml"/><Relationship Id="rId102" Type="http://schemas.openxmlformats.org/officeDocument/2006/relationships/ctrlProp" Target="../ctrlProps/ctrlProp98.xml"/><Relationship Id="rId110" Type="http://schemas.openxmlformats.org/officeDocument/2006/relationships/ctrlProp" Target="../ctrlProps/ctrlProp106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90" Type="http://schemas.openxmlformats.org/officeDocument/2006/relationships/ctrlProp" Target="../ctrlProps/ctrlProp86.xml"/><Relationship Id="rId95" Type="http://schemas.openxmlformats.org/officeDocument/2006/relationships/ctrlProp" Target="../ctrlProps/ctrlProp91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13" Type="http://schemas.openxmlformats.org/officeDocument/2006/relationships/ctrlProp" Target="../ctrlProps/ctrlProp109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85" Type="http://schemas.openxmlformats.org/officeDocument/2006/relationships/ctrlProp" Target="../ctrlProps/ctrlProp81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11" Type="http://schemas.openxmlformats.org/officeDocument/2006/relationships/ctrlProp" Target="../ctrlProps/ctrlProp107.xml"/><Relationship Id="rId1" Type="http://schemas.openxmlformats.org/officeDocument/2006/relationships/hyperlink" Target="https://scheduler.leaguelobster.com/schedule/lite/2447020/new-league/new-season/" TargetMode="External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14" Type="http://schemas.openxmlformats.org/officeDocument/2006/relationships/ctrlProp" Target="../ctrlProps/ctrlProp110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2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2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3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3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7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35.xml"/><Relationship Id="rId5" Type="http://schemas.openxmlformats.org/officeDocument/2006/relationships/ctrlProp" Target="../ctrlProps/ctrlProp134.xml"/><Relationship Id="rId10" Type="http://schemas.openxmlformats.org/officeDocument/2006/relationships/ctrlProp" Target="../ctrlProps/ctrlProp139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3B512-82EE-41CB-A5E0-8CD1784CBEB8}">
  <sheetPr transitionEvaluation="1" transitionEntry="1" codeName="Sheet2"/>
  <dimension ref="A1:BM281"/>
  <sheetViews>
    <sheetView showGridLines="0" topLeftCell="AE1" workbookViewId="0">
      <selection activeCell="BF5" sqref="BF5:BG281"/>
    </sheetView>
  </sheetViews>
  <sheetFormatPr defaultColWidth="9.77734375" defaultRowHeight="15"/>
  <cols>
    <col min="1" max="1" width="14.77734375" customWidth="1"/>
    <col min="2" max="23" width="7.77734375" customWidth="1"/>
    <col min="24" max="24" width="8.77734375" customWidth="1"/>
    <col min="25" max="25" width="7.77734375" customWidth="1"/>
    <col min="26" max="26" width="22.5546875" style="121" customWidth="1"/>
    <col min="27" max="48" width="2.77734375" customWidth="1"/>
    <col min="49" max="49" width="6.77734375" customWidth="1"/>
    <col min="50" max="50" width="8.77734375" customWidth="1"/>
    <col min="51" max="51" width="12.77734375" style="121" customWidth="1"/>
    <col min="52" max="52" width="24.77734375" style="121" customWidth="1"/>
    <col min="53" max="53" width="8.77734375" style="190" customWidth="1"/>
    <col min="54" max="54" width="12.77734375" style="121" customWidth="1"/>
    <col min="55" max="55" width="24.77734375" style="121" customWidth="1"/>
    <col min="56" max="56" width="8.77734375" customWidth="1"/>
    <col min="57" max="57" width="24.77734375" customWidth="1"/>
    <col min="58" max="58" width="8.77734375" customWidth="1"/>
    <col min="59" max="59" width="24.77734375" customWidth="1"/>
  </cols>
  <sheetData>
    <row r="1" spans="1:65" ht="30">
      <c r="A1" s="5" t="str">
        <f>"Clicks "&amp;B!C3&amp;":"&amp;" "&amp;B!C10&amp;" "&amp;B!C9&amp;" League Team Score Summary (with Handicap)"</f>
        <v>Clicks Tucson: Get-a-Cue 8-Ball League Team Score Summary (with Handicap)</v>
      </c>
      <c r="B1" s="5"/>
      <c r="C1" s="5"/>
      <c r="D1" s="5"/>
      <c r="E1" s="5"/>
      <c r="F1" s="5"/>
      <c r="G1" s="5"/>
    </row>
    <row r="2" spans="1:65" ht="15.75" thickBot="1">
      <c r="BD2" s="6"/>
      <c r="BE2" s="6"/>
      <c r="BF2" s="6"/>
      <c r="BG2" s="6"/>
    </row>
    <row r="3" spans="1:65" ht="16.5" thickTop="1" thickBot="1">
      <c r="A3" s="7" t="s">
        <v>26</v>
      </c>
      <c r="B3" s="8" t="s">
        <v>27</v>
      </c>
      <c r="C3" s="8" t="s">
        <v>28</v>
      </c>
      <c r="D3" s="8" t="s">
        <v>29</v>
      </c>
      <c r="E3" s="8" t="s">
        <v>30</v>
      </c>
      <c r="F3" s="8" t="s">
        <v>31</v>
      </c>
      <c r="G3" s="8" t="s">
        <v>32</v>
      </c>
      <c r="H3" s="8" t="s">
        <v>33</v>
      </c>
      <c r="I3" s="8" t="s">
        <v>34</v>
      </c>
      <c r="J3" s="8" t="s">
        <v>35</v>
      </c>
      <c r="K3" s="8" t="s">
        <v>36</v>
      </c>
      <c r="L3" s="8" t="s">
        <v>37</v>
      </c>
      <c r="M3" s="8" t="s">
        <v>38</v>
      </c>
      <c r="N3" s="8" t="s">
        <v>39</v>
      </c>
      <c r="O3" s="8" t="s">
        <v>40</v>
      </c>
      <c r="P3" s="8" t="s">
        <v>41</v>
      </c>
      <c r="Q3" s="8" t="s">
        <v>42</v>
      </c>
      <c r="R3" s="8" t="s">
        <v>43</v>
      </c>
      <c r="S3" s="8" t="s">
        <v>44</v>
      </c>
      <c r="T3" s="8" t="s">
        <v>45</v>
      </c>
      <c r="U3" s="8" t="s">
        <v>46</v>
      </c>
      <c r="V3" s="8" t="s">
        <v>47</v>
      </c>
      <c r="W3" s="8" t="s">
        <v>48</v>
      </c>
      <c r="Z3" s="3" t="str">
        <f>A3</f>
        <v>Team #1 Name:</v>
      </c>
      <c r="AA3" s="9" t="s">
        <v>49</v>
      </c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26" t="s">
        <v>190</v>
      </c>
      <c r="AY3" s="125"/>
      <c r="AZ3" s="125"/>
      <c r="BA3" s="191" t="s">
        <v>193</v>
      </c>
      <c r="BB3" s="125"/>
      <c r="BC3" s="125"/>
      <c r="BD3" s="126" t="s">
        <v>194</v>
      </c>
      <c r="BE3" s="125"/>
      <c r="BF3" s="126" t="s">
        <v>195</v>
      </c>
      <c r="BG3" s="127"/>
    </row>
    <row r="4" spans="1:65" ht="15.75" thickBot="1">
      <c r="A4" s="13" t="str">
        <f>B!B16</f>
        <v>PIRATES OF THE TABLE</v>
      </c>
      <c r="B4" s="14" t="s">
        <v>50</v>
      </c>
      <c r="C4" s="14" t="s">
        <v>50</v>
      </c>
      <c r="D4" s="14" t="s">
        <v>50</v>
      </c>
      <c r="E4" s="14" t="s">
        <v>50</v>
      </c>
      <c r="F4" s="14" t="s">
        <v>50</v>
      </c>
      <c r="G4" s="14" t="s">
        <v>50</v>
      </c>
      <c r="H4" s="14" t="s">
        <v>50</v>
      </c>
      <c r="I4" s="14" t="s">
        <v>50</v>
      </c>
      <c r="J4" s="14" t="s">
        <v>50</v>
      </c>
      <c r="K4" s="14" t="s">
        <v>50</v>
      </c>
      <c r="L4" s="14" t="s">
        <v>50</v>
      </c>
      <c r="M4" s="14" t="s">
        <v>50</v>
      </c>
      <c r="N4" s="14" t="s">
        <v>50</v>
      </c>
      <c r="O4" s="14" t="s">
        <v>50</v>
      </c>
      <c r="P4" s="14" t="s">
        <v>50</v>
      </c>
      <c r="Q4" s="14" t="s">
        <v>50</v>
      </c>
      <c r="R4" s="14" t="s">
        <v>50</v>
      </c>
      <c r="S4" s="14" t="s">
        <v>50</v>
      </c>
      <c r="T4" s="14" t="s">
        <v>50</v>
      </c>
      <c r="U4" s="14" t="s">
        <v>50</v>
      </c>
      <c r="V4" s="14" t="s">
        <v>50</v>
      </c>
      <c r="W4" s="14" t="s">
        <v>50</v>
      </c>
      <c r="X4" s="15" t="s">
        <v>51</v>
      </c>
      <c r="Y4" s="16" t="s">
        <v>52</v>
      </c>
      <c r="Z4" s="123" t="str">
        <f t="shared" ref="Z4:Z12" si="0">A4</f>
        <v>PIRATES OF THE TABLE</v>
      </c>
      <c r="AA4" s="17"/>
      <c r="AW4" s="4" t="s">
        <v>97</v>
      </c>
      <c r="AX4" s="130" t="s">
        <v>191</v>
      </c>
      <c r="AY4" s="128"/>
      <c r="AZ4" s="129"/>
      <c r="BA4" s="192" t="s">
        <v>192</v>
      </c>
      <c r="BB4" s="128"/>
      <c r="BC4" s="129"/>
      <c r="BD4" s="130" t="s">
        <v>191</v>
      </c>
      <c r="BE4" s="128"/>
      <c r="BF4" s="130" t="s">
        <v>192</v>
      </c>
      <c r="BG4" s="131"/>
      <c r="BK4" t="s">
        <v>50</v>
      </c>
      <c r="BL4" t="s">
        <v>256</v>
      </c>
      <c r="BM4" t="s">
        <v>250</v>
      </c>
    </row>
    <row r="5" spans="1:65" ht="15.75" thickTop="1">
      <c r="A5" s="19" t="str">
        <f>B!B18</f>
        <v>JASON</v>
      </c>
      <c r="B5" s="20">
        <f>'C'!B5</f>
        <v>40</v>
      </c>
      <c r="C5" s="20">
        <f>D!B5</f>
        <v>35</v>
      </c>
      <c r="D5" s="20">
        <f>E!B5</f>
        <v>44</v>
      </c>
      <c r="E5" s="20">
        <f>F!B5</f>
        <v>50</v>
      </c>
      <c r="F5" s="20">
        <f>G!B5</f>
        <v>0</v>
      </c>
      <c r="G5" s="20">
        <f>H!B5</f>
        <v>0</v>
      </c>
      <c r="H5" s="20">
        <f>I!B5</f>
        <v>0</v>
      </c>
      <c r="I5" s="20">
        <f>J!B5</f>
        <v>0</v>
      </c>
      <c r="J5" s="20">
        <f>K!B5</f>
        <v>0</v>
      </c>
      <c r="K5" s="20">
        <f>L!B5</f>
        <v>0</v>
      </c>
      <c r="L5" s="20">
        <f>M!B5</f>
        <v>0</v>
      </c>
      <c r="M5" s="20">
        <f>N!B5</f>
        <v>0</v>
      </c>
      <c r="N5" s="20">
        <f>O!B5</f>
        <v>0</v>
      </c>
      <c r="O5" s="20">
        <f>P!B5</f>
        <v>0</v>
      </c>
      <c r="P5" s="20">
        <f>Q!B5</f>
        <v>0</v>
      </c>
      <c r="Q5" s="20">
        <f>'R'!B5</f>
        <v>0</v>
      </c>
      <c r="R5" s="20">
        <f>S!B5</f>
        <v>0</v>
      </c>
      <c r="S5" s="20">
        <f>T!B5</f>
        <v>0</v>
      </c>
      <c r="T5" s="20">
        <f>U!B5</f>
        <v>0</v>
      </c>
      <c r="U5" s="20">
        <f>V!B5</f>
        <v>0</v>
      </c>
      <c r="V5" s="20">
        <f>W!B5</f>
        <v>0</v>
      </c>
      <c r="W5" s="20">
        <f>X!B5</f>
        <v>0</v>
      </c>
      <c r="X5" s="21">
        <f t="shared" ref="X5:X15" si="1">SUM(B5:W5)</f>
        <v>169</v>
      </c>
      <c r="Y5" s="22">
        <f>IF(AW5=0,0,X5/AW5)</f>
        <v>42.25</v>
      </c>
      <c r="Z5" s="122" t="str">
        <f t="shared" si="0"/>
        <v>JASON</v>
      </c>
      <c r="AA5" s="17">
        <f t="shared" ref="AA5:AJ12" si="2">IF(B5=0,0,1)</f>
        <v>1</v>
      </c>
      <c r="AB5">
        <f t="shared" si="2"/>
        <v>1</v>
      </c>
      <c r="AC5">
        <f t="shared" si="2"/>
        <v>1</v>
      </c>
      <c r="AD5">
        <f t="shared" si="2"/>
        <v>1</v>
      </c>
      <c r="AE5">
        <f t="shared" si="2"/>
        <v>0</v>
      </c>
      <c r="AF5">
        <f t="shared" si="2"/>
        <v>0</v>
      </c>
      <c r="AG5">
        <f t="shared" si="2"/>
        <v>0</v>
      </c>
      <c r="AH5">
        <f t="shared" si="2"/>
        <v>0</v>
      </c>
      <c r="AI5">
        <f t="shared" si="2"/>
        <v>0</v>
      </c>
      <c r="AJ5">
        <f t="shared" si="2"/>
        <v>0</v>
      </c>
      <c r="AK5">
        <f t="shared" ref="AK5:AT12" si="3">IF(L5=0,0,1)</f>
        <v>0</v>
      </c>
      <c r="AL5">
        <f t="shared" si="3"/>
        <v>0</v>
      </c>
      <c r="AM5">
        <f t="shared" si="3"/>
        <v>0</v>
      </c>
      <c r="AN5">
        <f t="shared" si="3"/>
        <v>0</v>
      </c>
      <c r="AO5">
        <f t="shared" si="3"/>
        <v>0</v>
      </c>
      <c r="AP5">
        <f t="shared" si="3"/>
        <v>0</v>
      </c>
      <c r="AQ5">
        <f t="shared" si="3"/>
        <v>0</v>
      </c>
      <c r="AR5">
        <f t="shared" si="3"/>
        <v>0</v>
      </c>
      <c r="AS5">
        <f t="shared" si="3"/>
        <v>0</v>
      </c>
      <c r="AT5">
        <f t="shared" si="3"/>
        <v>0</v>
      </c>
      <c r="AU5">
        <f t="shared" ref="AU5:AV12" si="4">IF(V5=0,0,1)</f>
        <v>0</v>
      </c>
      <c r="AV5">
        <f t="shared" si="4"/>
        <v>0</v>
      </c>
      <c r="AW5" s="23">
        <f t="shared" ref="AW5:AW12" si="5">SUM(AA5:AV5)</f>
        <v>4</v>
      </c>
      <c r="AX5" s="24">
        <f>IF(X5=0,0,X5)</f>
        <v>169</v>
      </c>
      <c r="AY5" s="121" t="str">
        <f>IF(X5=0,0,A5)</f>
        <v>JASON</v>
      </c>
      <c r="AZ5" s="124" t="str">
        <f>IF(AX5=0,0,A$4)</f>
        <v>PIRATES OF THE TABLE</v>
      </c>
      <c r="BA5" s="197">
        <v>182</v>
      </c>
      <c r="BB5" s="198" t="s">
        <v>303</v>
      </c>
      <c r="BC5" s="198" t="s">
        <v>304</v>
      </c>
      <c r="BD5" s="24"/>
      <c r="BE5" s="23"/>
      <c r="BF5" s="203">
        <v>827</v>
      </c>
      <c r="BG5" s="204" t="s">
        <v>338</v>
      </c>
      <c r="BI5">
        <v>0</v>
      </c>
      <c r="BJ5" t="s">
        <v>184</v>
      </c>
      <c r="BK5" s="1">
        <f>BD15</f>
        <v>744.55</v>
      </c>
      <c r="BL5">
        <v>1</v>
      </c>
      <c r="BM5" t="str">
        <f>A4</f>
        <v>PIRATES OF THE TABLE</v>
      </c>
    </row>
    <row r="6" spans="1:65">
      <c r="A6" s="19" t="str">
        <f>B!B23</f>
        <v>TRAYE</v>
      </c>
      <c r="B6" s="20">
        <f>'C'!B6</f>
        <v>40</v>
      </c>
      <c r="C6" s="20">
        <f>D!B6</f>
        <v>25</v>
      </c>
      <c r="D6" s="20">
        <f>E!B6</f>
        <v>22</v>
      </c>
      <c r="E6" s="20">
        <f>F!B6</f>
        <v>32</v>
      </c>
      <c r="F6" s="20">
        <f>G!B6</f>
        <v>0</v>
      </c>
      <c r="G6" s="20">
        <f>H!B6</f>
        <v>0</v>
      </c>
      <c r="H6" s="20">
        <f>I!B6</f>
        <v>0</v>
      </c>
      <c r="I6" s="20">
        <f>J!B6</f>
        <v>0</v>
      </c>
      <c r="J6" s="20">
        <f>K!B6</f>
        <v>0</v>
      </c>
      <c r="K6" s="20">
        <f>L!B6</f>
        <v>0</v>
      </c>
      <c r="L6" s="20">
        <f>M!B6</f>
        <v>0</v>
      </c>
      <c r="M6" s="20">
        <f>N!B6</f>
        <v>0</v>
      </c>
      <c r="N6" s="20">
        <f>O!B6</f>
        <v>0</v>
      </c>
      <c r="O6" s="20">
        <f>P!B6</f>
        <v>0</v>
      </c>
      <c r="P6" s="20">
        <f>Q!B6</f>
        <v>0</v>
      </c>
      <c r="Q6" s="20">
        <f>'R'!B6</f>
        <v>0</v>
      </c>
      <c r="R6" s="20">
        <f>S!B6</f>
        <v>0</v>
      </c>
      <c r="S6" s="20">
        <f>T!B6</f>
        <v>0</v>
      </c>
      <c r="T6" s="20">
        <f>U!B6</f>
        <v>0</v>
      </c>
      <c r="U6" s="20">
        <f>V!B6</f>
        <v>0</v>
      </c>
      <c r="V6" s="20">
        <f>W!B6</f>
        <v>0</v>
      </c>
      <c r="W6" s="20">
        <f>X!B6</f>
        <v>0</v>
      </c>
      <c r="X6" s="21">
        <f t="shared" si="1"/>
        <v>119</v>
      </c>
      <c r="Y6" s="22">
        <f t="shared" ref="Y6:Y12" si="6">IF(AW6=0,0,X6/AW6)</f>
        <v>29.75</v>
      </c>
      <c r="Z6" s="122" t="str">
        <f t="shared" si="0"/>
        <v>TRAYE</v>
      </c>
      <c r="AA6" s="17">
        <f t="shared" si="2"/>
        <v>1</v>
      </c>
      <c r="AB6">
        <f t="shared" si="2"/>
        <v>1</v>
      </c>
      <c r="AC6">
        <f t="shared" si="2"/>
        <v>1</v>
      </c>
      <c r="AD6">
        <f t="shared" si="2"/>
        <v>1</v>
      </c>
      <c r="AE6">
        <f t="shared" si="2"/>
        <v>0</v>
      </c>
      <c r="AF6">
        <f t="shared" si="2"/>
        <v>0</v>
      </c>
      <c r="AG6">
        <f t="shared" si="2"/>
        <v>0</v>
      </c>
      <c r="AH6">
        <f t="shared" si="2"/>
        <v>0</v>
      </c>
      <c r="AI6">
        <f t="shared" si="2"/>
        <v>0</v>
      </c>
      <c r="AJ6">
        <f t="shared" si="2"/>
        <v>0</v>
      </c>
      <c r="AK6">
        <f t="shared" si="3"/>
        <v>0</v>
      </c>
      <c r="AL6">
        <f t="shared" si="3"/>
        <v>0</v>
      </c>
      <c r="AM6">
        <f t="shared" si="3"/>
        <v>0</v>
      </c>
      <c r="AN6">
        <f t="shared" si="3"/>
        <v>0</v>
      </c>
      <c r="AO6">
        <f t="shared" si="3"/>
        <v>0</v>
      </c>
      <c r="AP6">
        <f t="shared" si="3"/>
        <v>0</v>
      </c>
      <c r="AQ6">
        <f t="shared" si="3"/>
        <v>0</v>
      </c>
      <c r="AR6">
        <f t="shared" si="3"/>
        <v>0</v>
      </c>
      <c r="AS6">
        <f t="shared" si="3"/>
        <v>0</v>
      </c>
      <c r="AT6">
        <f t="shared" si="3"/>
        <v>0</v>
      </c>
      <c r="AU6">
        <f t="shared" si="4"/>
        <v>0</v>
      </c>
      <c r="AV6">
        <f t="shared" si="4"/>
        <v>0</v>
      </c>
      <c r="AW6" s="23">
        <f t="shared" si="5"/>
        <v>4</v>
      </c>
      <c r="AX6" s="24">
        <f t="shared" ref="AX6:AX12" si="7">IF(X6=0,0,X6)</f>
        <v>119</v>
      </c>
      <c r="AY6" s="121" t="str">
        <f t="shared" ref="AY6:AY12" si="8">IF(X6=0,0,A6)</f>
        <v>TRAYE</v>
      </c>
      <c r="AZ6" s="124" t="str">
        <f t="shared" ref="AZ6:AZ11" si="9">IF(AX6=0,0,A$4)</f>
        <v>PIRATES OF THE TABLE</v>
      </c>
      <c r="BA6" s="243">
        <v>182</v>
      </c>
      <c r="BB6" s="198" t="s">
        <v>329</v>
      </c>
      <c r="BC6" s="244" t="s">
        <v>338</v>
      </c>
      <c r="BD6" s="24"/>
      <c r="BE6" s="23"/>
      <c r="BF6" s="203">
        <v>802.7</v>
      </c>
      <c r="BG6" s="204" t="s">
        <v>281</v>
      </c>
      <c r="BI6">
        <v>1</v>
      </c>
      <c r="BJ6" t="s">
        <v>185</v>
      </c>
      <c r="BK6" s="1">
        <f>BD29</f>
        <v>687.5</v>
      </c>
      <c r="BL6">
        <v>2</v>
      </c>
      <c r="BM6" t="str">
        <f>A18</f>
        <v>VLADIMIR POOLIN</v>
      </c>
    </row>
    <row r="7" spans="1:65">
      <c r="A7" s="19" t="str">
        <f>B!B28</f>
        <v>WC</v>
      </c>
      <c r="B7" s="20">
        <f>'C'!B7</f>
        <v>40</v>
      </c>
      <c r="C7" s="20">
        <f>D!B7</f>
        <v>28</v>
      </c>
      <c r="D7" s="20">
        <f>E!B7</f>
        <v>26</v>
      </c>
      <c r="E7" s="20">
        <f>F!B7</f>
        <v>32</v>
      </c>
      <c r="F7" s="20">
        <f>G!B7</f>
        <v>0</v>
      </c>
      <c r="G7" s="20">
        <f>H!B7</f>
        <v>0</v>
      </c>
      <c r="H7" s="20">
        <f>I!B7</f>
        <v>0</v>
      </c>
      <c r="I7" s="20">
        <f>J!B7</f>
        <v>0</v>
      </c>
      <c r="J7" s="20">
        <f>K!B7</f>
        <v>0</v>
      </c>
      <c r="K7" s="20">
        <f>L!B7</f>
        <v>0</v>
      </c>
      <c r="L7" s="20">
        <f>M!B7</f>
        <v>0</v>
      </c>
      <c r="M7" s="20">
        <f>N!B7</f>
        <v>0</v>
      </c>
      <c r="N7" s="20">
        <f>O!B7</f>
        <v>0</v>
      </c>
      <c r="O7" s="20">
        <f>P!B7</f>
        <v>0</v>
      </c>
      <c r="P7" s="20">
        <f>Q!B7</f>
        <v>0</v>
      </c>
      <c r="Q7" s="20">
        <f>'R'!B7</f>
        <v>0</v>
      </c>
      <c r="R7" s="20">
        <f>S!B7</f>
        <v>0</v>
      </c>
      <c r="S7" s="20">
        <f>T!B7</f>
        <v>0</v>
      </c>
      <c r="T7" s="20">
        <f>U!B7</f>
        <v>0</v>
      </c>
      <c r="U7" s="20">
        <f>V!B7</f>
        <v>0</v>
      </c>
      <c r="V7" s="20">
        <f>W!B7</f>
        <v>0</v>
      </c>
      <c r="W7" s="20">
        <f>X!B7</f>
        <v>0</v>
      </c>
      <c r="X7" s="21">
        <f t="shared" si="1"/>
        <v>126</v>
      </c>
      <c r="Y7" s="22">
        <f t="shared" si="6"/>
        <v>31.5</v>
      </c>
      <c r="Z7" s="122" t="str">
        <f t="shared" si="0"/>
        <v>WC</v>
      </c>
      <c r="AA7" s="17">
        <f t="shared" si="2"/>
        <v>1</v>
      </c>
      <c r="AB7">
        <f t="shared" si="2"/>
        <v>1</v>
      </c>
      <c r="AC7">
        <f t="shared" si="2"/>
        <v>1</v>
      </c>
      <c r="AD7">
        <f t="shared" si="2"/>
        <v>1</v>
      </c>
      <c r="AE7">
        <f t="shared" si="2"/>
        <v>0</v>
      </c>
      <c r="AF7">
        <f t="shared" si="2"/>
        <v>0</v>
      </c>
      <c r="AG7">
        <f t="shared" si="2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3"/>
        <v>0</v>
      </c>
      <c r="AL7">
        <f t="shared" si="3"/>
        <v>0</v>
      </c>
      <c r="AM7">
        <f t="shared" si="3"/>
        <v>0</v>
      </c>
      <c r="AN7">
        <f t="shared" si="3"/>
        <v>0</v>
      </c>
      <c r="AO7">
        <f t="shared" si="3"/>
        <v>0</v>
      </c>
      <c r="AP7">
        <f t="shared" si="3"/>
        <v>0</v>
      </c>
      <c r="AQ7">
        <f t="shared" si="3"/>
        <v>0</v>
      </c>
      <c r="AR7">
        <f t="shared" si="3"/>
        <v>0</v>
      </c>
      <c r="AS7">
        <f t="shared" si="3"/>
        <v>0</v>
      </c>
      <c r="AT7">
        <f t="shared" si="3"/>
        <v>0</v>
      </c>
      <c r="AU7">
        <f t="shared" si="4"/>
        <v>0</v>
      </c>
      <c r="AV7">
        <f t="shared" si="4"/>
        <v>0</v>
      </c>
      <c r="AW7" s="23">
        <f t="shared" si="5"/>
        <v>4</v>
      </c>
      <c r="AX7" s="24">
        <f t="shared" si="7"/>
        <v>126</v>
      </c>
      <c r="AY7" s="121" t="str">
        <f t="shared" si="8"/>
        <v>WC</v>
      </c>
      <c r="AZ7" s="124" t="str">
        <f t="shared" si="9"/>
        <v>PIRATES OF THE TABLE</v>
      </c>
      <c r="BA7" s="197">
        <v>176</v>
      </c>
      <c r="BB7" s="198" t="s">
        <v>342</v>
      </c>
      <c r="BC7" s="198" t="s">
        <v>314</v>
      </c>
      <c r="BD7" s="24"/>
      <c r="BE7" s="23"/>
      <c r="BF7" s="203">
        <v>797.4</v>
      </c>
      <c r="BG7" s="204" t="s">
        <v>314</v>
      </c>
      <c r="BI7">
        <v>2</v>
      </c>
      <c r="BJ7" t="s">
        <v>186</v>
      </c>
      <c r="BK7" s="1">
        <f>BD43</f>
        <v>767</v>
      </c>
      <c r="BL7">
        <v>3</v>
      </c>
      <c r="BM7" t="str">
        <f>A32</f>
        <v>RACK PACK</v>
      </c>
    </row>
    <row r="8" spans="1:65">
      <c r="A8" s="19" t="str">
        <f>B!B33</f>
        <v>DON</v>
      </c>
      <c r="B8" s="20">
        <f>'C'!B8</f>
        <v>40</v>
      </c>
      <c r="C8" s="20">
        <f>D!B8</f>
        <v>37</v>
      </c>
      <c r="D8" s="20">
        <f>E!B8</f>
        <v>38</v>
      </c>
      <c r="E8" s="20">
        <f>F!B8</f>
        <v>47</v>
      </c>
      <c r="F8" s="20">
        <f>G!B8</f>
        <v>0</v>
      </c>
      <c r="G8" s="20">
        <f>H!B8</f>
        <v>0</v>
      </c>
      <c r="H8" s="20">
        <f>I!B8</f>
        <v>0</v>
      </c>
      <c r="I8" s="20">
        <f>J!B8</f>
        <v>0</v>
      </c>
      <c r="J8" s="20">
        <f>K!B8</f>
        <v>0</v>
      </c>
      <c r="K8" s="20">
        <f>L!B8</f>
        <v>0</v>
      </c>
      <c r="L8" s="20">
        <f>M!B8</f>
        <v>0</v>
      </c>
      <c r="M8" s="20">
        <f>N!B8</f>
        <v>0</v>
      </c>
      <c r="N8" s="20">
        <f>O!B8</f>
        <v>0</v>
      </c>
      <c r="O8" s="20">
        <f>P!B8</f>
        <v>0</v>
      </c>
      <c r="P8" s="20">
        <f>Q!B8</f>
        <v>0</v>
      </c>
      <c r="Q8" s="20">
        <f>'R'!B8</f>
        <v>0</v>
      </c>
      <c r="R8" s="20">
        <f>S!B8</f>
        <v>0</v>
      </c>
      <c r="S8" s="20">
        <f>T!B8</f>
        <v>0</v>
      </c>
      <c r="T8" s="20">
        <f>U!B8</f>
        <v>0</v>
      </c>
      <c r="U8" s="20">
        <f>V!B8</f>
        <v>0</v>
      </c>
      <c r="V8" s="20">
        <f>W!B8</f>
        <v>0</v>
      </c>
      <c r="W8" s="20">
        <f>X!B8</f>
        <v>0</v>
      </c>
      <c r="X8" s="21">
        <f t="shared" si="1"/>
        <v>162</v>
      </c>
      <c r="Y8" s="22">
        <f t="shared" si="6"/>
        <v>40.5</v>
      </c>
      <c r="Z8" s="122" t="str">
        <f t="shared" si="0"/>
        <v>DON</v>
      </c>
      <c r="AA8" s="17">
        <f t="shared" si="2"/>
        <v>1</v>
      </c>
      <c r="AB8">
        <f t="shared" si="2"/>
        <v>1</v>
      </c>
      <c r="AC8">
        <f t="shared" si="2"/>
        <v>1</v>
      </c>
      <c r="AD8">
        <f t="shared" si="2"/>
        <v>1</v>
      </c>
      <c r="AE8">
        <f t="shared" si="2"/>
        <v>0</v>
      </c>
      <c r="AF8">
        <f t="shared" si="2"/>
        <v>0</v>
      </c>
      <c r="AG8">
        <f t="shared" si="2"/>
        <v>0</v>
      </c>
      <c r="AH8">
        <f t="shared" si="2"/>
        <v>0</v>
      </c>
      <c r="AI8">
        <f t="shared" si="2"/>
        <v>0</v>
      </c>
      <c r="AJ8">
        <f t="shared" si="2"/>
        <v>0</v>
      </c>
      <c r="AK8">
        <f t="shared" si="3"/>
        <v>0</v>
      </c>
      <c r="AL8">
        <f t="shared" si="3"/>
        <v>0</v>
      </c>
      <c r="AM8">
        <f t="shared" si="3"/>
        <v>0</v>
      </c>
      <c r="AN8">
        <f t="shared" si="3"/>
        <v>0</v>
      </c>
      <c r="AO8">
        <f t="shared" si="3"/>
        <v>0</v>
      </c>
      <c r="AP8">
        <f t="shared" si="3"/>
        <v>0</v>
      </c>
      <c r="AQ8">
        <f t="shared" si="3"/>
        <v>0</v>
      </c>
      <c r="AR8">
        <f t="shared" si="3"/>
        <v>0</v>
      </c>
      <c r="AS8">
        <f t="shared" si="3"/>
        <v>0</v>
      </c>
      <c r="AT8">
        <f t="shared" si="3"/>
        <v>0</v>
      </c>
      <c r="AU8">
        <f t="shared" si="4"/>
        <v>0</v>
      </c>
      <c r="AV8">
        <f t="shared" si="4"/>
        <v>0</v>
      </c>
      <c r="AW8" s="23">
        <f t="shared" si="5"/>
        <v>4</v>
      </c>
      <c r="AX8" s="24">
        <f t="shared" si="7"/>
        <v>162</v>
      </c>
      <c r="AY8" s="121" t="str">
        <f t="shared" si="8"/>
        <v>DON</v>
      </c>
      <c r="AZ8" s="124" t="str">
        <f t="shared" si="9"/>
        <v>PIRATES OF THE TABLE</v>
      </c>
      <c r="BA8" s="243">
        <v>175</v>
      </c>
      <c r="BB8" s="198" t="s">
        <v>301</v>
      </c>
      <c r="BC8" s="244" t="s">
        <v>281</v>
      </c>
      <c r="BD8" s="24"/>
      <c r="BE8" s="23"/>
      <c r="BF8" s="203">
        <v>792.95</v>
      </c>
      <c r="BG8" s="204" t="s">
        <v>319</v>
      </c>
      <c r="BI8">
        <v>3</v>
      </c>
      <c r="BJ8" t="s">
        <v>187</v>
      </c>
      <c r="BK8" s="1">
        <f>BD57</f>
        <v>762</v>
      </c>
      <c r="BL8">
        <v>4</v>
      </c>
      <c r="BM8" t="str">
        <f>A46</f>
        <v>HOT WHEELS</v>
      </c>
    </row>
    <row r="9" spans="1:65">
      <c r="A9" s="19" t="str">
        <f>B!B38</f>
        <v>SAM</v>
      </c>
      <c r="B9" s="20">
        <f>'C'!B9</f>
        <v>40</v>
      </c>
      <c r="C9" s="20">
        <f>D!B9</f>
        <v>37</v>
      </c>
      <c r="D9" s="20">
        <f>E!B9</f>
        <v>30</v>
      </c>
      <c r="E9" s="20">
        <f>F!B9</f>
        <v>26</v>
      </c>
      <c r="F9" s="20">
        <f>G!B9</f>
        <v>0</v>
      </c>
      <c r="G9" s="20">
        <f>H!B9</f>
        <v>0</v>
      </c>
      <c r="H9" s="20">
        <f>I!B9</f>
        <v>0</v>
      </c>
      <c r="I9" s="20">
        <f>J!B9</f>
        <v>0</v>
      </c>
      <c r="J9" s="20">
        <f>K!B9</f>
        <v>0</v>
      </c>
      <c r="K9" s="20">
        <f>L!B9</f>
        <v>0</v>
      </c>
      <c r="L9" s="20">
        <f>M!B9</f>
        <v>0</v>
      </c>
      <c r="M9" s="20">
        <f>N!B9</f>
        <v>0</v>
      </c>
      <c r="N9" s="20">
        <f>O!B9</f>
        <v>0</v>
      </c>
      <c r="O9" s="20">
        <f>P!B9</f>
        <v>0</v>
      </c>
      <c r="P9" s="20">
        <f>Q!B9</f>
        <v>0</v>
      </c>
      <c r="Q9" s="20">
        <f>'R'!B9</f>
        <v>0</v>
      </c>
      <c r="R9" s="20">
        <f>S!B9</f>
        <v>0</v>
      </c>
      <c r="S9" s="20">
        <f>T!B9</f>
        <v>0</v>
      </c>
      <c r="T9" s="20">
        <f>U!B9</f>
        <v>0</v>
      </c>
      <c r="U9" s="20">
        <f>V!B9</f>
        <v>0</v>
      </c>
      <c r="V9" s="20">
        <f>W!B9</f>
        <v>0</v>
      </c>
      <c r="W9" s="20">
        <f>X!B9</f>
        <v>0</v>
      </c>
      <c r="X9" s="21">
        <f t="shared" si="1"/>
        <v>133</v>
      </c>
      <c r="Y9" s="22">
        <f t="shared" si="6"/>
        <v>33.25</v>
      </c>
      <c r="Z9" s="122" t="str">
        <f t="shared" si="0"/>
        <v>SAM</v>
      </c>
      <c r="AA9" s="17">
        <f t="shared" si="2"/>
        <v>1</v>
      </c>
      <c r="AB9">
        <f t="shared" si="2"/>
        <v>1</v>
      </c>
      <c r="AC9">
        <f t="shared" si="2"/>
        <v>1</v>
      </c>
      <c r="AD9">
        <f t="shared" si="2"/>
        <v>1</v>
      </c>
      <c r="AE9">
        <f t="shared" si="2"/>
        <v>0</v>
      </c>
      <c r="AF9">
        <f t="shared" si="2"/>
        <v>0</v>
      </c>
      <c r="AG9">
        <f t="shared" si="2"/>
        <v>0</v>
      </c>
      <c r="AH9">
        <f t="shared" si="2"/>
        <v>0</v>
      </c>
      <c r="AI9">
        <f t="shared" si="2"/>
        <v>0</v>
      </c>
      <c r="AJ9">
        <f t="shared" si="2"/>
        <v>0</v>
      </c>
      <c r="AK9">
        <f t="shared" si="3"/>
        <v>0</v>
      </c>
      <c r="AL9">
        <f t="shared" si="3"/>
        <v>0</v>
      </c>
      <c r="AM9">
        <f t="shared" si="3"/>
        <v>0</v>
      </c>
      <c r="AN9">
        <f t="shared" si="3"/>
        <v>0</v>
      </c>
      <c r="AO9">
        <f t="shared" si="3"/>
        <v>0</v>
      </c>
      <c r="AP9">
        <f t="shared" si="3"/>
        <v>0</v>
      </c>
      <c r="AQ9">
        <f t="shared" si="3"/>
        <v>0</v>
      </c>
      <c r="AR9">
        <f t="shared" si="3"/>
        <v>0</v>
      </c>
      <c r="AS9">
        <f t="shared" si="3"/>
        <v>0</v>
      </c>
      <c r="AT9">
        <f t="shared" si="3"/>
        <v>0</v>
      </c>
      <c r="AU9">
        <f t="shared" si="4"/>
        <v>0</v>
      </c>
      <c r="AV9">
        <f t="shared" si="4"/>
        <v>0</v>
      </c>
      <c r="AW9" s="23">
        <f t="shared" si="5"/>
        <v>4</v>
      </c>
      <c r="AX9" s="24">
        <f t="shared" si="7"/>
        <v>133</v>
      </c>
      <c r="AY9" s="121" t="str">
        <f t="shared" si="8"/>
        <v>SAM</v>
      </c>
      <c r="AZ9" s="124" t="str">
        <f t="shared" si="9"/>
        <v>PIRATES OF THE TABLE</v>
      </c>
      <c r="BA9" s="243">
        <v>173</v>
      </c>
      <c r="BB9" s="198" t="s">
        <v>328</v>
      </c>
      <c r="BC9" s="244" t="s">
        <v>338</v>
      </c>
      <c r="BD9" s="24"/>
      <c r="BE9" s="23"/>
      <c r="BF9" s="203">
        <v>789.2</v>
      </c>
      <c r="BG9" s="204" t="s">
        <v>304</v>
      </c>
      <c r="BI9">
        <v>4</v>
      </c>
      <c r="BJ9" t="s">
        <v>188</v>
      </c>
      <c r="BK9" s="1">
        <f>BD71</f>
        <v>789.2</v>
      </c>
      <c r="BL9">
        <v>5</v>
      </c>
      <c r="BM9" t="str">
        <f>A60</f>
        <v>HABOOBS</v>
      </c>
    </row>
    <row r="10" spans="1:65">
      <c r="A10" s="19">
        <f>B!B43</f>
        <v>0</v>
      </c>
      <c r="B10" s="20">
        <f>'C'!B10</f>
        <v>0</v>
      </c>
      <c r="C10" s="20">
        <f>D!B10</f>
        <v>18</v>
      </c>
      <c r="D10" s="20">
        <f>E!B10</f>
        <v>0</v>
      </c>
      <c r="E10" s="20">
        <f>F!B10</f>
        <v>0</v>
      </c>
      <c r="F10" s="20">
        <f>G!B10</f>
        <v>0</v>
      </c>
      <c r="G10" s="20">
        <f>H!B10</f>
        <v>0</v>
      </c>
      <c r="H10" s="20">
        <f>I!B10</f>
        <v>0</v>
      </c>
      <c r="I10" s="20">
        <f>J!B10</f>
        <v>0</v>
      </c>
      <c r="J10" s="20">
        <f>K!B10</f>
        <v>0</v>
      </c>
      <c r="K10" s="20">
        <f>L!B10</f>
        <v>0</v>
      </c>
      <c r="L10" s="20">
        <f>M!B10</f>
        <v>0</v>
      </c>
      <c r="M10" s="20">
        <f>N!B10</f>
        <v>0</v>
      </c>
      <c r="N10" s="20">
        <f>O!B10</f>
        <v>0</v>
      </c>
      <c r="O10" s="20">
        <f>P!B10</f>
        <v>0</v>
      </c>
      <c r="P10" s="20">
        <f>Q!B10</f>
        <v>0</v>
      </c>
      <c r="Q10" s="20">
        <f>'R'!B10</f>
        <v>0</v>
      </c>
      <c r="R10" s="20">
        <f>S!B10</f>
        <v>0</v>
      </c>
      <c r="S10" s="20">
        <f>T!B10</f>
        <v>0</v>
      </c>
      <c r="T10" s="20">
        <f>U!B10</f>
        <v>0</v>
      </c>
      <c r="U10" s="20">
        <f>V!B10</f>
        <v>0</v>
      </c>
      <c r="V10" s="20">
        <f>W!B10</f>
        <v>0</v>
      </c>
      <c r="W10" s="20">
        <f>X!B10</f>
        <v>0</v>
      </c>
      <c r="X10" s="21">
        <f t="shared" si="1"/>
        <v>18</v>
      </c>
      <c r="Y10" s="22">
        <f t="shared" si="6"/>
        <v>18</v>
      </c>
      <c r="Z10" s="122">
        <f t="shared" si="0"/>
        <v>0</v>
      </c>
      <c r="AA10" s="17">
        <f t="shared" si="2"/>
        <v>0</v>
      </c>
      <c r="AB10">
        <f t="shared" si="2"/>
        <v>1</v>
      </c>
      <c r="AC10">
        <f t="shared" si="2"/>
        <v>0</v>
      </c>
      <c r="AD10">
        <f t="shared" si="2"/>
        <v>0</v>
      </c>
      <c r="AE10">
        <f t="shared" si="2"/>
        <v>0</v>
      </c>
      <c r="AF10">
        <f t="shared" si="2"/>
        <v>0</v>
      </c>
      <c r="AG10">
        <f t="shared" si="2"/>
        <v>0</v>
      </c>
      <c r="AH10">
        <f t="shared" si="2"/>
        <v>0</v>
      </c>
      <c r="AI10">
        <f t="shared" si="2"/>
        <v>0</v>
      </c>
      <c r="AJ10">
        <f t="shared" si="2"/>
        <v>0</v>
      </c>
      <c r="AK10">
        <f t="shared" si="3"/>
        <v>0</v>
      </c>
      <c r="AL10">
        <f t="shared" si="3"/>
        <v>0</v>
      </c>
      <c r="AM10">
        <f t="shared" si="3"/>
        <v>0</v>
      </c>
      <c r="AN10">
        <f t="shared" si="3"/>
        <v>0</v>
      </c>
      <c r="AO10">
        <f t="shared" si="3"/>
        <v>0</v>
      </c>
      <c r="AP10">
        <f t="shared" si="3"/>
        <v>0</v>
      </c>
      <c r="AQ10">
        <f t="shared" si="3"/>
        <v>0</v>
      </c>
      <c r="AR10">
        <f t="shared" si="3"/>
        <v>0</v>
      </c>
      <c r="AS10">
        <f t="shared" si="3"/>
        <v>0</v>
      </c>
      <c r="AT10">
        <f t="shared" si="3"/>
        <v>0</v>
      </c>
      <c r="AU10">
        <f t="shared" si="4"/>
        <v>0</v>
      </c>
      <c r="AV10">
        <f t="shared" si="4"/>
        <v>0</v>
      </c>
      <c r="AW10" s="23">
        <f t="shared" si="5"/>
        <v>1</v>
      </c>
      <c r="AX10" s="24">
        <f t="shared" si="7"/>
        <v>18</v>
      </c>
      <c r="AY10" s="121">
        <f t="shared" si="8"/>
        <v>0</v>
      </c>
      <c r="AZ10" s="124" t="str">
        <f t="shared" si="9"/>
        <v>PIRATES OF THE TABLE</v>
      </c>
      <c r="BA10" s="197">
        <v>169</v>
      </c>
      <c r="BB10" s="198" t="s">
        <v>284</v>
      </c>
      <c r="BC10" s="198" t="s">
        <v>282</v>
      </c>
      <c r="BD10" s="24"/>
      <c r="BE10" s="23"/>
      <c r="BF10" s="203">
        <v>774.09999999999991</v>
      </c>
      <c r="BG10" s="204" t="s">
        <v>323</v>
      </c>
      <c r="BI10">
        <v>5</v>
      </c>
      <c r="BJ10" t="s">
        <v>122</v>
      </c>
      <c r="BK10" s="1">
        <f>BD85</f>
        <v>758.95</v>
      </c>
      <c r="BL10">
        <v>6</v>
      </c>
      <c r="BM10" t="str">
        <f>A74</f>
        <v>FFFFF TO THE 1OTH POWER</v>
      </c>
    </row>
    <row r="11" spans="1:65">
      <c r="A11" s="19">
        <f>B!B48</f>
        <v>0</v>
      </c>
      <c r="B11" s="20">
        <f>'C'!B11</f>
        <v>0</v>
      </c>
      <c r="C11" s="20">
        <f>D!B11</f>
        <v>0</v>
      </c>
      <c r="D11" s="20">
        <f>E!B11</f>
        <v>0</v>
      </c>
      <c r="E11" s="20">
        <f>F!B11</f>
        <v>0</v>
      </c>
      <c r="F11" s="20">
        <f>G!B11</f>
        <v>0</v>
      </c>
      <c r="G11" s="20">
        <f>H!B11</f>
        <v>0</v>
      </c>
      <c r="H11" s="20">
        <f>I!B11</f>
        <v>0</v>
      </c>
      <c r="I11" s="20">
        <f>J!B11</f>
        <v>0</v>
      </c>
      <c r="J11" s="20">
        <f>K!B11</f>
        <v>0</v>
      </c>
      <c r="K11" s="20">
        <f>L!B11</f>
        <v>0</v>
      </c>
      <c r="L11" s="20">
        <f>M!B11</f>
        <v>0</v>
      </c>
      <c r="M11" s="20">
        <f>N!B11</f>
        <v>0</v>
      </c>
      <c r="N11" s="20">
        <f>O!B11</f>
        <v>0</v>
      </c>
      <c r="O11" s="20">
        <f>P!B11</f>
        <v>0</v>
      </c>
      <c r="P11" s="20">
        <f>Q!B11</f>
        <v>0</v>
      </c>
      <c r="Q11" s="20">
        <f>'R'!B11</f>
        <v>0</v>
      </c>
      <c r="R11" s="20">
        <f>S!B11</f>
        <v>0</v>
      </c>
      <c r="S11" s="20">
        <f>T!B11</f>
        <v>0</v>
      </c>
      <c r="T11" s="20">
        <f>U!B11</f>
        <v>0</v>
      </c>
      <c r="U11" s="20">
        <f>V!B11</f>
        <v>0</v>
      </c>
      <c r="V11" s="20">
        <f>W!B11</f>
        <v>0</v>
      </c>
      <c r="W11" s="20">
        <f>X!B11</f>
        <v>0</v>
      </c>
      <c r="X11" s="21">
        <f t="shared" si="1"/>
        <v>0</v>
      </c>
      <c r="Y11" s="22">
        <f t="shared" si="6"/>
        <v>0</v>
      </c>
      <c r="Z11" s="122">
        <f t="shared" si="0"/>
        <v>0</v>
      </c>
      <c r="AA11" s="17">
        <f t="shared" si="2"/>
        <v>0</v>
      </c>
      <c r="AB11">
        <f t="shared" si="2"/>
        <v>0</v>
      </c>
      <c r="AC11">
        <f t="shared" si="2"/>
        <v>0</v>
      </c>
      <c r="AD11">
        <f t="shared" si="2"/>
        <v>0</v>
      </c>
      <c r="AE11">
        <f t="shared" si="2"/>
        <v>0</v>
      </c>
      <c r="AF11">
        <f t="shared" si="2"/>
        <v>0</v>
      </c>
      <c r="AG11">
        <f t="shared" si="2"/>
        <v>0</v>
      </c>
      <c r="AH11">
        <f t="shared" si="2"/>
        <v>0</v>
      </c>
      <c r="AI11">
        <f t="shared" si="2"/>
        <v>0</v>
      </c>
      <c r="AJ11">
        <f t="shared" si="2"/>
        <v>0</v>
      </c>
      <c r="AK11">
        <f t="shared" si="3"/>
        <v>0</v>
      </c>
      <c r="AL11">
        <f t="shared" si="3"/>
        <v>0</v>
      </c>
      <c r="AM11">
        <f t="shared" si="3"/>
        <v>0</v>
      </c>
      <c r="AN11">
        <f t="shared" si="3"/>
        <v>0</v>
      </c>
      <c r="AO11">
        <f t="shared" si="3"/>
        <v>0</v>
      </c>
      <c r="AP11">
        <f t="shared" si="3"/>
        <v>0</v>
      </c>
      <c r="AQ11">
        <f t="shared" si="3"/>
        <v>0</v>
      </c>
      <c r="AR11">
        <f t="shared" si="3"/>
        <v>0</v>
      </c>
      <c r="AS11">
        <f t="shared" si="3"/>
        <v>0</v>
      </c>
      <c r="AT11">
        <f t="shared" si="3"/>
        <v>0</v>
      </c>
      <c r="AU11">
        <f t="shared" si="4"/>
        <v>0</v>
      </c>
      <c r="AV11">
        <f t="shared" si="4"/>
        <v>0</v>
      </c>
      <c r="AW11" s="23">
        <f t="shared" si="5"/>
        <v>0</v>
      </c>
      <c r="AX11" s="24">
        <f t="shared" si="7"/>
        <v>0</v>
      </c>
      <c r="AY11" s="121">
        <f t="shared" si="8"/>
        <v>0</v>
      </c>
      <c r="AZ11" s="124">
        <f t="shared" si="9"/>
        <v>0</v>
      </c>
      <c r="BA11" s="197">
        <v>169</v>
      </c>
      <c r="BB11" s="198" t="s">
        <v>316</v>
      </c>
      <c r="BC11" s="198" t="s">
        <v>314</v>
      </c>
      <c r="BD11" s="24"/>
      <c r="BE11" s="23"/>
      <c r="BF11" s="203">
        <v>767</v>
      </c>
      <c r="BG11" s="204" t="s">
        <v>295</v>
      </c>
      <c r="BI11">
        <v>6</v>
      </c>
      <c r="BJ11" t="s">
        <v>227</v>
      </c>
      <c r="BK11" s="1">
        <f>BD99</f>
        <v>797.4</v>
      </c>
      <c r="BL11">
        <v>7</v>
      </c>
      <c r="BM11" t="str">
        <f>A88</f>
        <v>YOUNG BLOODS</v>
      </c>
    </row>
    <row r="12" spans="1:65" ht="15.75" thickBot="1">
      <c r="A12" s="17">
        <f>B!B53</f>
        <v>0</v>
      </c>
      <c r="B12" s="67">
        <f>'C'!B12</f>
        <v>0</v>
      </c>
      <c r="C12" s="67">
        <f>D!B12</f>
        <v>0</v>
      </c>
      <c r="D12" s="67">
        <f>E!B12</f>
        <v>0</v>
      </c>
      <c r="E12" s="67">
        <f>F!B12</f>
        <v>0</v>
      </c>
      <c r="F12" s="67">
        <f>G!B12</f>
        <v>0</v>
      </c>
      <c r="G12" s="67">
        <f>H!B12</f>
        <v>0</v>
      </c>
      <c r="H12" s="67">
        <f>I!B12</f>
        <v>0</v>
      </c>
      <c r="I12" s="67">
        <f>J!B12</f>
        <v>0</v>
      </c>
      <c r="J12" s="67">
        <f>K!B12</f>
        <v>0</v>
      </c>
      <c r="K12" s="67">
        <f>L!B12</f>
        <v>0</v>
      </c>
      <c r="L12" s="67">
        <f>M!B12</f>
        <v>0</v>
      </c>
      <c r="M12" s="67">
        <f>N!B12</f>
        <v>0</v>
      </c>
      <c r="N12" s="67">
        <f>O!B12</f>
        <v>0</v>
      </c>
      <c r="O12" s="67">
        <f>P!B12</f>
        <v>0</v>
      </c>
      <c r="P12" s="67">
        <f>Q!B12</f>
        <v>0</v>
      </c>
      <c r="Q12" s="67">
        <f>'R'!B12</f>
        <v>0</v>
      </c>
      <c r="R12" s="67">
        <f>S!B12</f>
        <v>0</v>
      </c>
      <c r="S12" s="67">
        <f>T!B12</f>
        <v>0</v>
      </c>
      <c r="T12" s="67">
        <f>U!B12</f>
        <v>0</v>
      </c>
      <c r="U12" s="67">
        <f>V!B12</f>
        <v>0</v>
      </c>
      <c r="V12" s="67">
        <f>W!B12</f>
        <v>0</v>
      </c>
      <c r="W12" s="67">
        <f>X!B12</f>
        <v>0</v>
      </c>
      <c r="X12" s="98">
        <f t="shared" si="1"/>
        <v>0</v>
      </c>
      <c r="Y12" s="99">
        <f t="shared" si="6"/>
        <v>0</v>
      </c>
      <c r="Z12" s="122">
        <f t="shared" si="0"/>
        <v>0</v>
      </c>
      <c r="AA12" s="17">
        <f t="shared" si="2"/>
        <v>0</v>
      </c>
      <c r="AB12">
        <f t="shared" si="2"/>
        <v>0</v>
      </c>
      <c r="AC12">
        <f t="shared" si="2"/>
        <v>0</v>
      </c>
      <c r="AD12">
        <f t="shared" si="2"/>
        <v>0</v>
      </c>
      <c r="AE12">
        <f t="shared" si="2"/>
        <v>0</v>
      </c>
      <c r="AF12">
        <f t="shared" si="2"/>
        <v>0</v>
      </c>
      <c r="AG12">
        <f t="shared" si="2"/>
        <v>0</v>
      </c>
      <c r="AH12">
        <f t="shared" si="2"/>
        <v>0</v>
      </c>
      <c r="AI12">
        <f t="shared" si="2"/>
        <v>0</v>
      </c>
      <c r="AJ12">
        <f t="shared" si="2"/>
        <v>0</v>
      </c>
      <c r="AK12">
        <f t="shared" si="3"/>
        <v>0</v>
      </c>
      <c r="AL12">
        <f t="shared" si="3"/>
        <v>0</v>
      </c>
      <c r="AM12">
        <f t="shared" si="3"/>
        <v>0</v>
      </c>
      <c r="AN12">
        <f t="shared" si="3"/>
        <v>0</v>
      </c>
      <c r="AO12">
        <f t="shared" si="3"/>
        <v>0</v>
      </c>
      <c r="AP12">
        <f t="shared" si="3"/>
        <v>0</v>
      </c>
      <c r="AQ12">
        <f t="shared" si="3"/>
        <v>0</v>
      </c>
      <c r="AR12">
        <f t="shared" si="3"/>
        <v>0</v>
      </c>
      <c r="AS12">
        <f t="shared" si="3"/>
        <v>0</v>
      </c>
      <c r="AT12">
        <f t="shared" si="3"/>
        <v>0</v>
      </c>
      <c r="AU12">
        <f t="shared" si="4"/>
        <v>0</v>
      </c>
      <c r="AV12">
        <f t="shared" si="4"/>
        <v>0</v>
      </c>
      <c r="AW12" s="23">
        <f t="shared" si="5"/>
        <v>0</v>
      </c>
      <c r="AX12" s="24">
        <f t="shared" si="7"/>
        <v>0</v>
      </c>
      <c r="AY12" s="121">
        <f t="shared" si="8"/>
        <v>0</v>
      </c>
      <c r="AZ12" s="124">
        <f>IF(AX12=0,0,A$4)</f>
        <v>0</v>
      </c>
      <c r="BA12" s="243">
        <v>169</v>
      </c>
      <c r="BB12" s="198" t="s">
        <v>305</v>
      </c>
      <c r="BC12" s="244" t="s">
        <v>319</v>
      </c>
      <c r="BD12" s="24"/>
      <c r="BE12" s="23"/>
      <c r="BF12" s="203">
        <v>762</v>
      </c>
      <c r="BG12" s="204" t="s">
        <v>300</v>
      </c>
      <c r="BI12">
        <v>7</v>
      </c>
      <c r="BJ12" t="s">
        <v>228</v>
      </c>
      <c r="BK12" s="1">
        <f>BD113</f>
        <v>792.95</v>
      </c>
      <c r="BL12">
        <v>8</v>
      </c>
      <c r="BM12" t="str">
        <f>A102</f>
        <v>THE BOYS</v>
      </c>
    </row>
    <row r="13" spans="1:65" ht="15.75" thickTop="1">
      <c r="A13" s="133" t="s">
        <v>134</v>
      </c>
      <c r="B13" s="134">
        <f>SUM(B5:B12)</f>
        <v>200</v>
      </c>
      <c r="C13" s="134">
        <f t="shared" ref="C13:W13" si="10">SUM(C5:C12)</f>
        <v>180</v>
      </c>
      <c r="D13" s="134">
        <f t="shared" si="10"/>
        <v>160</v>
      </c>
      <c r="E13" s="134">
        <f t="shared" si="10"/>
        <v>187</v>
      </c>
      <c r="F13" s="134">
        <f t="shared" si="10"/>
        <v>0</v>
      </c>
      <c r="G13" s="134">
        <f t="shared" si="10"/>
        <v>0</v>
      </c>
      <c r="H13" s="134">
        <f t="shared" si="10"/>
        <v>0</v>
      </c>
      <c r="I13" s="134">
        <f t="shared" si="10"/>
        <v>0</v>
      </c>
      <c r="J13" s="134">
        <f t="shared" si="10"/>
        <v>0</v>
      </c>
      <c r="K13" s="134">
        <f t="shared" si="10"/>
        <v>0</v>
      </c>
      <c r="L13" s="134">
        <f t="shared" si="10"/>
        <v>0</v>
      </c>
      <c r="M13" s="134">
        <f t="shared" si="10"/>
        <v>0</v>
      </c>
      <c r="N13" s="134">
        <f t="shared" si="10"/>
        <v>0</v>
      </c>
      <c r="O13" s="134">
        <f t="shared" si="10"/>
        <v>0</v>
      </c>
      <c r="P13" s="134">
        <f t="shared" si="10"/>
        <v>0</v>
      </c>
      <c r="Q13" s="134">
        <f t="shared" si="10"/>
        <v>0</v>
      </c>
      <c r="R13" s="134">
        <f t="shared" si="10"/>
        <v>0</v>
      </c>
      <c r="S13" s="134">
        <f t="shared" si="10"/>
        <v>0</v>
      </c>
      <c r="T13" s="134">
        <f t="shared" si="10"/>
        <v>0</v>
      </c>
      <c r="U13" s="134">
        <f t="shared" si="10"/>
        <v>0</v>
      </c>
      <c r="V13" s="134">
        <f t="shared" si="10"/>
        <v>0</v>
      </c>
      <c r="W13" s="134">
        <f t="shared" si="10"/>
        <v>0</v>
      </c>
      <c r="X13" s="135">
        <f t="shared" si="1"/>
        <v>727</v>
      </c>
      <c r="Y13" s="137">
        <f>IF(X13=0,0,X13/AW13)</f>
        <v>181.75</v>
      </c>
      <c r="Z13" s="122"/>
      <c r="AA13" s="138">
        <f>SUM(AA5:AA12)</f>
        <v>5</v>
      </c>
      <c r="AB13" s="11">
        <f t="shared" ref="AB13:AV13" si="11">SUM(AB5:AB12)</f>
        <v>6</v>
      </c>
      <c r="AC13" s="11">
        <f t="shared" si="11"/>
        <v>5</v>
      </c>
      <c r="AD13" s="11">
        <f t="shared" si="11"/>
        <v>5</v>
      </c>
      <c r="AE13" s="11">
        <f t="shared" si="11"/>
        <v>0</v>
      </c>
      <c r="AF13" s="11">
        <f t="shared" si="11"/>
        <v>0</v>
      </c>
      <c r="AG13" s="11">
        <f t="shared" si="11"/>
        <v>0</v>
      </c>
      <c r="AH13" s="11">
        <f t="shared" si="11"/>
        <v>0</v>
      </c>
      <c r="AI13" s="11">
        <f t="shared" si="11"/>
        <v>0</v>
      </c>
      <c r="AJ13" s="11">
        <f t="shared" si="11"/>
        <v>0</v>
      </c>
      <c r="AK13" s="11">
        <f t="shared" si="11"/>
        <v>0</v>
      </c>
      <c r="AL13" s="11">
        <f t="shared" si="11"/>
        <v>0</v>
      </c>
      <c r="AM13" s="11">
        <f t="shared" si="11"/>
        <v>0</v>
      </c>
      <c r="AN13" s="11">
        <f t="shared" si="11"/>
        <v>0</v>
      </c>
      <c r="AO13" s="11">
        <f t="shared" si="11"/>
        <v>0</v>
      </c>
      <c r="AP13" s="11">
        <f t="shared" si="11"/>
        <v>0</v>
      </c>
      <c r="AQ13" s="11">
        <f t="shared" si="11"/>
        <v>0</v>
      </c>
      <c r="AR13" s="11">
        <f t="shared" si="11"/>
        <v>0</v>
      </c>
      <c r="AS13" s="11">
        <f t="shared" si="11"/>
        <v>0</v>
      </c>
      <c r="AT13" s="11">
        <f t="shared" si="11"/>
        <v>0</v>
      </c>
      <c r="AU13" s="11">
        <f t="shared" si="11"/>
        <v>0</v>
      </c>
      <c r="AV13" s="11">
        <f t="shared" si="11"/>
        <v>0</v>
      </c>
      <c r="AW13" s="12">
        <f>MAXA(AW5:AW12)</f>
        <v>4</v>
      </c>
      <c r="AX13" s="24"/>
      <c r="AZ13" s="124"/>
      <c r="BA13" s="243">
        <v>168</v>
      </c>
      <c r="BB13" s="198" t="s">
        <v>327</v>
      </c>
      <c r="BC13" s="244" t="s">
        <v>323</v>
      </c>
      <c r="BD13" s="24"/>
      <c r="BE13" s="23"/>
      <c r="BF13" s="203">
        <v>758.95</v>
      </c>
      <c r="BG13" s="204" t="s">
        <v>309</v>
      </c>
      <c r="BI13">
        <v>8</v>
      </c>
      <c r="BJ13" t="s">
        <v>229</v>
      </c>
      <c r="BK13" s="1">
        <f>BD127</f>
        <v>774.09999999999991</v>
      </c>
      <c r="BL13">
        <v>9</v>
      </c>
      <c r="BM13" t="str">
        <f>A116</f>
        <v>THE DOUGERNAUTS</v>
      </c>
    </row>
    <row r="14" spans="1:65" ht="16.5" thickBot="1">
      <c r="A14" s="132" t="s">
        <v>189</v>
      </c>
      <c r="B14" s="101">
        <f>'C'!B13</f>
        <v>0</v>
      </c>
      <c r="C14" s="101">
        <f>D!B13</f>
        <v>0</v>
      </c>
      <c r="D14" s="101">
        <f>E!B13</f>
        <v>8.5500000000000007</v>
      </c>
      <c r="E14" s="101">
        <f>F!B13</f>
        <v>9</v>
      </c>
      <c r="F14" s="101">
        <f>G!B13</f>
        <v>0</v>
      </c>
      <c r="G14" s="101">
        <f>H!B13</f>
        <v>0</v>
      </c>
      <c r="H14" s="101">
        <f>I!B13</f>
        <v>0</v>
      </c>
      <c r="I14" s="101">
        <f>J!B13</f>
        <v>0</v>
      </c>
      <c r="J14" s="101">
        <f>K!B13</f>
        <v>0</v>
      </c>
      <c r="K14" s="101">
        <f>L!B13</f>
        <v>0</v>
      </c>
      <c r="L14" s="101">
        <f>M!B13</f>
        <v>0</v>
      </c>
      <c r="M14" s="101">
        <f>N!B13</f>
        <v>0</v>
      </c>
      <c r="N14" s="101">
        <f>O!B13</f>
        <v>0</v>
      </c>
      <c r="O14" s="101">
        <f>P!B13</f>
        <v>0</v>
      </c>
      <c r="P14" s="101">
        <f>Q!B13</f>
        <v>0</v>
      </c>
      <c r="Q14" s="101">
        <f>'R'!B13</f>
        <v>0</v>
      </c>
      <c r="R14" s="101">
        <f>S!B13</f>
        <v>0</v>
      </c>
      <c r="S14" s="101">
        <f>T!B13</f>
        <v>0</v>
      </c>
      <c r="T14" s="101">
        <f>U!B13</f>
        <v>0</v>
      </c>
      <c r="U14" s="101">
        <f>V!B13</f>
        <v>0</v>
      </c>
      <c r="V14" s="101">
        <f>W!B13</f>
        <v>0</v>
      </c>
      <c r="W14" s="101">
        <f>X!B13</f>
        <v>0</v>
      </c>
      <c r="X14" s="21">
        <f t="shared" si="1"/>
        <v>17.55</v>
      </c>
      <c r="Y14" s="120"/>
      <c r="Z14" s="122"/>
      <c r="AA14" s="17"/>
      <c r="AW14" s="23"/>
      <c r="AX14" s="24"/>
      <c r="AZ14" s="124"/>
      <c r="BA14" s="197">
        <v>167</v>
      </c>
      <c r="BB14" s="198" t="s">
        <v>296</v>
      </c>
      <c r="BC14" s="198" t="s">
        <v>295</v>
      </c>
      <c r="BD14" s="24"/>
      <c r="BE14" s="23"/>
      <c r="BF14" s="203">
        <v>744.55</v>
      </c>
      <c r="BG14" s="204" t="s">
        <v>282</v>
      </c>
      <c r="BI14">
        <v>9</v>
      </c>
      <c r="BJ14" t="s">
        <v>230</v>
      </c>
      <c r="BK14" s="1">
        <f>BD141</f>
        <v>827</v>
      </c>
      <c r="BL14">
        <v>10</v>
      </c>
      <c r="BM14" t="str">
        <f>A130</f>
        <v>CRAZY TRAIN</v>
      </c>
    </row>
    <row r="15" spans="1:65" ht="16.5" thickTop="1" thickBot="1">
      <c r="A15" s="100" t="s">
        <v>53</v>
      </c>
      <c r="B15" s="68">
        <f>SUM(B13:B14)</f>
        <v>200</v>
      </c>
      <c r="C15" s="68">
        <f>SUM(C13:C14)</f>
        <v>180</v>
      </c>
      <c r="D15" s="68">
        <f t="shared" ref="D15:W15" si="12">SUM(D13:D14)</f>
        <v>168.55</v>
      </c>
      <c r="E15" s="68">
        <f t="shared" si="12"/>
        <v>196</v>
      </c>
      <c r="F15" s="68">
        <f t="shared" si="12"/>
        <v>0</v>
      </c>
      <c r="G15" s="68">
        <f t="shared" si="12"/>
        <v>0</v>
      </c>
      <c r="H15" s="68">
        <f t="shared" si="12"/>
        <v>0</v>
      </c>
      <c r="I15" s="68">
        <f t="shared" si="12"/>
        <v>0</v>
      </c>
      <c r="J15" s="68">
        <f t="shared" si="12"/>
        <v>0</v>
      </c>
      <c r="K15" s="68">
        <f t="shared" si="12"/>
        <v>0</v>
      </c>
      <c r="L15" s="68">
        <f t="shared" si="12"/>
        <v>0</v>
      </c>
      <c r="M15" s="68">
        <f t="shared" si="12"/>
        <v>0</v>
      </c>
      <c r="N15" s="68">
        <f t="shared" si="12"/>
        <v>0</v>
      </c>
      <c r="O15" s="68">
        <f t="shared" si="12"/>
        <v>0</v>
      </c>
      <c r="P15" s="68">
        <f t="shared" si="12"/>
        <v>0</v>
      </c>
      <c r="Q15" s="68">
        <f t="shared" si="12"/>
        <v>0</v>
      </c>
      <c r="R15" s="68">
        <f t="shared" si="12"/>
        <v>0</v>
      </c>
      <c r="S15" s="68">
        <f t="shared" si="12"/>
        <v>0</v>
      </c>
      <c r="T15" s="68">
        <f t="shared" si="12"/>
        <v>0</v>
      </c>
      <c r="U15" s="68">
        <f t="shared" si="12"/>
        <v>0</v>
      </c>
      <c r="V15" s="68">
        <f t="shared" si="12"/>
        <v>0</v>
      </c>
      <c r="W15" s="68">
        <f t="shared" si="12"/>
        <v>0</v>
      </c>
      <c r="X15" s="28">
        <f t="shared" si="1"/>
        <v>744.55</v>
      </c>
      <c r="Y15" s="136"/>
      <c r="Z15" s="122"/>
      <c r="AA15" s="17"/>
      <c r="AW15" s="23"/>
      <c r="AX15" s="24"/>
      <c r="AZ15" s="124"/>
      <c r="BA15" s="197">
        <v>166</v>
      </c>
      <c r="BB15" s="198" t="s">
        <v>318</v>
      </c>
      <c r="BC15" s="198" t="s">
        <v>314</v>
      </c>
      <c r="BD15" s="24">
        <f>X15</f>
        <v>744.55</v>
      </c>
      <c r="BE15" s="23" t="str">
        <f>A4</f>
        <v>PIRATES OF THE TABLE</v>
      </c>
      <c r="BF15" s="203">
        <v>687.5</v>
      </c>
      <c r="BG15" s="204" t="s">
        <v>289</v>
      </c>
      <c r="BI15">
        <v>10</v>
      </c>
      <c r="BJ15" t="s">
        <v>231</v>
      </c>
      <c r="BK15" s="1">
        <f>BD155</f>
        <v>802.7</v>
      </c>
      <c r="BL15">
        <v>11</v>
      </c>
      <c r="BM15" t="str">
        <f>A144</f>
        <v>SPAM FO LUNCH</v>
      </c>
    </row>
    <row r="16" spans="1:6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22"/>
      <c r="AA16" s="17"/>
      <c r="AW16" s="23"/>
      <c r="AX16" s="24"/>
      <c r="AZ16" s="124"/>
      <c r="BA16" s="197">
        <v>166</v>
      </c>
      <c r="BB16" s="198" t="s">
        <v>320</v>
      </c>
      <c r="BC16" s="198" t="s">
        <v>319</v>
      </c>
      <c r="BD16" s="24"/>
      <c r="BE16" s="23"/>
      <c r="BF16" s="203">
        <v>15</v>
      </c>
      <c r="BG16" s="204" t="s">
        <v>283</v>
      </c>
      <c r="BI16">
        <v>11</v>
      </c>
      <c r="BJ16" t="s">
        <v>232</v>
      </c>
      <c r="BK16" s="1">
        <f>BD169</f>
        <v>15</v>
      </c>
      <c r="BL16">
        <v>12</v>
      </c>
      <c r="BM16" t="str">
        <f>A158</f>
        <v>BYE</v>
      </c>
    </row>
    <row r="17" spans="1:65" ht="15.75" thickBot="1">
      <c r="A17" s="7" t="s">
        <v>54</v>
      </c>
      <c r="B17" s="8" t="s">
        <v>27</v>
      </c>
      <c r="C17" s="8" t="s">
        <v>28</v>
      </c>
      <c r="D17" s="8" t="s">
        <v>29</v>
      </c>
      <c r="E17" s="8" t="s">
        <v>30</v>
      </c>
      <c r="F17" s="8" t="s">
        <v>31</v>
      </c>
      <c r="G17" s="8" t="s">
        <v>32</v>
      </c>
      <c r="H17" s="8" t="s">
        <v>33</v>
      </c>
      <c r="I17" s="8" t="s">
        <v>34</v>
      </c>
      <c r="J17" s="8" t="s">
        <v>35</v>
      </c>
      <c r="K17" s="8" t="s">
        <v>36</v>
      </c>
      <c r="L17" s="8" t="s">
        <v>37</v>
      </c>
      <c r="M17" s="8" t="s">
        <v>38</v>
      </c>
      <c r="N17" s="8" t="s">
        <v>39</v>
      </c>
      <c r="O17" s="8" t="s">
        <v>40</v>
      </c>
      <c r="P17" s="8" t="s">
        <v>41</v>
      </c>
      <c r="Q17" s="8" t="s">
        <v>42</v>
      </c>
      <c r="R17" s="8" t="s">
        <v>43</v>
      </c>
      <c r="S17" s="8" t="s">
        <v>44</v>
      </c>
      <c r="T17" s="8" t="s">
        <v>45</v>
      </c>
      <c r="U17" s="8" t="s">
        <v>46</v>
      </c>
      <c r="V17" s="8" t="s">
        <v>47</v>
      </c>
      <c r="W17" s="8" t="s">
        <v>48</v>
      </c>
      <c r="X17" s="1"/>
      <c r="Y17" s="1"/>
      <c r="Z17" s="3" t="str">
        <f>A17</f>
        <v>Team #2 Name:</v>
      </c>
      <c r="AA17" s="17"/>
      <c r="AW17" s="23"/>
      <c r="AX17" s="24"/>
      <c r="AZ17" s="124"/>
      <c r="BA17" s="197">
        <v>165</v>
      </c>
      <c r="BB17" s="198" t="s">
        <v>290</v>
      </c>
      <c r="BC17" s="198" t="s">
        <v>289</v>
      </c>
      <c r="BD17" s="24"/>
      <c r="BE17" s="23"/>
      <c r="BF17" s="203">
        <v>0</v>
      </c>
      <c r="BG17" s="204">
        <v>0</v>
      </c>
      <c r="BI17">
        <v>12</v>
      </c>
      <c r="BJ17" t="s">
        <v>233</v>
      </c>
      <c r="BK17" s="1">
        <f>BD183</f>
        <v>0</v>
      </c>
      <c r="BL17">
        <v>13</v>
      </c>
      <c r="BM17">
        <f>A172</f>
        <v>0</v>
      </c>
    </row>
    <row r="18" spans="1:65">
      <c r="A18" s="13" t="str">
        <f>B!B59</f>
        <v>VLADIMIR POOLIN</v>
      </c>
      <c r="B18" s="29" t="s">
        <v>50</v>
      </c>
      <c r="C18" s="29" t="s">
        <v>50</v>
      </c>
      <c r="D18" s="29" t="s">
        <v>50</v>
      </c>
      <c r="E18" s="29" t="s">
        <v>50</v>
      </c>
      <c r="F18" s="29" t="s">
        <v>50</v>
      </c>
      <c r="G18" s="29" t="s">
        <v>50</v>
      </c>
      <c r="H18" s="29" t="s">
        <v>50</v>
      </c>
      <c r="I18" s="29" t="s">
        <v>50</v>
      </c>
      <c r="J18" s="29" t="s">
        <v>50</v>
      </c>
      <c r="K18" s="29" t="s">
        <v>50</v>
      </c>
      <c r="L18" s="29" t="s">
        <v>50</v>
      </c>
      <c r="M18" s="29" t="s">
        <v>50</v>
      </c>
      <c r="N18" s="29" t="s">
        <v>50</v>
      </c>
      <c r="O18" s="29" t="s">
        <v>50</v>
      </c>
      <c r="P18" s="29" t="s">
        <v>50</v>
      </c>
      <c r="Q18" s="29" t="s">
        <v>50</v>
      </c>
      <c r="R18" s="29" t="s">
        <v>50</v>
      </c>
      <c r="S18" s="29" t="s">
        <v>50</v>
      </c>
      <c r="T18" s="29" t="s">
        <v>50</v>
      </c>
      <c r="U18" s="29" t="s">
        <v>50</v>
      </c>
      <c r="V18" s="29" t="s">
        <v>50</v>
      </c>
      <c r="W18" s="29" t="s">
        <v>50</v>
      </c>
      <c r="X18" s="15" t="s">
        <v>51</v>
      </c>
      <c r="Y18" s="16" t="s">
        <v>52</v>
      </c>
      <c r="Z18" s="123" t="str">
        <f>A18</f>
        <v>VLADIMIR POOLIN</v>
      </c>
      <c r="AA18" s="17"/>
      <c r="AW18" s="4" t="s">
        <v>97</v>
      </c>
      <c r="AX18" s="24"/>
      <c r="AZ18" s="124"/>
      <c r="BA18" s="197">
        <v>165</v>
      </c>
      <c r="BB18" s="198" t="s">
        <v>305</v>
      </c>
      <c r="BC18" s="198" t="s">
        <v>304</v>
      </c>
      <c r="BD18" s="24"/>
      <c r="BE18" s="23"/>
      <c r="BF18" s="203">
        <v>0</v>
      </c>
      <c r="BG18" s="204">
        <v>0</v>
      </c>
      <c r="BI18">
        <v>13</v>
      </c>
      <c r="BJ18" t="s">
        <v>234</v>
      </c>
      <c r="BK18" s="1">
        <f>BD197</f>
        <v>0</v>
      </c>
      <c r="BL18">
        <v>14</v>
      </c>
      <c r="BM18">
        <f>A186</f>
        <v>0</v>
      </c>
    </row>
    <row r="19" spans="1:65">
      <c r="A19" s="19" t="str">
        <f>B!B61</f>
        <v>LEIGH</v>
      </c>
      <c r="B19" s="20">
        <f>'C'!B18</f>
        <v>46</v>
      </c>
      <c r="C19" s="20">
        <f>D!B18</f>
        <v>40</v>
      </c>
      <c r="D19" s="20">
        <f>E!B18</f>
        <v>37</v>
      </c>
      <c r="E19" s="20">
        <f>F!B18</f>
        <v>42</v>
      </c>
      <c r="F19" s="20">
        <f>G!B18</f>
        <v>0</v>
      </c>
      <c r="G19" s="20">
        <f>H!B18</f>
        <v>0</v>
      </c>
      <c r="H19" s="20">
        <f>I!B18</f>
        <v>0</v>
      </c>
      <c r="I19" s="20">
        <f>J!B18</f>
        <v>0</v>
      </c>
      <c r="J19" s="20">
        <f>K!B18</f>
        <v>0</v>
      </c>
      <c r="K19" s="20">
        <f>L!B18</f>
        <v>0</v>
      </c>
      <c r="L19" s="20">
        <f>M!B18</f>
        <v>0</v>
      </c>
      <c r="M19" s="20">
        <f>N!B18</f>
        <v>0</v>
      </c>
      <c r="N19" s="20">
        <f>O!B18</f>
        <v>0</v>
      </c>
      <c r="O19" s="20">
        <f>P!B18</f>
        <v>0</v>
      </c>
      <c r="P19" s="20">
        <f>Q!B18</f>
        <v>0</v>
      </c>
      <c r="Q19" s="20">
        <f>'R'!B18</f>
        <v>0</v>
      </c>
      <c r="R19" s="20">
        <f>S!B18</f>
        <v>0</v>
      </c>
      <c r="S19" s="20">
        <f>T!B18</f>
        <v>0</v>
      </c>
      <c r="T19" s="20">
        <f>U!B18</f>
        <v>0</v>
      </c>
      <c r="U19" s="20">
        <f>V!B18</f>
        <v>0</v>
      </c>
      <c r="V19" s="20">
        <f>W!B18</f>
        <v>0</v>
      </c>
      <c r="W19" s="20">
        <f>X!B18</f>
        <v>0</v>
      </c>
      <c r="X19" s="21">
        <f t="shared" ref="X19:X29" si="13">SUM(B19:W19)</f>
        <v>165</v>
      </c>
      <c r="Y19" s="22">
        <f>IF(AW19=0,0,X19/AW19)</f>
        <v>41.25</v>
      </c>
      <c r="Z19" s="122" t="str">
        <f t="shared" ref="Z19:Z26" si="14">A19</f>
        <v>LEIGH</v>
      </c>
      <c r="AA19" s="17">
        <f t="shared" ref="AA19:AA26" si="15">IF(B19=0,0,1)</f>
        <v>1</v>
      </c>
      <c r="AB19">
        <f t="shared" ref="AB19:AB26" si="16">IF(C19=0,0,1)</f>
        <v>1</v>
      </c>
      <c r="AC19">
        <f t="shared" ref="AC19:AC26" si="17">IF(D19=0,0,1)</f>
        <v>1</v>
      </c>
      <c r="AD19">
        <f t="shared" ref="AD19:AD26" si="18">IF(E19=0,0,1)</f>
        <v>1</v>
      </c>
      <c r="AE19">
        <f t="shared" ref="AE19:AE26" si="19">IF(F19=0,0,1)</f>
        <v>0</v>
      </c>
      <c r="AF19">
        <f t="shared" ref="AF19:AF26" si="20">IF(G19=0,0,1)</f>
        <v>0</v>
      </c>
      <c r="AG19">
        <f t="shared" ref="AG19:AG26" si="21">IF(H19=0,0,1)</f>
        <v>0</v>
      </c>
      <c r="AH19">
        <f t="shared" ref="AH19:AH26" si="22">IF(I19=0,0,1)</f>
        <v>0</v>
      </c>
      <c r="AI19">
        <f t="shared" ref="AI19:AI26" si="23">IF(J19=0,0,1)</f>
        <v>0</v>
      </c>
      <c r="AJ19">
        <f t="shared" ref="AJ19:AJ26" si="24">IF(K19=0,0,1)</f>
        <v>0</v>
      </c>
      <c r="AK19">
        <f t="shared" ref="AK19:AK26" si="25">IF(L19=0,0,1)</f>
        <v>0</v>
      </c>
      <c r="AL19">
        <f t="shared" ref="AL19:AL26" si="26">IF(M19=0,0,1)</f>
        <v>0</v>
      </c>
      <c r="AM19">
        <f t="shared" ref="AM19:AM26" si="27">IF(N19=0,0,1)</f>
        <v>0</v>
      </c>
      <c r="AN19">
        <f t="shared" ref="AN19:AN26" si="28">IF(O19=0,0,1)</f>
        <v>0</v>
      </c>
      <c r="AO19">
        <f t="shared" ref="AO19:AO26" si="29">IF(P19=0,0,1)</f>
        <v>0</v>
      </c>
      <c r="AP19">
        <f t="shared" ref="AP19:AP26" si="30">IF(Q19=0,0,1)</f>
        <v>0</v>
      </c>
      <c r="AQ19">
        <f t="shared" ref="AQ19:AQ26" si="31">IF(R19=0,0,1)</f>
        <v>0</v>
      </c>
      <c r="AR19">
        <f t="shared" ref="AR19:AR26" si="32">IF(S19=0,0,1)</f>
        <v>0</v>
      </c>
      <c r="AS19">
        <f t="shared" ref="AS19:AS26" si="33">IF(T19=0,0,1)</f>
        <v>0</v>
      </c>
      <c r="AT19">
        <f t="shared" ref="AT19:AT26" si="34">IF(U19=0,0,1)</f>
        <v>0</v>
      </c>
      <c r="AU19">
        <f t="shared" ref="AU19:AU26" si="35">IF(V19=0,0,1)</f>
        <v>0</v>
      </c>
      <c r="AV19">
        <f t="shared" ref="AV19:AV26" si="36">IF(W19=0,0,1)</f>
        <v>0</v>
      </c>
      <c r="AW19" s="23">
        <f t="shared" ref="AW19:AW26" si="37">SUM(AA19:AV19)</f>
        <v>4</v>
      </c>
      <c r="AX19" s="24">
        <f>IF(X19=0,0,X19)</f>
        <v>165</v>
      </c>
      <c r="AY19" s="121" t="str">
        <f>IF(X19=0,0,A19)</f>
        <v>LEIGH</v>
      </c>
      <c r="AZ19" s="124" t="str">
        <f>IF(AX19=0,0,A$18)</f>
        <v>VLADIMIR POOLIN</v>
      </c>
      <c r="BA19" s="197">
        <v>165</v>
      </c>
      <c r="BB19" s="198" t="s">
        <v>312</v>
      </c>
      <c r="BC19" s="198" t="s">
        <v>309</v>
      </c>
      <c r="BD19" s="24"/>
      <c r="BE19" s="23"/>
      <c r="BF19" s="203">
        <v>0</v>
      </c>
      <c r="BG19" s="204">
        <v>0</v>
      </c>
      <c r="BI19">
        <v>14</v>
      </c>
      <c r="BJ19" t="s">
        <v>235</v>
      </c>
      <c r="BK19" s="1">
        <f>BD211</f>
        <v>0</v>
      </c>
      <c r="BL19">
        <v>15</v>
      </c>
      <c r="BM19">
        <f>A200</f>
        <v>0</v>
      </c>
    </row>
    <row r="20" spans="1:65">
      <c r="A20" s="19" t="str">
        <f>B!B66</f>
        <v>IAN</v>
      </c>
      <c r="B20" s="20">
        <f>'C'!B19</f>
        <v>38</v>
      </c>
      <c r="C20" s="20">
        <f>D!B19</f>
        <v>40</v>
      </c>
      <c r="D20" s="20">
        <f>E!B19</f>
        <v>26</v>
      </c>
      <c r="E20" s="20">
        <f>F!B19</f>
        <v>32</v>
      </c>
      <c r="F20" s="20">
        <f>G!B19</f>
        <v>0</v>
      </c>
      <c r="G20" s="20">
        <f>H!B19</f>
        <v>0</v>
      </c>
      <c r="H20" s="20">
        <f>I!B19</f>
        <v>0</v>
      </c>
      <c r="I20" s="20">
        <f>J!B19</f>
        <v>0</v>
      </c>
      <c r="J20" s="20">
        <f>K!B19</f>
        <v>0</v>
      </c>
      <c r="K20" s="20">
        <f>L!B19</f>
        <v>0</v>
      </c>
      <c r="L20" s="20">
        <f>M!B19</f>
        <v>0</v>
      </c>
      <c r="M20" s="20">
        <f>N!B19</f>
        <v>0</v>
      </c>
      <c r="N20" s="20">
        <f>O!B19</f>
        <v>0</v>
      </c>
      <c r="O20" s="20">
        <f>P!B19</f>
        <v>0</v>
      </c>
      <c r="P20" s="20">
        <f>Q!B19</f>
        <v>0</v>
      </c>
      <c r="Q20" s="20">
        <f>'R'!B19</f>
        <v>0</v>
      </c>
      <c r="R20" s="20">
        <f>S!B19</f>
        <v>0</v>
      </c>
      <c r="S20" s="20">
        <f>T!B19</f>
        <v>0</v>
      </c>
      <c r="T20" s="20">
        <f>U!B19</f>
        <v>0</v>
      </c>
      <c r="U20" s="20">
        <f>V!B19</f>
        <v>0</v>
      </c>
      <c r="V20" s="20">
        <f>W!B19</f>
        <v>0</v>
      </c>
      <c r="W20" s="20">
        <f>X!B19</f>
        <v>0</v>
      </c>
      <c r="X20" s="21">
        <f t="shared" si="13"/>
        <v>136</v>
      </c>
      <c r="Y20" s="22">
        <f t="shared" ref="Y20:Y26" si="38">IF(AW20=0,0,X20/AW20)</f>
        <v>34</v>
      </c>
      <c r="Z20" s="122" t="str">
        <f t="shared" si="14"/>
        <v>IAN</v>
      </c>
      <c r="AA20" s="17">
        <f t="shared" si="15"/>
        <v>1</v>
      </c>
      <c r="AB20">
        <f t="shared" si="16"/>
        <v>1</v>
      </c>
      <c r="AC20">
        <f t="shared" si="17"/>
        <v>1</v>
      </c>
      <c r="AD20">
        <f t="shared" si="18"/>
        <v>1</v>
      </c>
      <c r="AE20">
        <f t="shared" si="19"/>
        <v>0</v>
      </c>
      <c r="AF20">
        <f t="shared" si="20"/>
        <v>0</v>
      </c>
      <c r="AG20">
        <f t="shared" si="21"/>
        <v>0</v>
      </c>
      <c r="AH20">
        <f t="shared" si="22"/>
        <v>0</v>
      </c>
      <c r="AI20">
        <f t="shared" si="23"/>
        <v>0</v>
      </c>
      <c r="AJ20">
        <f t="shared" si="24"/>
        <v>0</v>
      </c>
      <c r="AK20">
        <f t="shared" si="25"/>
        <v>0</v>
      </c>
      <c r="AL20">
        <f t="shared" si="26"/>
        <v>0</v>
      </c>
      <c r="AM20">
        <f t="shared" si="27"/>
        <v>0</v>
      </c>
      <c r="AN20">
        <f t="shared" si="28"/>
        <v>0</v>
      </c>
      <c r="AO20">
        <f t="shared" si="29"/>
        <v>0</v>
      </c>
      <c r="AP20">
        <f t="shared" si="30"/>
        <v>0</v>
      </c>
      <c r="AQ20">
        <f t="shared" si="31"/>
        <v>0</v>
      </c>
      <c r="AR20">
        <f t="shared" si="32"/>
        <v>0</v>
      </c>
      <c r="AS20">
        <f t="shared" si="33"/>
        <v>0</v>
      </c>
      <c r="AT20">
        <f t="shared" si="34"/>
        <v>0</v>
      </c>
      <c r="AU20">
        <f t="shared" si="35"/>
        <v>0</v>
      </c>
      <c r="AV20">
        <f t="shared" si="36"/>
        <v>0</v>
      </c>
      <c r="AW20" s="23">
        <f t="shared" si="37"/>
        <v>4</v>
      </c>
      <c r="AX20" s="24">
        <f t="shared" ref="AX20:AX26" si="39">IF(X20=0,0,X20)</f>
        <v>136</v>
      </c>
      <c r="AY20" s="121" t="str">
        <f t="shared" ref="AY20:AY26" si="40">IF(X20=0,0,A20)</f>
        <v>IAN</v>
      </c>
      <c r="AZ20" s="124" t="str">
        <f t="shared" ref="AZ20:AZ26" si="41">IF(AX20=0,0,A$18)</f>
        <v>VLADIMIR POOLIN</v>
      </c>
      <c r="BA20" s="197">
        <v>164</v>
      </c>
      <c r="BB20" s="198" t="s">
        <v>339</v>
      </c>
      <c r="BC20" s="198" t="s">
        <v>300</v>
      </c>
      <c r="BD20" s="24"/>
      <c r="BE20" s="23"/>
      <c r="BF20" s="203">
        <v>0</v>
      </c>
      <c r="BG20" s="204">
        <v>0</v>
      </c>
      <c r="BI20">
        <v>15</v>
      </c>
      <c r="BJ20" t="s">
        <v>236</v>
      </c>
      <c r="BK20" s="1">
        <f>BD225</f>
        <v>0</v>
      </c>
      <c r="BL20">
        <v>16</v>
      </c>
      <c r="BM20">
        <f>A214</f>
        <v>0</v>
      </c>
    </row>
    <row r="21" spans="1:65">
      <c r="A21" s="19" t="str">
        <f>B!B71</f>
        <v>ELI</v>
      </c>
      <c r="B21" s="20">
        <f>'C'!B20</f>
        <v>27</v>
      </c>
      <c r="C21" s="20">
        <f>D!B20</f>
        <v>40</v>
      </c>
      <c r="D21" s="20">
        <f>E!B20</f>
        <v>31</v>
      </c>
      <c r="E21" s="20">
        <f>F!B20</f>
        <v>42</v>
      </c>
      <c r="F21" s="20">
        <f>G!B20</f>
        <v>0</v>
      </c>
      <c r="G21" s="20">
        <f>H!B20</f>
        <v>0</v>
      </c>
      <c r="H21" s="20">
        <f>I!B20</f>
        <v>0</v>
      </c>
      <c r="I21" s="20">
        <f>J!B20</f>
        <v>0</v>
      </c>
      <c r="J21" s="20">
        <f>K!B20</f>
        <v>0</v>
      </c>
      <c r="K21" s="20">
        <f>L!B20</f>
        <v>0</v>
      </c>
      <c r="L21" s="20">
        <f>M!B20</f>
        <v>0</v>
      </c>
      <c r="M21" s="20">
        <f>N!B20</f>
        <v>0</v>
      </c>
      <c r="N21" s="20">
        <f>O!B20</f>
        <v>0</v>
      </c>
      <c r="O21" s="20">
        <f>P!B20</f>
        <v>0</v>
      </c>
      <c r="P21" s="20">
        <f>Q!B20</f>
        <v>0</v>
      </c>
      <c r="Q21" s="20">
        <f>'R'!B20</f>
        <v>0</v>
      </c>
      <c r="R21" s="20">
        <f>S!B20</f>
        <v>0</v>
      </c>
      <c r="S21" s="20">
        <f>T!B20</f>
        <v>0</v>
      </c>
      <c r="T21" s="20">
        <f>U!B20</f>
        <v>0</v>
      </c>
      <c r="U21" s="20">
        <f>V!B20</f>
        <v>0</v>
      </c>
      <c r="V21" s="20">
        <f>W!B20</f>
        <v>0</v>
      </c>
      <c r="W21" s="20">
        <f>X!B20</f>
        <v>0</v>
      </c>
      <c r="X21" s="21">
        <f t="shared" si="13"/>
        <v>140</v>
      </c>
      <c r="Y21" s="22">
        <f t="shared" si="38"/>
        <v>35</v>
      </c>
      <c r="Z21" s="122" t="str">
        <f t="shared" si="14"/>
        <v>ELI</v>
      </c>
      <c r="AA21" s="17">
        <f t="shared" si="15"/>
        <v>1</v>
      </c>
      <c r="AB21">
        <f t="shared" si="16"/>
        <v>1</v>
      </c>
      <c r="AC21">
        <f t="shared" si="17"/>
        <v>1</v>
      </c>
      <c r="AD21">
        <f t="shared" si="18"/>
        <v>1</v>
      </c>
      <c r="AE21">
        <f t="shared" si="19"/>
        <v>0</v>
      </c>
      <c r="AF21">
        <f t="shared" si="20"/>
        <v>0</v>
      </c>
      <c r="AG21">
        <f t="shared" si="21"/>
        <v>0</v>
      </c>
      <c r="AH21">
        <f t="shared" si="22"/>
        <v>0</v>
      </c>
      <c r="AI21">
        <f t="shared" si="23"/>
        <v>0</v>
      </c>
      <c r="AJ21">
        <f t="shared" si="24"/>
        <v>0</v>
      </c>
      <c r="AK21">
        <f t="shared" si="25"/>
        <v>0</v>
      </c>
      <c r="AL21">
        <f t="shared" si="26"/>
        <v>0</v>
      </c>
      <c r="AM21">
        <f t="shared" si="27"/>
        <v>0</v>
      </c>
      <c r="AN21">
        <f t="shared" si="28"/>
        <v>0</v>
      </c>
      <c r="AO21">
        <f t="shared" si="29"/>
        <v>0</v>
      </c>
      <c r="AP21">
        <f t="shared" si="30"/>
        <v>0</v>
      </c>
      <c r="AQ21">
        <f t="shared" si="31"/>
        <v>0</v>
      </c>
      <c r="AR21">
        <f t="shared" si="32"/>
        <v>0</v>
      </c>
      <c r="AS21">
        <f t="shared" si="33"/>
        <v>0</v>
      </c>
      <c r="AT21">
        <f t="shared" si="34"/>
        <v>0</v>
      </c>
      <c r="AU21">
        <f t="shared" si="35"/>
        <v>0</v>
      </c>
      <c r="AV21">
        <f t="shared" si="36"/>
        <v>0</v>
      </c>
      <c r="AW21" s="23">
        <f t="shared" si="37"/>
        <v>4</v>
      </c>
      <c r="AX21" s="24">
        <f t="shared" si="39"/>
        <v>140</v>
      </c>
      <c r="AY21" s="121" t="str">
        <f t="shared" si="40"/>
        <v>ELI</v>
      </c>
      <c r="AZ21" s="124" t="str">
        <f t="shared" si="41"/>
        <v>VLADIMIR POOLIN</v>
      </c>
      <c r="BA21" s="243">
        <v>163</v>
      </c>
      <c r="BB21" s="198" t="s">
        <v>331</v>
      </c>
      <c r="BC21" s="244" t="s">
        <v>338</v>
      </c>
      <c r="BD21" s="24"/>
      <c r="BE21" s="23"/>
      <c r="BF21" s="203">
        <v>0</v>
      </c>
      <c r="BG21" s="204">
        <v>0</v>
      </c>
      <c r="BI21">
        <v>16</v>
      </c>
      <c r="BJ21" t="s">
        <v>237</v>
      </c>
      <c r="BK21" s="1">
        <f>BD239</f>
        <v>0</v>
      </c>
      <c r="BL21">
        <v>17</v>
      </c>
      <c r="BM21">
        <f>A228</f>
        <v>0</v>
      </c>
    </row>
    <row r="22" spans="1:65">
      <c r="A22" s="19" t="str">
        <f>B!B76</f>
        <v>COLE</v>
      </c>
      <c r="B22" s="20">
        <f>'C'!B21</f>
        <v>43</v>
      </c>
      <c r="C22" s="20">
        <f>D!B21</f>
        <v>40</v>
      </c>
      <c r="D22" s="20">
        <f>E!B21</f>
        <v>23</v>
      </c>
      <c r="E22" s="20">
        <f>F!B21</f>
        <v>22</v>
      </c>
      <c r="F22" s="20">
        <f>G!B21</f>
        <v>0</v>
      </c>
      <c r="G22" s="20">
        <f>H!B21</f>
        <v>0</v>
      </c>
      <c r="H22" s="20">
        <f>I!B21</f>
        <v>0</v>
      </c>
      <c r="I22" s="20">
        <f>J!B21</f>
        <v>0</v>
      </c>
      <c r="J22" s="20">
        <f>K!B21</f>
        <v>0</v>
      </c>
      <c r="K22" s="20">
        <f>L!B21</f>
        <v>0</v>
      </c>
      <c r="L22" s="20">
        <f>M!B21</f>
        <v>0</v>
      </c>
      <c r="M22" s="20">
        <f>N!B21</f>
        <v>0</v>
      </c>
      <c r="N22" s="20">
        <f>O!B21</f>
        <v>0</v>
      </c>
      <c r="O22" s="20">
        <f>P!B21</f>
        <v>0</v>
      </c>
      <c r="P22" s="20">
        <f>Q!B21</f>
        <v>0</v>
      </c>
      <c r="Q22" s="20">
        <f>'R'!B21</f>
        <v>0</v>
      </c>
      <c r="R22" s="20">
        <f>S!B21</f>
        <v>0</v>
      </c>
      <c r="S22" s="20">
        <f>T!B21</f>
        <v>0</v>
      </c>
      <c r="T22" s="20">
        <f>U!B21</f>
        <v>0</v>
      </c>
      <c r="U22" s="20">
        <f>V!B21</f>
        <v>0</v>
      </c>
      <c r="V22" s="20">
        <f>W!B21</f>
        <v>0</v>
      </c>
      <c r="W22" s="20">
        <f>X!B21</f>
        <v>0</v>
      </c>
      <c r="X22" s="21">
        <f t="shared" si="13"/>
        <v>128</v>
      </c>
      <c r="Y22" s="22">
        <f t="shared" si="38"/>
        <v>32</v>
      </c>
      <c r="Z22" s="122" t="str">
        <f t="shared" si="14"/>
        <v>COLE</v>
      </c>
      <c r="AA22" s="17">
        <f t="shared" si="15"/>
        <v>1</v>
      </c>
      <c r="AB22">
        <f t="shared" si="16"/>
        <v>1</v>
      </c>
      <c r="AC22">
        <f t="shared" si="17"/>
        <v>1</v>
      </c>
      <c r="AD22">
        <f t="shared" si="18"/>
        <v>1</v>
      </c>
      <c r="AE22">
        <f t="shared" si="19"/>
        <v>0</v>
      </c>
      <c r="AF22">
        <f t="shared" si="20"/>
        <v>0</v>
      </c>
      <c r="AG22">
        <f t="shared" si="21"/>
        <v>0</v>
      </c>
      <c r="AH22">
        <f t="shared" si="22"/>
        <v>0</v>
      </c>
      <c r="AI22">
        <f t="shared" si="23"/>
        <v>0</v>
      </c>
      <c r="AJ22">
        <f t="shared" si="24"/>
        <v>0</v>
      </c>
      <c r="AK22">
        <f t="shared" si="25"/>
        <v>0</v>
      </c>
      <c r="AL22">
        <f t="shared" si="26"/>
        <v>0</v>
      </c>
      <c r="AM22">
        <f t="shared" si="27"/>
        <v>0</v>
      </c>
      <c r="AN22">
        <f t="shared" si="28"/>
        <v>0</v>
      </c>
      <c r="AO22">
        <f t="shared" si="29"/>
        <v>0</v>
      </c>
      <c r="AP22">
        <f t="shared" si="30"/>
        <v>0</v>
      </c>
      <c r="AQ22">
        <f t="shared" si="31"/>
        <v>0</v>
      </c>
      <c r="AR22">
        <f t="shared" si="32"/>
        <v>0</v>
      </c>
      <c r="AS22">
        <f t="shared" si="33"/>
        <v>0</v>
      </c>
      <c r="AT22">
        <f t="shared" si="34"/>
        <v>0</v>
      </c>
      <c r="AU22">
        <f t="shared" si="35"/>
        <v>0</v>
      </c>
      <c r="AV22">
        <f t="shared" si="36"/>
        <v>0</v>
      </c>
      <c r="AW22" s="23">
        <f t="shared" si="37"/>
        <v>4</v>
      </c>
      <c r="AX22" s="24">
        <f t="shared" si="39"/>
        <v>128</v>
      </c>
      <c r="AY22" s="121" t="str">
        <f t="shared" si="40"/>
        <v>COLE</v>
      </c>
      <c r="AZ22" s="124" t="str">
        <f t="shared" si="41"/>
        <v>VLADIMIR POOLIN</v>
      </c>
      <c r="BA22" s="197">
        <v>162</v>
      </c>
      <c r="BB22" s="198" t="s">
        <v>287</v>
      </c>
      <c r="BC22" s="198" t="s">
        <v>282</v>
      </c>
      <c r="BD22" s="24"/>
      <c r="BE22" s="23"/>
      <c r="BF22" s="203">
        <v>0</v>
      </c>
      <c r="BG22" s="204">
        <v>0</v>
      </c>
      <c r="BI22">
        <v>17</v>
      </c>
      <c r="BJ22" t="s">
        <v>238</v>
      </c>
      <c r="BK22" s="1">
        <f>BD253</f>
        <v>0</v>
      </c>
      <c r="BL22">
        <v>18</v>
      </c>
      <c r="BM22">
        <f>A242</f>
        <v>0</v>
      </c>
    </row>
    <row r="23" spans="1:65">
      <c r="A23" s="19" t="str">
        <f>B!B81</f>
        <v>JAMES</v>
      </c>
      <c r="B23" s="20">
        <f>'C'!B22</f>
        <v>30</v>
      </c>
      <c r="C23" s="20">
        <f>D!B22</f>
        <v>40</v>
      </c>
      <c r="D23" s="20">
        <f>E!B22</f>
        <v>24</v>
      </c>
      <c r="E23" s="20">
        <f>F!B22</f>
        <v>17</v>
      </c>
      <c r="F23" s="20">
        <f>G!B22</f>
        <v>0</v>
      </c>
      <c r="G23" s="20">
        <f>H!B22</f>
        <v>0</v>
      </c>
      <c r="H23" s="20">
        <f>I!B22</f>
        <v>0</v>
      </c>
      <c r="I23" s="20">
        <f>J!B22</f>
        <v>0</v>
      </c>
      <c r="J23" s="20">
        <f>K!B22</f>
        <v>0</v>
      </c>
      <c r="K23" s="20">
        <f>L!B22</f>
        <v>0</v>
      </c>
      <c r="L23" s="20">
        <f>M!B22</f>
        <v>0</v>
      </c>
      <c r="M23" s="20">
        <f>N!B22</f>
        <v>0</v>
      </c>
      <c r="N23" s="20">
        <f>O!B22</f>
        <v>0</v>
      </c>
      <c r="O23" s="20">
        <f>P!B22</f>
        <v>0</v>
      </c>
      <c r="P23" s="20">
        <f>Q!B22</f>
        <v>0</v>
      </c>
      <c r="Q23" s="20">
        <f>'R'!B22</f>
        <v>0</v>
      </c>
      <c r="R23" s="20">
        <f>S!B22</f>
        <v>0</v>
      </c>
      <c r="S23" s="20">
        <f>T!B22</f>
        <v>0</v>
      </c>
      <c r="T23" s="20">
        <f>U!B22</f>
        <v>0</v>
      </c>
      <c r="U23" s="20">
        <f>V!B22</f>
        <v>0</v>
      </c>
      <c r="V23" s="20">
        <f>W!B22</f>
        <v>0</v>
      </c>
      <c r="W23" s="20">
        <f>X!B22</f>
        <v>0</v>
      </c>
      <c r="X23" s="21">
        <f t="shared" si="13"/>
        <v>111</v>
      </c>
      <c r="Y23" s="22">
        <f t="shared" si="38"/>
        <v>27.75</v>
      </c>
      <c r="Z23" s="122" t="str">
        <f t="shared" si="14"/>
        <v>JAMES</v>
      </c>
      <c r="AA23" s="17">
        <f t="shared" si="15"/>
        <v>1</v>
      </c>
      <c r="AB23">
        <f t="shared" si="16"/>
        <v>1</v>
      </c>
      <c r="AC23">
        <f t="shared" si="17"/>
        <v>1</v>
      </c>
      <c r="AD23">
        <f t="shared" si="18"/>
        <v>1</v>
      </c>
      <c r="AE23">
        <f t="shared" si="19"/>
        <v>0</v>
      </c>
      <c r="AF23">
        <f t="shared" si="20"/>
        <v>0</v>
      </c>
      <c r="AG23">
        <f t="shared" si="21"/>
        <v>0</v>
      </c>
      <c r="AH23">
        <f t="shared" si="22"/>
        <v>0</v>
      </c>
      <c r="AI23">
        <f t="shared" si="23"/>
        <v>0</v>
      </c>
      <c r="AJ23">
        <f t="shared" si="24"/>
        <v>0</v>
      </c>
      <c r="AK23">
        <f t="shared" si="25"/>
        <v>0</v>
      </c>
      <c r="AL23">
        <f t="shared" si="26"/>
        <v>0</v>
      </c>
      <c r="AM23">
        <f t="shared" si="27"/>
        <v>0</v>
      </c>
      <c r="AN23">
        <f t="shared" si="28"/>
        <v>0</v>
      </c>
      <c r="AO23">
        <f t="shared" si="29"/>
        <v>0</v>
      </c>
      <c r="AP23">
        <f t="shared" si="30"/>
        <v>0</v>
      </c>
      <c r="AQ23">
        <f t="shared" si="31"/>
        <v>0</v>
      </c>
      <c r="AR23">
        <f t="shared" si="32"/>
        <v>0</v>
      </c>
      <c r="AS23">
        <f t="shared" si="33"/>
        <v>0</v>
      </c>
      <c r="AT23">
        <f t="shared" si="34"/>
        <v>0</v>
      </c>
      <c r="AU23">
        <f t="shared" si="35"/>
        <v>0</v>
      </c>
      <c r="AV23">
        <f t="shared" si="36"/>
        <v>0</v>
      </c>
      <c r="AW23" s="23">
        <f t="shared" si="37"/>
        <v>4</v>
      </c>
      <c r="AX23" s="24">
        <f t="shared" si="39"/>
        <v>111</v>
      </c>
      <c r="AY23" s="121" t="str">
        <f t="shared" si="40"/>
        <v>JAMES</v>
      </c>
      <c r="AZ23" s="124" t="str">
        <f t="shared" si="41"/>
        <v>VLADIMIR POOLIN</v>
      </c>
      <c r="BA23" s="243">
        <v>162</v>
      </c>
      <c r="BB23" s="198" t="s">
        <v>335</v>
      </c>
      <c r="BC23" s="244" t="s">
        <v>281</v>
      </c>
      <c r="BD23" s="24"/>
      <c r="BE23" s="23"/>
      <c r="BF23" s="203">
        <v>0</v>
      </c>
      <c r="BG23" s="204">
        <v>0</v>
      </c>
      <c r="BI23">
        <v>18</v>
      </c>
      <c r="BJ23" t="s">
        <v>239</v>
      </c>
      <c r="BK23" s="1">
        <f>BD267</f>
        <v>0</v>
      </c>
      <c r="BL23">
        <v>19</v>
      </c>
      <c r="BM23">
        <f>A256</f>
        <v>0</v>
      </c>
    </row>
    <row r="24" spans="1:65">
      <c r="A24" s="19">
        <f>B!B86</f>
        <v>0</v>
      </c>
      <c r="B24" s="20">
        <f>'C'!B23</f>
        <v>0</v>
      </c>
      <c r="C24" s="20">
        <f>D!B23</f>
        <v>0</v>
      </c>
      <c r="D24" s="20">
        <f>E!B23</f>
        <v>0</v>
      </c>
      <c r="E24" s="20">
        <f>F!B23</f>
        <v>0</v>
      </c>
      <c r="F24" s="20">
        <f>G!B23</f>
        <v>0</v>
      </c>
      <c r="G24" s="20">
        <f>H!B23</f>
        <v>0</v>
      </c>
      <c r="H24" s="20">
        <f>I!B23</f>
        <v>0</v>
      </c>
      <c r="I24" s="20">
        <f>J!B23</f>
        <v>0</v>
      </c>
      <c r="J24" s="20">
        <f>K!B23</f>
        <v>0</v>
      </c>
      <c r="K24" s="20">
        <f>L!B23</f>
        <v>0</v>
      </c>
      <c r="L24" s="20">
        <f>M!B23</f>
        <v>0</v>
      </c>
      <c r="M24" s="20">
        <f>N!B23</f>
        <v>0</v>
      </c>
      <c r="N24" s="20">
        <f>O!B23</f>
        <v>0</v>
      </c>
      <c r="O24" s="20">
        <f>P!B23</f>
        <v>0</v>
      </c>
      <c r="P24" s="20">
        <f>Q!B23</f>
        <v>0</v>
      </c>
      <c r="Q24" s="20">
        <f>'R'!B23</f>
        <v>0</v>
      </c>
      <c r="R24" s="20">
        <f>S!B23</f>
        <v>0</v>
      </c>
      <c r="S24" s="20">
        <f>T!B23</f>
        <v>0</v>
      </c>
      <c r="T24" s="20">
        <f>U!B23</f>
        <v>0</v>
      </c>
      <c r="U24" s="20">
        <f>V!B23</f>
        <v>0</v>
      </c>
      <c r="V24" s="20">
        <f>W!B23</f>
        <v>0</v>
      </c>
      <c r="W24" s="20">
        <f>X!B23</f>
        <v>0</v>
      </c>
      <c r="X24" s="21">
        <f t="shared" si="13"/>
        <v>0</v>
      </c>
      <c r="Y24" s="22">
        <f t="shared" si="38"/>
        <v>0</v>
      </c>
      <c r="Z24" s="122">
        <f t="shared" si="14"/>
        <v>0</v>
      </c>
      <c r="AA24" s="17">
        <f t="shared" si="15"/>
        <v>0</v>
      </c>
      <c r="AB24">
        <f t="shared" si="16"/>
        <v>0</v>
      </c>
      <c r="AC24">
        <f t="shared" si="17"/>
        <v>0</v>
      </c>
      <c r="AD24">
        <f t="shared" si="18"/>
        <v>0</v>
      </c>
      <c r="AE24">
        <f t="shared" si="19"/>
        <v>0</v>
      </c>
      <c r="AF24">
        <f t="shared" si="20"/>
        <v>0</v>
      </c>
      <c r="AG24">
        <f t="shared" si="21"/>
        <v>0</v>
      </c>
      <c r="AH24">
        <f t="shared" si="22"/>
        <v>0</v>
      </c>
      <c r="AI24">
        <f t="shared" si="23"/>
        <v>0</v>
      </c>
      <c r="AJ24">
        <f t="shared" si="24"/>
        <v>0</v>
      </c>
      <c r="AK24">
        <f t="shared" si="25"/>
        <v>0</v>
      </c>
      <c r="AL24">
        <f t="shared" si="26"/>
        <v>0</v>
      </c>
      <c r="AM24">
        <f t="shared" si="27"/>
        <v>0</v>
      </c>
      <c r="AN24">
        <f t="shared" si="28"/>
        <v>0</v>
      </c>
      <c r="AO24">
        <f t="shared" si="29"/>
        <v>0</v>
      </c>
      <c r="AP24">
        <f t="shared" si="30"/>
        <v>0</v>
      </c>
      <c r="AQ24">
        <f t="shared" si="31"/>
        <v>0</v>
      </c>
      <c r="AR24">
        <f t="shared" si="32"/>
        <v>0</v>
      </c>
      <c r="AS24">
        <f t="shared" si="33"/>
        <v>0</v>
      </c>
      <c r="AT24">
        <f t="shared" si="34"/>
        <v>0</v>
      </c>
      <c r="AU24">
        <f t="shared" si="35"/>
        <v>0</v>
      </c>
      <c r="AV24">
        <f t="shared" si="36"/>
        <v>0</v>
      </c>
      <c r="AW24" s="23">
        <f t="shared" si="37"/>
        <v>0</v>
      </c>
      <c r="AX24" s="24">
        <f t="shared" si="39"/>
        <v>0</v>
      </c>
      <c r="AY24" s="121">
        <f t="shared" si="40"/>
        <v>0</v>
      </c>
      <c r="AZ24" s="124">
        <f t="shared" si="41"/>
        <v>0</v>
      </c>
      <c r="BA24" s="197">
        <v>161</v>
      </c>
      <c r="BB24" s="198" t="s">
        <v>311</v>
      </c>
      <c r="BC24" s="198" t="s">
        <v>309</v>
      </c>
      <c r="BD24" s="24"/>
      <c r="BE24" s="23"/>
      <c r="BF24" s="203">
        <v>0</v>
      </c>
      <c r="BG24" s="204">
        <v>0</v>
      </c>
      <c r="BI24">
        <v>19</v>
      </c>
      <c r="BJ24" t="s">
        <v>240</v>
      </c>
      <c r="BK24" s="1">
        <f>BD281</f>
        <v>0</v>
      </c>
      <c r="BL24">
        <v>20</v>
      </c>
      <c r="BM24">
        <f>A270</f>
        <v>0</v>
      </c>
    </row>
    <row r="25" spans="1:65">
      <c r="A25" s="19">
        <f>B!B91</f>
        <v>0</v>
      </c>
      <c r="B25" s="20">
        <f>'C'!B24</f>
        <v>0</v>
      </c>
      <c r="C25" s="20">
        <f>D!B24</f>
        <v>0</v>
      </c>
      <c r="D25" s="20">
        <f>E!B24</f>
        <v>0</v>
      </c>
      <c r="E25" s="20">
        <f>F!B24</f>
        <v>0</v>
      </c>
      <c r="F25" s="20">
        <f>G!B24</f>
        <v>0</v>
      </c>
      <c r="G25" s="20">
        <f>H!B24</f>
        <v>0</v>
      </c>
      <c r="H25" s="20">
        <f>I!B24</f>
        <v>0</v>
      </c>
      <c r="I25" s="20">
        <f>J!B24</f>
        <v>0</v>
      </c>
      <c r="J25" s="20">
        <f>K!B24</f>
        <v>0</v>
      </c>
      <c r="K25" s="20">
        <f>L!B24</f>
        <v>0</v>
      </c>
      <c r="L25" s="20">
        <f>M!B24</f>
        <v>0</v>
      </c>
      <c r="M25" s="20">
        <f>N!B24</f>
        <v>0</v>
      </c>
      <c r="N25" s="20">
        <f>O!B24</f>
        <v>0</v>
      </c>
      <c r="O25" s="20">
        <f>P!B24</f>
        <v>0</v>
      </c>
      <c r="P25" s="20">
        <f>Q!B24</f>
        <v>0</v>
      </c>
      <c r="Q25" s="20">
        <f>'R'!B24</f>
        <v>0</v>
      </c>
      <c r="R25" s="20">
        <f>S!B24</f>
        <v>0</v>
      </c>
      <c r="S25" s="20">
        <f>T!B24</f>
        <v>0</v>
      </c>
      <c r="T25" s="20">
        <f>U!B24</f>
        <v>0</v>
      </c>
      <c r="U25" s="20">
        <f>V!B24</f>
        <v>0</v>
      </c>
      <c r="V25" s="20">
        <f>W!B24</f>
        <v>0</v>
      </c>
      <c r="W25" s="20">
        <f>X!B24</f>
        <v>0</v>
      </c>
      <c r="X25" s="21">
        <f t="shared" si="13"/>
        <v>0</v>
      </c>
      <c r="Y25" s="22">
        <f t="shared" si="38"/>
        <v>0</v>
      </c>
      <c r="Z25" s="122">
        <f t="shared" si="14"/>
        <v>0</v>
      </c>
      <c r="AA25" s="17">
        <f t="shared" si="15"/>
        <v>0</v>
      </c>
      <c r="AB25">
        <f t="shared" si="16"/>
        <v>0</v>
      </c>
      <c r="AC25">
        <f t="shared" si="17"/>
        <v>0</v>
      </c>
      <c r="AD25">
        <f t="shared" si="18"/>
        <v>0</v>
      </c>
      <c r="AE25">
        <f t="shared" si="19"/>
        <v>0</v>
      </c>
      <c r="AF25">
        <f t="shared" si="20"/>
        <v>0</v>
      </c>
      <c r="AG25">
        <f t="shared" si="21"/>
        <v>0</v>
      </c>
      <c r="AH25">
        <f t="shared" si="22"/>
        <v>0</v>
      </c>
      <c r="AI25">
        <f t="shared" si="23"/>
        <v>0</v>
      </c>
      <c r="AJ25">
        <f t="shared" si="24"/>
        <v>0</v>
      </c>
      <c r="AK25">
        <f t="shared" si="25"/>
        <v>0</v>
      </c>
      <c r="AL25">
        <f t="shared" si="26"/>
        <v>0</v>
      </c>
      <c r="AM25">
        <f t="shared" si="27"/>
        <v>0</v>
      </c>
      <c r="AN25">
        <f t="shared" si="28"/>
        <v>0</v>
      </c>
      <c r="AO25">
        <f t="shared" si="29"/>
        <v>0</v>
      </c>
      <c r="AP25">
        <f t="shared" si="30"/>
        <v>0</v>
      </c>
      <c r="AQ25">
        <f t="shared" si="31"/>
        <v>0</v>
      </c>
      <c r="AR25">
        <f t="shared" si="32"/>
        <v>0</v>
      </c>
      <c r="AS25">
        <f t="shared" si="33"/>
        <v>0</v>
      </c>
      <c r="AT25">
        <f t="shared" si="34"/>
        <v>0</v>
      </c>
      <c r="AU25">
        <f t="shared" si="35"/>
        <v>0</v>
      </c>
      <c r="AV25">
        <f t="shared" si="36"/>
        <v>0</v>
      </c>
      <c r="AW25" s="23">
        <f t="shared" si="37"/>
        <v>0</v>
      </c>
      <c r="AX25" s="24">
        <f t="shared" si="39"/>
        <v>0</v>
      </c>
      <c r="AY25" s="121">
        <f t="shared" si="40"/>
        <v>0</v>
      </c>
      <c r="AZ25" s="124">
        <f t="shared" si="41"/>
        <v>0</v>
      </c>
      <c r="BA25" s="243">
        <v>161</v>
      </c>
      <c r="BB25" s="198" t="s">
        <v>333</v>
      </c>
      <c r="BC25" s="244" t="s">
        <v>281</v>
      </c>
      <c r="BD25" s="24"/>
      <c r="BE25" s="23"/>
      <c r="BF25" s="203"/>
      <c r="BG25" s="204"/>
      <c r="BI25">
        <v>20</v>
      </c>
      <c r="BJ25" t="s">
        <v>241</v>
      </c>
    </row>
    <row r="26" spans="1:65" ht="15.75" thickBot="1">
      <c r="A26" s="17">
        <f>B!B96</f>
        <v>0</v>
      </c>
      <c r="B26" s="20">
        <f>'C'!B25</f>
        <v>0</v>
      </c>
      <c r="C26" s="20">
        <f>D!B25</f>
        <v>0</v>
      </c>
      <c r="D26" s="20">
        <f>E!B25</f>
        <v>0</v>
      </c>
      <c r="E26" s="20">
        <f>F!B25</f>
        <v>0</v>
      </c>
      <c r="F26" s="20">
        <f>G!B25</f>
        <v>0</v>
      </c>
      <c r="G26" s="20">
        <f>H!B25</f>
        <v>0</v>
      </c>
      <c r="H26" s="20">
        <f>I!B25</f>
        <v>0</v>
      </c>
      <c r="I26" s="20">
        <f>J!B25</f>
        <v>0</v>
      </c>
      <c r="J26" s="20">
        <f>K!B25</f>
        <v>0</v>
      </c>
      <c r="K26" s="20">
        <f>L!B25</f>
        <v>0</v>
      </c>
      <c r="L26" s="20">
        <f>M!B25</f>
        <v>0</v>
      </c>
      <c r="M26" s="20">
        <f>N!B25</f>
        <v>0</v>
      </c>
      <c r="N26" s="20">
        <f>O!B25</f>
        <v>0</v>
      </c>
      <c r="O26" s="20">
        <f>P!B25</f>
        <v>0</v>
      </c>
      <c r="P26" s="20">
        <f>Q!B25</f>
        <v>0</v>
      </c>
      <c r="Q26" s="20">
        <f>'R'!B25</f>
        <v>0</v>
      </c>
      <c r="R26" s="20">
        <f>S!B25</f>
        <v>0</v>
      </c>
      <c r="S26" s="20">
        <f>T!B25</f>
        <v>0</v>
      </c>
      <c r="T26" s="20">
        <f>U!B25</f>
        <v>0</v>
      </c>
      <c r="U26" s="20">
        <f>V!B25</f>
        <v>0</v>
      </c>
      <c r="V26" s="20">
        <f>W!B25</f>
        <v>0</v>
      </c>
      <c r="W26" s="20">
        <f>X!B25</f>
        <v>0</v>
      </c>
      <c r="X26" s="21">
        <f t="shared" si="13"/>
        <v>0</v>
      </c>
      <c r="Y26" s="22">
        <f t="shared" si="38"/>
        <v>0</v>
      </c>
      <c r="Z26" s="122">
        <f t="shared" si="14"/>
        <v>0</v>
      </c>
      <c r="AA26" s="17">
        <f t="shared" si="15"/>
        <v>0</v>
      </c>
      <c r="AB26">
        <f t="shared" si="16"/>
        <v>0</v>
      </c>
      <c r="AC26">
        <f t="shared" si="17"/>
        <v>0</v>
      </c>
      <c r="AD26">
        <f t="shared" si="18"/>
        <v>0</v>
      </c>
      <c r="AE26">
        <f t="shared" si="19"/>
        <v>0</v>
      </c>
      <c r="AF26">
        <f t="shared" si="20"/>
        <v>0</v>
      </c>
      <c r="AG26">
        <f t="shared" si="21"/>
        <v>0</v>
      </c>
      <c r="AH26">
        <f t="shared" si="22"/>
        <v>0</v>
      </c>
      <c r="AI26">
        <f t="shared" si="23"/>
        <v>0</v>
      </c>
      <c r="AJ26">
        <f t="shared" si="24"/>
        <v>0</v>
      </c>
      <c r="AK26">
        <f t="shared" si="25"/>
        <v>0</v>
      </c>
      <c r="AL26">
        <f t="shared" si="26"/>
        <v>0</v>
      </c>
      <c r="AM26">
        <f t="shared" si="27"/>
        <v>0</v>
      </c>
      <c r="AN26">
        <f t="shared" si="28"/>
        <v>0</v>
      </c>
      <c r="AO26">
        <f t="shared" si="29"/>
        <v>0</v>
      </c>
      <c r="AP26">
        <f t="shared" si="30"/>
        <v>0</v>
      </c>
      <c r="AQ26">
        <f t="shared" si="31"/>
        <v>0</v>
      </c>
      <c r="AR26">
        <f t="shared" si="32"/>
        <v>0</v>
      </c>
      <c r="AS26">
        <f t="shared" si="33"/>
        <v>0</v>
      </c>
      <c r="AT26">
        <f t="shared" si="34"/>
        <v>0</v>
      </c>
      <c r="AU26">
        <f t="shared" si="35"/>
        <v>0</v>
      </c>
      <c r="AV26">
        <f t="shared" si="36"/>
        <v>0</v>
      </c>
      <c r="AW26" s="23">
        <f t="shared" si="37"/>
        <v>0</v>
      </c>
      <c r="AX26" s="24">
        <f t="shared" si="39"/>
        <v>0</v>
      </c>
      <c r="AY26" s="121">
        <f t="shared" si="40"/>
        <v>0</v>
      </c>
      <c r="AZ26" s="124">
        <f t="shared" si="41"/>
        <v>0</v>
      </c>
      <c r="BA26" s="197">
        <v>160</v>
      </c>
      <c r="BB26" s="198" t="s">
        <v>291</v>
      </c>
      <c r="BC26" s="198" t="s">
        <v>295</v>
      </c>
      <c r="BD26" s="24"/>
      <c r="BE26" s="23"/>
      <c r="BF26" s="203"/>
      <c r="BG26" s="204"/>
      <c r="BI26">
        <v>21</v>
      </c>
      <c r="BJ26" t="s">
        <v>242</v>
      </c>
    </row>
    <row r="27" spans="1:65" ht="15.75" thickTop="1">
      <c r="A27" s="133" t="s">
        <v>134</v>
      </c>
      <c r="B27" s="134">
        <f t="shared" ref="B27:W27" si="42">SUM(B19:B26)</f>
        <v>184</v>
      </c>
      <c r="C27" s="134">
        <f t="shared" si="42"/>
        <v>200</v>
      </c>
      <c r="D27" s="134">
        <f t="shared" si="42"/>
        <v>141</v>
      </c>
      <c r="E27" s="134">
        <f t="shared" si="42"/>
        <v>155</v>
      </c>
      <c r="F27" s="134">
        <f t="shared" si="42"/>
        <v>0</v>
      </c>
      <c r="G27" s="134">
        <f t="shared" si="42"/>
        <v>0</v>
      </c>
      <c r="H27" s="134">
        <f t="shared" si="42"/>
        <v>0</v>
      </c>
      <c r="I27" s="134">
        <f t="shared" si="42"/>
        <v>0</v>
      </c>
      <c r="J27" s="134">
        <f t="shared" si="42"/>
        <v>0</v>
      </c>
      <c r="K27" s="134">
        <f t="shared" si="42"/>
        <v>0</v>
      </c>
      <c r="L27" s="134">
        <f t="shared" si="42"/>
        <v>0</v>
      </c>
      <c r="M27" s="134">
        <f t="shared" si="42"/>
        <v>0</v>
      </c>
      <c r="N27" s="134">
        <f t="shared" si="42"/>
        <v>0</v>
      </c>
      <c r="O27" s="134">
        <f t="shared" si="42"/>
        <v>0</v>
      </c>
      <c r="P27" s="134">
        <f t="shared" si="42"/>
        <v>0</v>
      </c>
      <c r="Q27" s="134">
        <f t="shared" si="42"/>
        <v>0</v>
      </c>
      <c r="R27" s="134">
        <f t="shared" si="42"/>
        <v>0</v>
      </c>
      <c r="S27" s="134">
        <f t="shared" si="42"/>
        <v>0</v>
      </c>
      <c r="T27" s="134">
        <f t="shared" si="42"/>
        <v>0</v>
      </c>
      <c r="U27" s="134">
        <f t="shared" si="42"/>
        <v>0</v>
      </c>
      <c r="V27" s="134">
        <f t="shared" si="42"/>
        <v>0</v>
      </c>
      <c r="W27" s="134">
        <f t="shared" si="42"/>
        <v>0</v>
      </c>
      <c r="X27" s="135">
        <f t="shared" si="13"/>
        <v>680</v>
      </c>
      <c r="Y27" s="137">
        <f>IF(X27=0,0,X27/AW27)</f>
        <v>170</v>
      </c>
      <c r="Z27" s="122"/>
      <c r="AA27" s="138">
        <f t="shared" ref="AA27:AV27" si="43">SUM(AA19:AA26)</f>
        <v>5</v>
      </c>
      <c r="AB27" s="11">
        <f t="shared" si="43"/>
        <v>5</v>
      </c>
      <c r="AC27" s="11">
        <f t="shared" si="43"/>
        <v>5</v>
      </c>
      <c r="AD27" s="11">
        <f t="shared" si="43"/>
        <v>5</v>
      </c>
      <c r="AE27" s="11">
        <f t="shared" si="43"/>
        <v>0</v>
      </c>
      <c r="AF27" s="11">
        <f t="shared" si="43"/>
        <v>0</v>
      </c>
      <c r="AG27" s="11">
        <f t="shared" si="43"/>
        <v>0</v>
      </c>
      <c r="AH27" s="11">
        <f t="shared" si="43"/>
        <v>0</v>
      </c>
      <c r="AI27" s="11">
        <f t="shared" si="43"/>
        <v>0</v>
      </c>
      <c r="AJ27" s="11">
        <f t="shared" si="43"/>
        <v>0</v>
      </c>
      <c r="AK27" s="11">
        <f t="shared" si="43"/>
        <v>0</v>
      </c>
      <c r="AL27" s="11">
        <f t="shared" si="43"/>
        <v>0</v>
      </c>
      <c r="AM27" s="11">
        <f t="shared" si="43"/>
        <v>0</v>
      </c>
      <c r="AN27" s="11">
        <f t="shared" si="43"/>
        <v>0</v>
      </c>
      <c r="AO27" s="11">
        <f t="shared" si="43"/>
        <v>0</v>
      </c>
      <c r="AP27" s="11">
        <f t="shared" si="43"/>
        <v>0</v>
      </c>
      <c r="AQ27" s="11">
        <f t="shared" si="43"/>
        <v>0</v>
      </c>
      <c r="AR27" s="11">
        <f t="shared" si="43"/>
        <v>0</v>
      </c>
      <c r="AS27" s="11">
        <f t="shared" si="43"/>
        <v>0</v>
      </c>
      <c r="AT27" s="11">
        <f t="shared" si="43"/>
        <v>0</v>
      </c>
      <c r="AU27" s="11">
        <f t="shared" si="43"/>
        <v>0</v>
      </c>
      <c r="AV27" s="11">
        <f t="shared" si="43"/>
        <v>0</v>
      </c>
      <c r="AW27" s="12">
        <f>MAXA(AW19:AW26)</f>
        <v>4</v>
      </c>
      <c r="AX27" s="24"/>
      <c r="AZ27" s="124"/>
      <c r="BA27" s="243">
        <v>158</v>
      </c>
      <c r="BB27" s="198" t="s">
        <v>322</v>
      </c>
      <c r="BC27" s="244" t="s">
        <v>319</v>
      </c>
      <c r="BD27" s="24"/>
      <c r="BE27" s="23"/>
      <c r="BF27" s="203"/>
      <c r="BG27" s="204"/>
    </row>
    <row r="28" spans="1:65" ht="16.5" thickBot="1">
      <c r="A28" s="105" t="s">
        <v>189</v>
      </c>
      <c r="B28" s="20">
        <f>'C'!B26</f>
        <v>0</v>
      </c>
      <c r="C28" s="20">
        <f>D!B26</f>
        <v>0</v>
      </c>
      <c r="D28" s="20">
        <f>E!B26</f>
        <v>1.8</v>
      </c>
      <c r="E28" s="20">
        <f>F!B26</f>
        <v>5.7</v>
      </c>
      <c r="F28" s="20">
        <f>G!B26</f>
        <v>0</v>
      </c>
      <c r="G28" s="20">
        <f>H!B26</f>
        <v>0</v>
      </c>
      <c r="H28" s="20">
        <f>I!B26</f>
        <v>0</v>
      </c>
      <c r="I28" s="20">
        <f>J!B26</f>
        <v>0</v>
      </c>
      <c r="J28" s="20">
        <f>K!B26</f>
        <v>0</v>
      </c>
      <c r="K28" s="20">
        <f>L!B26</f>
        <v>0</v>
      </c>
      <c r="L28" s="20">
        <f>M!B26</f>
        <v>0</v>
      </c>
      <c r="M28" s="20">
        <f>N!B26</f>
        <v>0</v>
      </c>
      <c r="N28" s="20">
        <f>O!B26</f>
        <v>0</v>
      </c>
      <c r="O28" s="20">
        <f>P!B26</f>
        <v>0</v>
      </c>
      <c r="P28" s="20">
        <f>Q!B26</f>
        <v>0</v>
      </c>
      <c r="Q28" s="20">
        <f>'R'!B26</f>
        <v>0</v>
      </c>
      <c r="R28" s="20">
        <f>S!B26</f>
        <v>0</v>
      </c>
      <c r="S28" s="20">
        <f>T!B26</f>
        <v>0</v>
      </c>
      <c r="T28" s="20">
        <f>U!B26</f>
        <v>0</v>
      </c>
      <c r="U28" s="20">
        <f>V!B26</f>
        <v>0</v>
      </c>
      <c r="V28" s="20">
        <f>W!B26</f>
        <v>0</v>
      </c>
      <c r="W28" s="20">
        <f>X!B26</f>
        <v>0</v>
      </c>
      <c r="X28" s="21">
        <f t="shared" si="13"/>
        <v>7.5</v>
      </c>
      <c r="Y28" s="120"/>
      <c r="Z28" s="122"/>
      <c r="AA28" s="17"/>
      <c r="AW28" s="23"/>
      <c r="AX28" s="24"/>
      <c r="AZ28" s="124"/>
      <c r="BA28" s="197">
        <v>157</v>
      </c>
      <c r="BB28" s="198">
        <v>0</v>
      </c>
      <c r="BC28" s="198" t="s">
        <v>300</v>
      </c>
      <c r="BD28" s="24"/>
      <c r="BE28" s="23"/>
      <c r="BF28" s="203"/>
      <c r="BG28" s="204"/>
    </row>
    <row r="29" spans="1:65" ht="16.5" thickTop="1" thickBot="1">
      <c r="A29" s="100" t="s">
        <v>53</v>
      </c>
      <c r="B29" s="68">
        <f t="shared" ref="B29:W29" si="44">SUM(B27:B28)</f>
        <v>184</v>
      </c>
      <c r="C29" s="68">
        <f t="shared" si="44"/>
        <v>200</v>
      </c>
      <c r="D29" s="68">
        <f t="shared" si="44"/>
        <v>142.80000000000001</v>
      </c>
      <c r="E29" s="68">
        <f t="shared" si="44"/>
        <v>160.69999999999999</v>
      </c>
      <c r="F29" s="68">
        <f t="shared" si="44"/>
        <v>0</v>
      </c>
      <c r="G29" s="68">
        <f t="shared" si="44"/>
        <v>0</v>
      </c>
      <c r="H29" s="68">
        <f t="shared" si="44"/>
        <v>0</v>
      </c>
      <c r="I29" s="68">
        <f t="shared" si="44"/>
        <v>0</v>
      </c>
      <c r="J29" s="68">
        <f t="shared" si="44"/>
        <v>0</v>
      </c>
      <c r="K29" s="68">
        <f t="shared" si="44"/>
        <v>0</v>
      </c>
      <c r="L29" s="68">
        <f t="shared" si="44"/>
        <v>0</v>
      </c>
      <c r="M29" s="68">
        <f t="shared" si="44"/>
        <v>0</v>
      </c>
      <c r="N29" s="68">
        <f t="shared" si="44"/>
        <v>0</v>
      </c>
      <c r="O29" s="68">
        <f t="shared" si="44"/>
        <v>0</v>
      </c>
      <c r="P29" s="68">
        <f t="shared" si="44"/>
        <v>0</v>
      </c>
      <c r="Q29" s="68">
        <f t="shared" si="44"/>
        <v>0</v>
      </c>
      <c r="R29" s="68">
        <f t="shared" si="44"/>
        <v>0</v>
      </c>
      <c r="S29" s="68">
        <f t="shared" si="44"/>
        <v>0</v>
      </c>
      <c r="T29" s="68">
        <f t="shared" si="44"/>
        <v>0</v>
      </c>
      <c r="U29" s="68">
        <f t="shared" si="44"/>
        <v>0</v>
      </c>
      <c r="V29" s="68">
        <f t="shared" si="44"/>
        <v>0</v>
      </c>
      <c r="W29" s="68">
        <f t="shared" si="44"/>
        <v>0</v>
      </c>
      <c r="X29" s="28">
        <f t="shared" si="13"/>
        <v>687.5</v>
      </c>
      <c r="Y29" s="136"/>
      <c r="Z29" s="122"/>
      <c r="AA29" s="17"/>
      <c r="AW29" s="23"/>
      <c r="AX29" s="24"/>
      <c r="AZ29" s="124"/>
      <c r="BA29" s="197">
        <v>156</v>
      </c>
      <c r="BB29" s="198" t="s">
        <v>306</v>
      </c>
      <c r="BC29" s="198" t="s">
        <v>304</v>
      </c>
      <c r="BD29" s="24">
        <f>X29</f>
        <v>687.5</v>
      </c>
      <c r="BE29" s="23" t="str">
        <f>A18</f>
        <v>VLADIMIR POOLIN</v>
      </c>
      <c r="BF29" s="203"/>
      <c r="BG29" s="204"/>
    </row>
    <row r="30" spans="1:6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22"/>
      <c r="AA30" s="17"/>
      <c r="AW30" s="23"/>
      <c r="AX30" s="24"/>
      <c r="AZ30" s="124"/>
      <c r="BA30" s="243">
        <v>156</v>
      </c>
      <c r="BB30" s="198" t="s">
        <v>332</v>
      </c>
      <c r="BC30" s="244" t="s">
        <v>338</v>
      </c>
      <c r="BD30" s="24"/>
      <c r="BE30" s="23"/>
      <c r="BF30" s="203"/>
      <c r="BG30" s="204"/>
    </row>
    <row r="31" spans="1:65" ht="15.75" thickBot="1">
      <c r="A31" s="7" t="s">
        <v>55</v>
      </c>
      <c r="B31" s="8" t="s">
        <v>27</v>
      </c>
      <c r="C31" s="8" t="s">
        <v>28</v>
      </c>
      <c r="D31" s="8" t="s">
        <v>29</v>
      </c>
      <c r="E31" s="8" t="s">
        <v>30</v>
      </c>
      <c r="F31" s="8" t="s">
        <v>31</v>
      </c>
      <c r="G31" s="8" t="s">
        <v>32</v>
      </c>
      <c r="H31" s="8" t="s">
        <v>33</v>
      </c>
      <c r="I31" s="8" t="s">
        <v>34</v>
      </c>
      <c r="J31" s="8" t="s">
        <v>35</v>
      </c>
      <c r="K31" s="8" t="s">
        <v>36</v>
      </c>
      <c r="L31" s="8" t="s">
        <v>37</v>
      </c>
      <c r="M31" s="8" t="s">
        <v>38</v>
      </c>
      <c r="N31" s="8" t="s">
        <v>39</v>
      </c>
      <c r="O31" s="8" t="s">
        <v>40</v>
      </c>
      <c r="P31" s="8" t="s">
        <v>41</v>
      </c>
      <c r="Q31" s="8" t="s">
        <v>42</v>
      </c>
      <c r="R31" s="8" t="s">
        <v>43</v>
      </c>
      <c r="S31" s="8" t="s">
        <v>44</v>
      </c>
      <c r="T31" s="8" t="s">
        <v>45</v>
      </c>
      <c r="U31" s="8" t="s">
        <v>46</v>
      </c>
      <c r="V31" s="8" t="s">
        <v>47</v>
      </c>
      <c r="W31" s="8" t="s">
        <v>48</v>
      </c>
      <c r="X31" s="1"/>
      <c r="Y31" s="1"/>
      <c r="Z31" s="3" t="str">
        <f>A31</f>
        <v>Team #3 Name:</v>
      </c>
      <c r="AA31" s="17"/>
      <c r="AW31" s="23"/>
      <c r="AX31" s="24"/>
      <c r="AZ31" s="124"/>
      <c r="BA31" s="197">
        <v>154</v>
      </c>
      <c r="BB31" s="198" t="s">
        <v>341</v>
      </c>
      <c r="BC31" s="198" t="s">
        <v>300</v>
      </c>
      <c r="BD31" s="24"/>
      <c r="BE31" s="23"/>
      <c r="BF31" s="203"/>
      <c r="BG31" s="204"/>
    </row>
    <row r="32" spans="1:65">
      <c r="A32" s="13" t="str">
        <f>B!B102</f>
        <v>RACK PACK</v>
      </c>
      <c r="B32" s="29" t="s">
        <v>50</v>
      </c>
      <c r="C32" s="29" t="s">
        <v>50</v>
      </c>
      <c r="D32" s="29" t="s">
        <v>50</v>
      </c>
      <c r="E32" s="29" t="s">
        <v>50</v>
      </c>
      <c r="F32" s="29" t="s">
        <v>50</v>
      </c>
      <c r="G32" s="29" t="s">
        <v>50</v>
      </c>
      <c r="H32" s="29" t="s">
        <v>50</v>
      </c>
      <c r="I32" s="29" t="s">
        <v>50</v>
      </c>
      <c r="J32" s="29" t="s">
        <v>50</v>
      </c>
      <c r="K32" s="29" t="s">
        <v>50</v>
      </c>
      <c r="L32" s="29" t="s">
        <v>50</v>
      </c>
      <c r="M32" s="29" t="s">
        <v>50</v>
      </c>
      <c r="N32" s="29" t="s">
        <v>50</v>
      </c>
      <c r="O32" s="29" t="s">
        <v>50</v>
      </c>
      <c r="P32" s="29" t="s">
        <v>50</v>
      </c>
      <c r="Q32" s="29" t="s">
        <v>50</v>
      </c>
      <c r="R32" s="29" t="s">
        <v>50</v>
      </c>
      <c r="S32" s="29" t="s">
        <v>50</v>
      </c>
      <c r="T32" s="29" t="s">
        <v>50</v>
      </c>
      <c r="U32" s="29" t="s">
        <v>50</v>
      </c>
      <c r="V32" s="29" t="s">
        <v>50</v>
      </c>
      <c r="W32" s="29" t="s">
        <v>50</v>
      </c>
      <c r="X32" s="15" t="s">
        <v>51</v>
      </c>
      <c r="Y32" s="16" t="s">
        <v>52</v>
      </c>
      <c r="Z32" s="123" t="str">
        <f>A32</f>
        <v>RACK PACK</v>
      </c>
      <c r="AA32" s="17"/>
      <c r="AW32" s="4" t="s">
        <v>97</v>
      </c>
      <c r="AX32" s="24"/>
      <c r="AZ32" s="124"/>
      <c r="BA32" s="197">
        <v>154</v>
      </c>
      <c r="BB32" s="198" t="s">
        <v>337</v>
      </c>
      <c r="BC32" s="198" t="s">
        <v>319</v>
      </c>
      <c r="BD32" s="24"/>
      <c r="BE32" s="23"/>
      <c r="BF32" s="203"/>
      <c r="BG32" s="204"/>
    </row>
    <row r="33" spans="1:59">
      <c r="A33" s="19" t="str">
        <f>B!B104</f>
        <v>BRENNEN</v>
      </c>
      <c r="B33" s="20">
        <f>'C'!B31</f>
        <v>46</v>
      </c>
      <c r="C33" s="20">
        <f>D!B31</f>
        <v>40</v>
      </c>
      <c r="D33" s="20">
        <f>E!B31</f>
        <v>39</v>
      </c>
      <c r="E33" s="20">
        <f>F!B31</f>
        <v>42</v>
      </c>
      <c r="F33" s="20">
        <f>G!B31</f>
        <v>0</v>
      </c>
      <c r="G33" s="20">
        <f>H!B31</f>
        <v>0</v>
      </c>
      <c r="H33" s="20">
        <f>I!B31</f>
        <v>0</v>
      </c>
      <c r="I33" s="20">
        <f>J!B31</f>
        <v>0</v>
      </c>
      <c r="J33" s="20">
        <f>K!B31</f>
        <v>0</v>
      </c>
      <c r="K33" s="20">
        <f>L!B31</f>
        <v>0</v>
      </c>
      <c r="L33" s="20">
        <f>M!B31</f>
        <v>0</v>
      </c>
      <c r="M33" s="20">
        <f>N!B31</f>
        <v>0</v>
      </c>
      <c r="N33" s="20">
        <f>O!B31</f>
        <v>0</v>
      </c>
      <c r="O33" s="20">
        <f>P!B31</f>
        <v>0</v>
      </c>
      <c r="P33" s="20">
        <f>Q!B31</f>
        <v>0</v>
      </c>
      <c r="Q33" s="20">
        <f>'R'!B31</f>
        <v>0</v>
      </c>
      <c r="R33" s="20">
        <f>S!B31</f>
        <v>0</v>
      </c>
      <c r="S33" s="20">
        <f>T!B31</f>
        <v>0</v>
      </c>
      <c r="T33" s="20">
        <f>U!B31</f>
        <v>0</v>
      </c>
      <c r="U33" s="20">
        <f>V!B31</f>
        <v>0</v>
      </c>
      <c r="V33" s="20">
        <f>W!B31</f>
        <v>0</v>
      </c>
      <c r="W33" s="20">
        <f>X!B31</f>
        <v>0</v>
      </c>
      <c r="X33" s="21">
        <f t="shared" ref="X33:X43" si="45">SUM(B33:W33)</f>
        <v>167</v>
      </c>
      <c r="Y33" s="22">
        <f>IF(AW33=0,0,X33/AW33)</f>
        <v>41.75</v>
      </c>
      <c r="Z33" s="122" t="str">
        <f t="shared" ref="Z33:Z96" si="46">A33</f>
        <v>BRENNEN</v>
      </c>
      <c r="AA33" s="17">
        <f t="shared" ref="AA33:AA40" si="47">IF(B33=0,0,1)</f>
        <v>1</v>
      </c>
      <c r="AB33">
        <f t="shared" ref="AB33:AB40" si="48">IF(C33=0,0,1)</f>
        <v>1</v>
      </c>
      <c r="AC33">
        <f t="shared" ref="AC33:AC40" si="49">IF(D33=0,0,1)</f>
        <v>1</v>
      </c>
      <c r="AD33">
        <f t="shared" ref="AD33:AD40" si="50">IF(E33=0,0,1)</f>
        <v>1</v>
      </c>
      <c r="AE33">
        <f t="shared" ref="AE33:AE40" si="51">IF(F33=0,0,1)</f>
        <v>0</v>
      </c>
      <c r="AF33">
        <f t="shared" ref="AF33:AF40" si="52">IF(G33=0,0,1)</f>
        <v>0</v>
      </c>
      <c r="AG33">
        <f t="shared" ref="AG33:AG40" si="53">IF(H33=0,0,1)</f>
        <v>0</v>
      </c>
      <c r="AH33">
        <f t="shared" ref="AH33:AH40" si="54">IF(I33=0,0,1)</f>
        <v>0</v>
      </c>
      <c r="AI33">
        <f t="shared" ref="AI33:AI40" si="55">IF(J33=0,0,1)</f>
        <v>0</v>
      </c>
      <c r="AJ33">
        <f t="shared" ref="AJ33:AJ40" si="56">IF(K33=0,0,1)</f>
        <v>0</v>
      </c>
      <c r="AK33">
        <f t="shared" ref="AK33:AK40" si="57">IF(L33=0,0,1)</f>
        <v>0</v>
      </c>
      <c r="AL33">
        <f t="shared" ref="AL33:AL40" si="58">IF(M33=0,0,1)</f>
        <v>0</v>
      </c>
      <c r="AM33">
        <f t="shared" ref="AM33:AM40" si="59">IF(N33=0,0,1)</f>
        <v>0</v>
      </c>
      <c r="AN33">
        <f t="shared" ref="AN33:AN40" si="60">IF(O33=0,0,1)</f>
        <v>0</v>
      </c>
      <c r="AO33">
        <f t="shared" ref="AO33:AO40" si="61">IF(P33=0,0,1)</f>
        <v>0</v>
      </c>
      <c r="AP33">
        <f t="shared" ref="AP33:AP40" si="62">IF(Q33=0,0,1)</f>
        <v>0</v>
      </c>
      <c r="AQ33">
        <f t="shared" ref="AQ33:AQ40" si="63">IF(R33=0,0,1)</f>
        <v>0</v>
      </c>
      <c r="AR33">
        <f t="shared" ref="AR33:AR40" si="64">IF(S33=0,0,1)</f>
        <v>0</v>
      </c>
      <c r="AS33">
        <f t="shared" ref="AS33:AS40" si="65">IF(T33=0,0,1)</f>
        <v>0</v>
      </c>
      <c r="AT33">
        <f t="shared" ref="AT33:AT40" si="66">IF(U33=0,0,1)</f>
        <v>0</v>
      </c>
      <c r="AU33">
        <f t="shared" ref="AU33:AU40" si="67">IF(V33=0,0,1)</f>
        <v>0</v>
      </c>
      <c r="AV33">
        <f t="shared" ref="AV33:AV40" si="68">IF(W33=0,0,1)</f>
        <v>0</v>
      </c>
      <c r="AW33" s="23">
        <f t="shared" ref="AW33:AW40" si="69">SUM(AA33:AV33)</f>
        <v>4</v>
      </c>
      <c r="AX33" s="24">
        <f>IF(X33=0,0,X33)</f>
        <v>167</v>
      </c>
      <c r="AY33" s="121" t="str">
        <f>IF(X33=0,0,A33)</f>
        <v>BRENNEN</v>
      </c>
      <c r="AZ33" s="124" t="str">
        <f>IF(AX33=0,0,A$32)</f>
        <v>RACK PACK</v>
      </c>
      <c r="BA33" s="243">
        <v>153</v>
      </c>
      <c r="BB33" s="198" t="s">
        <v>330</v>
      </c>
      <c r="BC33" s="244" t="s">
        <v>338</v>
      </c>
      <c r="BD33" s="24"/>
      <c r="BE33" s="23"/>
      <c r="BF33" s="203"/>
      <c r="BG33" s="204"/>
    </row>
    <row r="34" spans="1:59">
      <c r="A34" s="19" t="str">
        <f>B!B109</f>
        <v>NICK</v>
      </c>
      <c r="B34" s="20">
        <f>'C'!B32</f>
        <v>42</v>
      </c>
      <c r="C34" s="20">
        <f>D!B32</f>
        <v>30</v>
      </c>
      <c r="D34" s="20">
        <f>E!B32</f>
        <v>36</v>
      </c>
      <c r="E34" s="20">
        <f>F!B32</f>
        <v>39</v>
      </c>
      <c r="F34" s="20">
        <f>G!B32</f>
        <v>0</v>
      </c>
      <c r="G34" s="20">
        <f>H!B32</f>
        <v>0</v>
      </c>
      <c r="H34" s="20">
        <f>I!B32</f>
        <v>0</v>
      </c>
      <c r="I34" s="20">
        <f>J!B32</f>
        <v>0</v>
      </c>
      <c r="J34" s="20">
        <f>K!B32</f>
        <v>0</v>
      </c>
      <c r="K34" s="20">
        <f>L!B32</f>
        <v>0</v>
      </c>
      <c r="L34" s="20">
        <f>M!B32</f>
        <v>0</v>
      </c>
      <c r="M34" s="20">
        <f>N!B32</f>
        <v>0</v>
      </c>
      <c r="N34" s="20">
        <f>O!B32</f>
        <v>0</v>
      </c>
      <c r="O34" s="20">
        <f>P!B32</f>
        <v>0</v>
      </c>
      <c r="P34" s="20">
        <f>Q!B32</f>
        <v>0</v>
      </c>
      <c r="Q34" s="20">
        <f>'R'!B32</f>
        <v>0</v>
      </c>
      <c r="R34" s="20">
        <f>S!B32</f>
        <v>0</v>
      </c>
      <c r="S34" s="20">
        <f>T!B32</f>
        <v>0</v>
      </c>
      <c r="T34" s="20">
        <f>U!B32</f>
        <v>0</v>
      </c>
      <c r="U34" s="20">
        <f>V!B32</f>
        <v>0</v>
      </c>
      <c r="V34" s="20">
        <f>W!B32</f>
        <v>0</v>
      </c>
      <c r="W34" s="20">
        <f>X!B32</f>
        <v>0</v>
      </c>
      <c r="X34" s="21">
        <f t="shared" si="45"/>
        <v>147</v>
      </c>
      <c r="Y34" s="22">
        <f t="shared" ref="Y34:Y40" si="70">IF(AW34=0,0,X34/AW34)</f>
        <v>36.75</v>
      </c>
      <c r="Z34" s="122" t="str">
        <f t="shared" si="46"/>
        <v>NICK</v>
      </c>
      <c r="AA34" s="17">
        <f t="shared" si="47"/>
        <v>1</v>
      </c>
      <c r="AB34">
        <f t="shared" si="48"/>
        <v>1</v>
      </c>
      <c r="AC34">
        <f t="shared" si="49"/>
        <v>1</v>
      </c>
      <c r="AD34">
        <f t="shared" si="50"/>
        <v>1</v>
      </c>
      <c r="AE34">
        <f t="shared" si="51"/>
        <v>0</v>
      </c>
      <c r="AF34">
        <f t="shared" si="52"/>
        <v>0</v>
      </c>
      <c r="AG34">
        <f t="shared" si="53"/>
        <v>0</v>
      </c>
      <c r="AH34">
        <f t="shared" si="54"/>
        <v>0</v>
      </c>
      <c r="AI34">
        <f t="shared" si="55"/>
        <v>0</v>
      </c>
      <c r="AJ34">
        <f t="shared" si="56"/>
        <v>0</v>
      </c>
      <c r="AK34">
        <f t="shared" si="57"/>
        <v>0</v>
      </c>
      <c r="AL34">
        <f t="shared" si="58"/>
        <v>0</v>
      </c>
      <c r="AM34">
        <f t="shared" si="59"/>
        <v>0</v>
      </c>
      <c r="AN34">
        <f t="shared" si="60"/>
        <v>0</v>
      </c>
      <c r="AO34">
        <f t="shared" si="61"/>
        <v>0</v>
      </c>
      <c r="AP34">
        <f t="shared" si="62"/>
        <v>0</v>
      </c>
      <c r="AQ34">
        <f t="shared" si="63"/>
        <v>0</v>
      </c>
      <c r="AR34">
        <f t="shared" si="64"/>
        <v>0</v>
      </c>
      <c r="AS34">
        <f t="shared" si="65"/>
        <v>0</v>
      </c>
      <c r="AT34">
        <f t="shared" si="66"/>
        <v>0</v>
      </c>
      <c r="AU34">
        <f t="shared" si="67"/>
        <v>0</v>
      </c>
      <c r="AV34">
        <f t="shared" si="68"/>
        <v>0</v>
      </c>
      <c r="AW34" s="23">
        <f t="shared" si="69"/>
        <v>4</v>
      </c>
      <c r="AX34" s="24">
        <f t="shared" ref="AX34:AX40" si="71">IF(X34=0,0,X34)</f>
        <v>147</v>
      </c>
      <c r="AY34" s="121" t="str">
        <f t="shared" ref="AY34:AY40" si="72">IF(X34=0,0,A34)</f>
        <v>NICK</v>
      </c>
      <c r="AZ34" s="124" t="str">
        <f t="shared" ref="AZ34:AZ40" si="73">IF(AX34=0,0,A$32)</f>
        <v>RACK PACK</v>
      </c>
      <c r="BA34" s="197">
        <v>152</v>
      </c>
      <c r="BB34" s="198" t="s">
        <v>307</v>
      </c>
      <c r="BC34" s="198" t="s">
        <v>304</v>
      </c>
      <c r="BD34" s="24"/>
      <c r="BE34" s="23"/>
      <c r="BF34" s="203"/>
      <c r="BG34" s="204"/>
    </row>
    <row r="35" spans="1:59">
      <c r="A35" s="19" t="str">
        <f>B!B114</f>
        <v>IAN</v>
      </c>
      <c r="B35" s="20">
        <f>'C'!B33</f>
        <v>41</v>
      </c>
      <c r="C35" s="20">
        <f>D!B33</f>
        <v>33</v>
      </c>
      <c r="D35" s="20">
        <f>E!B33</f>
        <v>45</v>
      </c>
      <c r="E35" s="20">
        <f>F!B33</f>
        <v>41</v>
      </c>
      <c r="F35" s="20">
        <f>G!B33</f>
        <v>0</v>
      </c>
      <c r="G35" s="20">
        <f>H!B33</f>
        <v>0</v>
      </c>
      <c r="H35" s="20">
        <f>I!B33</f>
        <v>0</v>
      </c>
      <c r="I35" s="20">
        <f>J!B33</f>
        <v>0</v>
      </c>
      <c r="J35" s="20">
        <f>K!B33</f>
        <v>0</v>
      </c>
      <c r="K35" s="20">
        <f>L!B33</f>
        <v>0</v>
      </c>
      <c r="L35" s="20">
        <f>M!B33</f>
        <v>0</v>
      </c>
      <c r="M35" s="20">
        <f>N!B33</f>
        <v>0</v>
      </c>
      <c r="N35" s="20">
        <f>O!B33</f>
        <v>0</v>
      </c>
      <c r="O35" s="20">
        <f>P!B33</f>
        <v>0</v>
      </c>
      <c r="P35" s="20">
        <f>Q!B33</f>
        <v>0</v>
      </c>
      <c r="Q35" s="20">
        <f>'R'!B33</f>
        <v>0</v>
      </c>
      <c r="R35" s="20">
        <f>S!B33</f>
        <v>0</v>
      </c>
      <c r="S35" s="20">
        <f>T!B33</f>
        <v>0</v>
      </c>
      <c r="T35" s="20">
        <f>U!B33</f>
        <v>0</v>
      </c>
      <c r="U35" s="20">
        <f>V!B33</f>
        <v>0</v>
      </c>
      <c r="V35" s="20">
        <f>W!B33</f>
        <v>0</v>
      </c>
      <c r="W35" s="20">
        <f>X!B33</f>
        <v>0</v>
      </c>
      <c r="X35" s="21">
        <f t="shared" si="45"/>
        <v>160</v>
      </c>
      <c r="Y35" s="22">
        <f t="shared" si="70"/>
        <v>40</v>
      </c>
      <c r="Z35" s="122" t="str">
        <f t="shared" si="46"/>
        <v>IAN</v>
      </c>
      <c r="AA35" s="17">
        <f t="shared" si="47"/>
        <v>1</v>
      </c>
      <c r="AB35">
        <f t="shared" si="48"/>
        <v>1</v>
      </c>
      <c r="AC35">
        <f t="shared" si="49"/>
        <v>1</v>
      </c>
      <c r="AD35">
        <f t="shared" si="50"/>
        <v>1</v>
      </c>
      <c r="AE35">
        <f t="shared" si="51"/>
        <v>0</v>
      </c>
      <c r="AF35">
        <f t="shared" si="52"/>
        <v>0</v>
      </c>
      <c r="AG35">
        <f t="shared" si="53"/>
        <v>0</v>
      </c>
      <c r="AH35">
        <f t="shared" si="54"/>
        <v>0</v>
      </c>
      <c r="AI35">
        <f t="shared" si="55"/>
        <v>0</v>
      </c>
      <c r="AJ35">
        <f t="shared" si="56"/>
        <v>0</v>
      </c>
      <c r="AK35">
        <f t="shared" si="57"/>
        <v>0</v>
      </c>
      <c r="AL35">
        <f t="shared" si="58"/>
        <v>0</v>
      </c>
      <c r="AM35">
        <f t="shared" si="59"/>
        <v>0</v>
      </c>
      <c r="AN35">
        <f t="shared" si="60"/>
        <v>0</v>
      </c>
      <c r="AO35">
        <f t="shared" si="61"/>
        <v>0</v>
      </c>
      <c r="AP35">
        <f t="shared" si="62"/>
        <v>0</v>
      </c>
      <c r="AQ35">
        <f t="shared" si="63"/>
        <v>0</v>
      </c>
      <c r="AR35">
        <f t="shared" si="64"/>
        <v>0</v>
      </c>
      <c r="AS35">
        <f t="shared" si="65"/>
        <v>0</v>
      </c>
      <c r="AT35">
        <f t="shared" si="66"/>
        <v>0</v>
      </c>
      <c r="AU35">
        <f t="shared" si="67"/>
        <v>0</v>
      </c>
      <c r="AV35">
        <f t="shared" si="68"/>
        <v>0</v>
      </c>
      <c r="AW35" s="23">
        <f t="shared" si="69"/>
        <v>4</v>
      </c>
      <c r="AX35" s="24">
        <f t="shared" si="71"/>
        <v>160</v>
      </c>
      <c r="AY35" s="121" t="str">
        <f t="shared" si="72"/>
        <v>IAN</v>
      </c>
      <c r="AZ35" s="124" t="str">
        <f t="shared" si="73"/>
        <v>RACK PACK</v>
      </c>
      <c r="BA35" s="243">
        <v>151</v>
      </c>
      <c r="BB35" s="198" t="s">
        <v>324</v>
      </c>
      <c r="BC35" s="244" t="s">
        <v>323</v>
      </c>
      <c r="BD35" s="24"/>
      <c r="BE35" s="23"/>
      <c r="BF35" s="203"/>
      <c r="BG35" s="204"/>
    </row>
    <row r="36" spans="1:59">
      <c r="A36" s="19" t="str">
        <f>B!B119</f>
        <v>SCOTT</v>
      </c>
      <c r="B36" s="20">
        <f>'C'!B34</f>
        <v>39</v>
      </c>
      <c r="C36" s="20">
        <f>D!B34</f>
        <v>39</v>
      </c>
      <c r="D36" s="20">
        <f>E!B34</f>
        <v>35</v>
      </c>
      <c r="E36" s="20">
        <f>F!B34</f>
        <v>33</v>
      </c>
      <c r="F36" s="20">
        <f>G!B34</f>
        <v>0</v>
      </c>
      <c r="G36" s="20">
        <f>H!B34</f>
        <v>0</v>
      </c>
      <c r="H36" s="20">
        <f>I!B34</f>
        <v>0</v>
      </c>
      <c r="I36" s="20">
        <f>J!B34</f>
        <v>0</v>
      </c>
      <c r="J36" s="20">
        <f>K!B34</f>
        <v>0</v>
      </c>
      <c r="K36" s="20">
        <f>L!B34</f>
        <v>0</v>
      </c>
      <c r="L36" s="20">
        <f>M!B34</f>
        <v>0</v>
      </c>
      <c r="M36" s="20">
        <f>N!B34</f>
        <v>0</v>
      </c>
      <c r="N36" s="20">
        <f>O!B34</f>
        <v>0</v>
      </c>
      <c r="O36" s="20">
        <f>P!B34</f>
        <v>0</v>
      </c>
      <c r="P36" s="20">
        <f>Q!B34</f>
        <v>0</v>
      </c>
      <c r="Q36" s="20">
        <f>'R'!B34</f>
        <v>0</v>
      </c>
      <c r="R36" s="20">
        <f>S!B34</f>
        <v>0</v>
      </c>
      <c r="S36" s="20">
        <f>T!B34</f>
        <v>0</v>
      </c>
      <c r="T36" s="20">
        <f>U!B34</f>
        <v>0</v>
      </c>
      <c r="U36" s="20">
        <f>V!B34</f>
        <v>0</v>
      </c>
      <c r="V36" s="20">
        <f>W!B34</f>
        <v>0</v>
      </c>
      <c r="W36" s="20">
        <f>X!B34</f>
        <v>0</v>
      </c>
      <c r="X36" s="21">
        <f t="shared" si="45"/>
        <v>146</v>
      </c>
      <c r="Y36" s="22">
        <f t="shared" si="70"/>
        <v>36.5</v>
      </c>
      <c r="Z36" s="122" t="str">
        <f t="shared" si="46"/>
        <v>SCOTT</v>
      </c>
      <c r="AA36" s="17">
        <f t="shared" si="47"/>
        <v>1</v>
      </c>
      <c r="AB36">
        <f t="shared" si="48"/>
        <v>1</v>
      </c>
      <c r="AC36">
        <f t="shared" si="49"/>
        <v>1</v>
      </c>
      <c r="AD36">
        <f t="shared" si="50"/>
        <v>1</v>
      </c>
      <c r="AE36">
        <f t="shared" si="51"/>
        <v>0</v>
      </c>
      <c r="AF36">
        <f t="shared" si="52"/>
        <v>0</v>
      </c>
      <c r="AG36">
        <f t="shared" si="53"/>
        <v>0</v>
      </c>
      <c r="AH36">
        <f t="shared" si="54"/>
        <v>0</v>
      </c>
      <c r="AI36">
        <f t="shared" si="55"/>
        <v>0</v>
      </c>
      <c r="AJ36">
        <f t="shared" si="56"/>
        <v>0</v>
      </c>
      <c r="AK36">
        <f t="shared" si="57"/>
        <v>0</v>
      </c>
      <c r="AL36">
        <f t="shared" si="58"/>
        <v>0</v>
      </c>
      <c r="AM36">
        <f t="shared" si="59"/>
        <v>0</v>
      </c>
      <c r="AN36">
        <f t="shared" si="60"/>
        <v>0</v>
      </c>
      <c r="AO36">
        <f t="shared" si="61"/>
        <v>0</v>
      </c>
      <c r="AP36">
        <f t="shared" si="62"/>
        <v>0</v>
      </c>
      <c r="AQ36">
        <f t="shared" si="63"/>
        <v>0</v>
      </c>
      <c r="AR36">
        <f t="shared" si="64"/>
        <v>0</v>
      </c>
      <c r="AS36">
        <f t="shared" si="65"/>
        <v>0</v>
      </c>
      <c r="AT36">
        <f t="shared" si="66"/>
        <v>0</v>
      </c>
      <c r="AU36">
        <f t="shared" si="67"/>
        <v>0</v>
      </c>
      <c r="AV36">
        <f t="shared" si="68"/>
        <v>0</v>
      </c>
      <c r="AW36" s="23">
        <f t="shared" si="69"/>
        <v>4</v>
      </c>
      <c r="AX36" s="24">
        <f t="shared" si="71"/>
        <v>146</v>
      </c>
      <c r="AY36" s="121" t="str">
        <f t="shared" si="72"/>
        <v>SCOTT</v>
      </c>
      <c r="AZ36" s="124" t="str">
        <f t="shared" si="73"/>
        <v>RACK PACK</v>
      </c>
      <c r="BA36" s="197">
        <v>150</v>
      </c>
      <c r="BB36" s="198" t="s">
        <v>302</v>
      </c>
      <c r="BC36" s="198" t="s">
        <v>300</v>
      </c>
      <c r="BD36" s="24"/>
      <c r="BE36" s="23"/>
      <c r="BF36" s="203"/>
      <c r="BG36" s="204"/>
    </row>
    <row r="37" spans="1:59">
      <c r="A37" s="19" t="str">
        <f>B!B124</f>
        <v>TIM</v>
      </c>
      <c r="B37" s="20">
        <f>'C'!B35</f>
        <v>34</v>
      </c>
      <c r="C37" s="20">
        <f>D!B35</f>
        <v>37</v>
      </c>
      <c r="D37" s="20">
        <f>E!B35</f>
        <v>34</v>
      </c>
      <c r="E37" s="20">
        <f>F!B35</f>
        <v>42</v>
      </c>
      <c r="F37" s="20">
        <f>G!B35</f>
        <v>0</v>
      </c>
      <c r="G37" s="20">
        <f>H!B35</f>
        <v>0</v>
      </c>
      <c r="H37" s="20">
        <f>I!B35</f>
        <v>0</v>
      </c>
      <c r="I37" s="20">
        <f>J!B35</f>
        <v>0</v>
      </c>
      <c r="J37" s="20">
        <f>K!B35</f>
        <v>0</v>
      </c>
      <c r="K37" s="20">
        <f>L!B35</f>
        <v>0</v>
      </c>
      <c r="L37" s="20">
        <f>M!B35</f>
        <v>0</v>
      </c>
      <c r="M37" s="20">
        <f>N!B35</f>
        <v>0</v>
      </c>
      <c r="N37" s="20">
        <f>O!B35</f>
        <v>0</v>
      </c>
      <c r="O37" s="20">
        <f>P!B35</f>
        <v>0</v>
      </c>
      <c r="P37" s="20">
        <f>Q!B35</f>
        <v>0</v>
      </c>
      <c r="Q37" s="20">
        <f>'R'!B35</f>
        <v>0</v>
      </c>
      <c r="R37" s="20">
        <f>S!B35</f>
        <v>0</v>
      </c>
      <c r="S37" s="20">
        <f>T!B35</f>
        <v>0</v>
      </c>
      <c r="T37" s="20">
        <f>U!B35</f>
        <v>0</v>
      </c>
      <c r="U37" s="20">
        <f>V!B35</f>
        <v>0</v>
      </c>
      <c r="V37" s="20">
        <f>W!B35</f>
        <v>0</v>
      </c>
      <c r="W37" s="20">
        <f>X!B35</f>
        <v>0</v>
      </c>
      <c r="X37" s="21">
        <f t="shared" si="45"/>
        <v>147</v>
      </c>
      <c r="Y37" s="22">
        <f t="shared" si="70"/>
        <v>36.75</v>
      </c>
      <c r="Z37" s="122" t="str">
        <f t="shared" si="46"/>
        <v>TIM</v>
      </c>
      <c r="AA37" s="17">
        <f t="shared" si="47"/>
        <v>1</v>
      </c>
      <c r="AB37">
        <f t="shared" si="48"/>
        <v>1</v>
      </c>
      <c r="AC37">
        <f t="shared" si="49"/>
        <v>1</v>
      </c>
      <c r="AD37">
        <f t="shared" si="50"/>
        <v>1</v>
      </c>
      <c r="AE37">
        <f t="shared" si="51"/>
        <v>0</v>
      </c>
      <c r="AF37">
        <f t="shared" si="52"/>
        <v>0</v>
      </c>
      <c r="AG37">
        <f t="shared" si="53"/>
        <v>0</v>
      </c>
      <c r="AH37">
        <f t="shared" si="54"/>
        <v>0</v>
      </c>
      <c r="AI37">
        <f t="shared" si="55"/>
        <v>0</v>
      </c>
      <c r="AJ37">
        <f t="shared" si="56"/>
        <v>0</v>
      </c>
      <c r="AK37">
        <f t="shared" si="57"/>
        <v>0</v>
      </c>
      <c r="AL37">
        <f t="shared" si="58"/>
        <v>0</v>
      </c>
      <c r="AM37">
        <f t="shared" si="59"/>
        <v>0</v>
      </c>
      <c r="AN37">
        <f t="shared" si="60"/>
        <v>0</v>
      </c>
      <c r="AO37">
        <f t="shared" si="61"/>
        <v>0</v>
      </c>
      <c r="AP37">
        <f t="shared" si="62"/>
        <v>0</v>
      </c>
      <c r="AQ37">
        <f t="shared" si="63"/>
        <v>0</v>
      </c>
      <c r="AR37">
        <f t="shared" si="64"/>
        <v>0</v>
      </c>
      <c r="AS37">
        <f t="shared" si="65"/>
        <v>0</v>
      </c>
      <c r="AT37">
        <f t="shared" si="66"/>
        <v>0</v>
      </c>
      <c r="AU37">
        <f t="shared" si="67"/>
        <v>0</v>
      </c>
      <c r="AV37">
        <f t="shared" si="68"/>
        <v>0</v>
      </c>
      <c r="AW37" s="23">
        <f t="shared" si="69"/>
        <v>4</v>
      </c>
      <c r="AX37" s="24">
        <f t="shared" si="71"/>
        <v>147</v>
      </c>
      <c r="AY37" s="121" t="str">
        <f t="shared" si="72"/>
        <v>TIM</v>
      </c>
      <c r="AZ37" s="124" t="str">
        <f t="shared" si="73"/>
        <v>RACK PACK</v>
      </c>
      <c r="BA37" s="197">
        <v>150</v>
      </c>
      <c r="BB37" s="198" t="s">
        <v>313</v>
      </c>
      <c r="BC37" s="198" t="s">
        <v>309</v>
      </c>
      <c r="BD37" s="24"/>
      <c r="BE37" s="23"/>
      <c r="BF37" s="203"/>
      <c r="BG37" s="204"/>
    </row>
    <row r="38" spans="1:59">
      <c r="A38" s="19">
        <f>B!B129</f>
        <v>0</v>
      </c>
      <c r="B38" s="20">
        <f>'C'!B36</f>
        <v>0</v>
      </c>
      <c r="C38" s="20">
        <f>D!B36</f>
        <v>0</v>
      </c>
      <c r="D38" s="20">
        <f>E!B36</f>
        <v>0</v>
      </c>
      <c r="E38" s="20">
        <f>F!B36</f>
        <v>0</v>
      </c>
      <c r="F38" s="20">
        <f>G!B36</f>
        <v>0</v>
      </c>
      <c r="G38" s="20">
        <f>H!B36</f>
        <v>0</v>
      </c>
      <c r="H38" s="20">
        <f>I!B36</f>
        <v>0</v>
      </c>
      <c r="I38" s="20">
        <f>J!B36</f>
        <v>0</v>
      </c>
      <c r="J38" s="20">
        <f>K!B36</f>
        <v>0</v>
      </c>
      <c r="K38" s="20">
        <f>L!B36</f>
        <v>0</v>
      </c>
      <c r="L38" s="20">
        <f>M!B36</f>
        <v>0</v>
      </c>
      <c r="M38" s="20">
        <f>N!B36</f>
        <v>0</v>
      </c>
      <c r="N38" s="20">
        <f>O!B36</f>
        <v>0</v>
      </c>
      <c r="O38" s="20">
        <f>P!B36</f>
        <v>0</v>
      </c>
      <c r="P38" s="20">
        <f>Q!B36</f>
        <v>0</v>
      </c>
      <c r="Q38" s="20">
        <f>'R'!B36</f>
        <v>0</v>
      </c>
      <c r="R38" s="20">
        <f>S!B36</f>
        <v>0</v>
      </c>
      <c r="S38" s="20">
        <f>T!B36</f>
        <v>0</v>
      </c>
      <c r="T38" s="20">
        <f>U!B36</f>
        <v>0</v>
      </c>
      <c r="U38" s="20">
        <f>V!B36</f>
        <v>0</v>
      </c>
      <c r="V38" s="20">
        <f>W!B36</f>
        <v>0</v>
      </c>
      <c r="W38" s="20">
        <f>X!B36</f>
        <v>0</v>
      </c>
      <c r="X38" s="21">
        <f t="shared" si="45"/>
        <v>0</v>
      </c>
      <c r="Y38" s="22">
        <f t="shared" si="70"/>
        <v>0</v>
      </c>
      <c r="Z38" s="122">
        <f t="shared" si="46"/>
        <v>0</v>
      </c>
      <c r="AA38" s="17">
        <f t="shared" si="47"/>
        <v>0</v>
      </c>
      <c r="AB38">
        <f t="shared" si="48"/>
        <v>0</v>
      </c>
      <c r="AC38">
        <f t="shared" si="49"/>
        <v>0</v>
      </c>
      <c r="AD38">
        <f t="shared" si="50"/>
        <v>0</v>
      </c>
      <c r="AE38">
        <f t="shared" si="51"/>
        <v>0</v>
      </c>
      <c r="AF38">
        <f t="shared" si="52"/>
        <v>0</v>
      </c>
      <c r="AG38">
        <f t="shared" si="53"/>
        <v>0</v>
      </c>
      <c r="AH38">
        <f t="shared" si="54"/>
        <v>0</v>
      </c>
      <c r="AI38">
        <f t="shared" si="55"/>
        <v>0</v>
      </c>
      <c r="AJ38">
        <f t="shared" si="56"/>
        <v>0</v>
      </c>
      <c r="AK38">
        <f t="shared" si="57"/>
        <v>0</v>
      </c>
      <c r="AL38">
        <f t="shared" si="58"/>
        <v>0</v>
      </c>
      <c r="AM38">
        <f t="shared" si="59"/>
        <v>0</v>
      </c>
      <c r="AN38">
        <f t="shared" si="60"/>
        <v>0</v>
      </c>
      <c r="AO38">
        <f t="shared" si="61"/>
        <v>0</v>
      </c>
      <c r="AP38">
        <f t="shared" si="62"/>
        <v>0</v>
      </c>
      <c r="AQ38">
        <f t="shared" si="63"/>
        <v>0</v>
      </c>
      <c r="AR38">
        <f t="shared" si="64"/>
        <v>0</v>
      </c>
      <c r="AS38">
        <f t="shared" si="65"/>
        <v>0</v>
      </c>
      <c r="AT38">
        <f t="shared" si="66"/>
        <v>0</v>
      </c>
      <c r="AU38">
        <f t="shared" si="67"/>
        <v>0</v>
      </c>
      <c r="AV38">
        <f t="shared" si="68"/>
        <v>0</v>
      </c>
      <c r="AW38" s="23">
        <f t="shared" si="69"/>
        <v>0</v>
      </c>
      <c r="AX38" s="24">
        <f t="shared" si="71"/>
        <v>0</v>
      </c>
      <c r="AY38" s="121">
        <f t="shared" si="72"/>
        <v>0</v>
      </c>
      <c r="AZ38" s="124">
        <f t="shared" si="73"/>
        <v>0</v>
      </c>
      <c r="BA38" s="197">
        <v>150</v>
      </c>
      <c r="BB38" s="198" t="s">
        <v>317</v>
      </c>
      <c r="BC38" s="198" t="s">
        <v>314</v>
      </c>
      <c r="BD38" s="24"/>
      <c r="BE38" s="23"/>
      <c r="BF38" s="203"/>
      <c r="BG38" s="204"/>
    </row>
    <row r="39" spans="1:59">
      <c r="A39" s="19">
        <f>B!B134</f>
        <v>0</v>
      </c>
      <c r="B39" s="20">
        <f>'C'!B37</f>
        <v>0</v>
      </c>
      <c r="C39" s="20">
        <f>D!B37</f>
        <v>0</v>
      </c>
      <c r="D39" s="20">
        <f>E!B37</f>
        <v>0</v>
      </c>
      <c r="E39" s="20">
        <f>F!B37</f>
        <v>0</v>
      </c>
      <c r="F39" s="20">
        <f>G!B37</f>
        <v>0</v>
      </c>
      <c r="G39" s="20">
        <f>H!B37</f>
        <v>0</v>
      </c>
      <c r="H39" s="20">
        <f>I!B37</f>
        <v>0</v>
      </c>
      <c r="I39" s="20">
        <f>J!B37</f>
        <v>0</v>
      </c>
      <c r="J39" s="20">
        <f>K!B37</f>
        <v>0</v>
      </c>
      <c r="K39" s="20">
        <f>L!B37</f>
        <v>0</v>
      </c>
      <c r="L39" s="20">
        <f>M!B37</f>
        <v>0</v>
      </c>
      <c r="M39" s="20">
        <f>N!B37</f>
        <v>0</v>
      </c>
      <c r="N39" s="20">
        <f>O!B37</f>
        <v>0</v>
      </c>
      <c r="O39" s="20">
        <f>P!B37</f>
        <v>0</v>
      </c>
      <c r="P39" s="20">
        <f>Q!B37</f>
        <v>0</v>
      </c>
      <c r="Q39" s="20">
        <f>'R'!B37</f>
        <v>0</v>
      </c>
      <c r="R39" s="20">
        <f>S!B37</f>
        <v>0</v>
      </c>
      <c r="S39" s="20">
        <f>T!B37</f>
        <v>0</v>
      </c>
      <c r="T39" s="20">
        <f>U!B37</f>
        <v>0</v>
      </c>
      <c r="U39" s="20">
        <f>V!B37</f>
        <v>0</v>
      </c>
      <c r="V39" s="20">
        <f>W!B37</f>
        <v>0</v>
      </c>
      <c r="W39" s="20">
        <f>X!B37</f>
        <v>0</v>
      </c>
      <c r="X39" s="21">
        <f t="shared" si="45"/>
        <v>0</v>
      </c>
      <c r="Y39" s="22">
        <f t="shared" si="70"/>
        <v>0</v>
      </c>
      <c r="Z39" s="122">
        <f t="shared" si="46"/>
        <v>0</v>
      </c>
      <c r="AA39" s="17">
        <f t="shared" si="47"/>
        <v>0</v>
      </c>
      <c r="AB39">
        <f t="shared" si="48"/>
        <v>0</v>
      </c>
      <c r="AC39">
        <f t="shared" si="49"/>
        <v>0</v>
      </c>
      <c r="AD39">
        <f t="shared" si="50"/>
        <v>0</v>
      </c>
      <c r="AE39">
        <f t="shared" si="51"/>
        <v>0</v>
      </c>
      <c r="AF39">
        <f t="shared" si="52"/>
        <v>0</v>
      </c>
      <c r="AG39">
        <f t="shared" si="53"/>
        <v>0</v>
      </c>
      <c r="AH39">
        <f t="shared" si="54"/>
        <v>0</v>
      </c>
      <c r="AI39">
        <f t="shared" si="55"/>
        <v>0</v>
      </c>
      <c r="AJ39">
        <f t="shared" si="56"/>
        <v>0</v>
      </c>
      <c r="AK39">
        <f t="shared" si="57"/>
        <v>0</v>
      </c>
      <c r="AL39">
        <f t="shared" si="58"/>
        <v>0</v>
      </c>
      <c r="AM39">
        <f t="shared" si="59"/>
        <v>0</v>
      </c>
      <c r="AN39">
        <f t="shared" si="60"/>
        <v>0</v>
      </c>
      <c r="AO39">
        <f t="shared" si="61"/>
        <v>0</v>
      </c>
      <c r="AP39">
        <f t="shared" si="62"/>
        <v>0</v>
      </c>
      <c r="AQ39">
        <f t="shared" si="63"/>
        <v>0</v>
      </c>
      <c r="AR39">
        <f t="shared" si="64"/>
        <v>0</v>
      </c>
      <c r="AS39">
        <f t="shared" si="65"/>
        <v>0</v>
      </c>
      <c r="AT39">
        <f t="shared" si="66"/>
        <v>0</v>
      </c>
      <c r="AU39">
        <f t="shared" si="67"/>
        <v>0</v>
      </c>
      <c r="AV39">
        <f t="shared" si="68"/>
        <v>0</v>
      </c>
      <c r="AW39" s="23">
        <f t="shared" si="69"/>
        <v>0</v>
      </c>
      <c r="AX39" s="24">
        <f t="shared" si="71"/>
        <v>0</v>
      </c>
      <c r="AY39" s="121">
        <f t="shared" si="72"/>
        <v>0</v>
      </c>
      <c r="AZ39" s="124">
        <f t="shared" si="73"/>
        <v>0</v>
      </c>
      <c r="BA39" s="197">
        <v>149</v>
      </c>
      <c r="BB39" s="198" t="s">
        <v>310</v>
      </c>
      <c r="BC39" s="198" t="s">
        <v>309</v>
      </c>
      <c r="BD39" s="24"/>
      <c r="BE39" s="23"/>
      <c r="BF39" s="203"/>
      <c r="BG39" s="204"/>
    </row>
    <row r="40" spans="1:59" ht="15.75" thickBot="1">
      <c r="A40" s="17">
        <f>B!B139</f>
        <v>0</v>
      </c>
      <c r="B40" s="20">
        <f>'C'!B38</f>
        <v>0</v>
      </c>
      <c r="C40" s="20">
        <f>D!B38</f>
        <v>0</v>
      </c>
      <c r="D40" s="20">
        <f>E!B38</f>
        <v>0</v>
      </c>
      <c r="E40" s="20">
        <f>F!B38</f>
        <v>0</v>
      </c>
      <c r="F40" s="20">
        <f>G!B38</f>
        <v>0</v>
      </c>
      <c r="G40" s="20">
        <f>H!B38</f>
        <v>0</v>
      </c>
      <c r="H40" s="20">
        <f>I!B38</f>
        <v>0</v>
      </c>
      <c r="I40" s="20">
        <f>J!B38</f>
        <v>0</v>
      </c>
      <c r="J40" s="20">
        <f>K!B38</f>
        <v>0</v>
      </c>
      <c r="K40" s="20">
        <f>L!B38</f>
        <v>0</v>
      </c>
      <c r="L40" s="20">
        <f>M!B38</f>
        <v>0</v>
      </c>
      <c r="M40" s="20">
        <f>N!B38</f>
        <v>0</v>
      </c>
      <c r="N40" s="20">
        <f>O!B38</f>
        <v>0</v>
      </c>
      <c r="O40" s="20">
        <f>P!B38</f>
        <v>0</v>
      </c>
      <c r="P40" s="20">
        <f>Q!B38</f>
        <v>0</v>
      </c>
      <c r="Q40" s="20">
        <f>'R'!B38</f>
        <v>0</v>
      </c>
      <c r="R40" s="20">
        <f>S!B38</f>
        <v>0</v>
      </c>
      <c r="S40" s="20">
        <f>T!B38</f>
        <v>0</v>
      </c>
      <c r="T40" s="20">
        <f>U!B38</f>
        <v>0</v>
      </c>
      <c r="U40" s="20">
        <f>V!B38</f>
        <v>0</v>
      </c>
      <c r="V40" s="20">
        <f>W!B38</f>
        <v>0</v>
      </c>
      <c r="W40" s="20">
        <f>X!B38</f>
        <v>0</v>
      </c>
      <c r="X40" s="21">
        <f t="shared" si="45"/>
        <v>0</v>
      </c>
      <c r="Y40" s="22">
        <f t="shared" si="70"/>
        <v>0</v>
      </c>
      <c r="Z40" s="122">
        <f t="shared" si="46"/>
        <v>0</v>
      </c>
      <c r="AA40" s="17">
        <f t="shared" si="47"/>
        <v>0</v>
      </c>
      <c r="AB40">
        <f t="shared" si="48"/>
        <v>0</v>
      </c>
      <c r="AC40">
        <f t="shared" si="49"/>
        <v>0</v>
      </c>
      <c r="AD40">
        <f t="shared" si="50"/>
        <v>0</v>
      </c>
      <c r="AE40">
        <f t="shared" si="51"/>
        <v>0</v>
      </c>
      <c r="AF40">
        <f t="shared" si="52"/>
        <v>0</v>
      </c>
      <c r="AG40">
        <f t="shared" si="53"/>
        <v>0</v>
      </c>
      <c r="AH40">
        <f t="shared" si="54"/>
        <v>0</v>
      </c>
      <c r="AI40">
        <f t="shared" si="55"/>
        <v>0</v>
      </c>
      <c r="AJ40">
        <f t="shared" si="56"/>
        <v>0</v>
      </c>
      <c r="AK40">
        <f t="shared" si="57"/>
        <v>0</v>
      </c>
      <c r="AL40">
        <f t="shared" si="58"/>
        <v>0</v>
      </c>
      <c r="AM40">
        <f t="shared" si="59"/>
        <v>0</v>
      </c>
      <c r="AN40">
        <f t="shared" si="60"/>
        <v>0</v>
      </c>
      <c r="AO40">
        <f t="shared" si="61"/>
        <v>0</v>
      </c>
      <c r="AP40">
        <f t="shared" si="62"/>
        <v>0</v>
      </c>
      <c r="AQ40">
        <f t="shared" si="63"/>
        <v>0</v>
      </c>
      <c r="AR40">
        <f t="shared" si="64"/>
        <v>0</v>
      </c>
      <c r="AS40">
        <f t="shared" si="65"/>
        <v>0</v>
      </c>
      <c r="AT40">
        <f t="shared" si="66"/>
        <v>0</v>
      </c>
      <c r="AU40">
        <f t="shared" si="67"/>
        <v>0</v>
      </c>
      <c r="AV40">
        <f t="shared" si="68"/>
        <v>0</v>
      </c>
      <c r="AW40" s="23">
        <f t="shared" si="69"/>
        <v>0</v>
      </c>
      <c r="AX40" s="24">
        <f t="shared" si="71"/>
        <v>0</v>
      </c>
      <c r="AY40" s="121">
        <f t="shared" si="72"/>
        <v>0</v>
      </c>
      <c r="AZ40" s="124">
        <f t="shared" si="73"/>
        <v>0</v>
      </c>
      <c r="BA40" s="197">
        <v>147</v>
      </c>
      <c r="BB40" s="198" t="s">
        <v>297</v>
      </c>
      <c r="BC40" s="198" t="s">
        <v>295</v>
      </c>
      <c r="BD40" s="24"/>
      <c r="BE40" s="23"/>
      <c r="BF40" s="203"/>
      <c r="BG40" s="204"/>
    </row>
    <row r="41" spans="1:59" ht="15.75" thickTop="1">
      <c r="A41" s="133" t="s">
        <v>134</v>
      </c>
      <c r="B41" s="134">
        <f t="shared" ref="B41:W41" si="74">SUM(B33:B40)</f>
        <v>202</v>
      </c>
      <c r="C41" s="134">
        <f t="shared" si="74"/>
        <v>179</v>
      </c>
      <c r="D41" s="134">
        <f t="shared" si="74"/>
        <v>189</v>
      </c>
      <c r="E41" s="134">
        <f t="shared" si="74"/>
        <v>197</v>
      </c>
      <c r="F41" s="134">
        <f t="shared" si="74"/>
        <v>0</v>
      </c>
      <c r="G41" s="134">
        <f t="shared" si="74"/>
        <v>0</v>
      </c>
      <c r="H41" s="134">
        <f t="shared" si="74"/>
        <v>0</v>
      </c>
      <c r="I41" s="134">
        <f t="shared" si="74"/>
        <v>0</v>
      </c>
      <c r="J41" s="134">
        <f t="shared" si="74"/>
        <v>0</v>
      </c>
      <c r="K41" s="134">
        <f t="shared" si="74"/>
        <v>0</v>
      </c>
      <c r="L41" s="134">
        <f t="shared" si="74"/>
        <v>0</v>
      </c>
      <c r="M41" s="134">
        <f t="shared" si="74"/>
        <v>0</v>
      </c>
      <c r="N41" s="134">
        <f t="shared" si="74"/>
        <v>0</v>
      </c>
      <c r="O41" s="134">
        <f t="shared" si="74"/>
        <v>0</v>
      </c>
      <c r="P41" s="134">
        <f t="shared" si="74"/>
        <v>0</v>
      </c>
      <c r="Q41" s="134">
        <f t="shared" si="74"/>
        <v>0</v>
      </c>
      <c r="R41" s="134">
        <f t="shared" si="74"/>
        <v>0</v>
      </c>
      <c r="S41" s="134">
        <f t="shared" si="74"/>
        <v>0</v>
      </c>
      <c r="T41" s="134">
        <f t="shared" si="74"/>
        <v>0</v>
      </c>
      <c r="U41" s="134">
        <f t="shared" si="74"/>
        <v>0</v>
      </c>
      <c r="V41" s="134">
        <f t="shared" si="74"/>
        <v>0</v>
      </c>
      <c r="W41" s="134">
        <f t="shared" si="74"/>
        <v>0</v>
      </c>
      <c r="X41" s="135">
        <f t="shared" si="45"/>
        <v>767</v>
      </c>
      <c r="Y41" s="137">
        <f>IF(X41=0,0,X41/AW41)</f>
        <v>191.75</v>
      </c>
      <c r="Z41" s="122"/>
      <c r="AA41" s="138">
        <f t="shared" ref="AA41:AV41" si="75">SUM(AA33:AA40)</f>
        <v>5</v>
      </c>
      <c r="AB41" s="11">
        <f t="shared" si="75"/>
        <v>5</v>
      </c>
      <c r="AC41" s="11">
        <f t="shared" si="75"/>
        <v>5</v>
      </c>
      <c r="AD41" s="11">
        <f t="shared" si="75"/>
        <v>5</v>
      </c>
      <c r="AE41" s="11">
        <f t="shared" si="75"/>
        <v>0</v>
      </c>
      <c r="AF41" s="11">
        <f t="shared" si="75"/>
        <v>0</v>
      </c>
      <c r="AG41" s="11">
        <f t="shared" si="75"/>
        <v>0</v>
      </c>
      <c r="AH41" s="11">
        <f t="shared" si="75"/>
        <v>0</v>
      </c>
      <c r="AI41" s="11">
        <f t="shared" si="75"/>
        <v>0</v>
      </c>
      <c r="AJ41" s="11">
        <f t="shared" si="75"/>
        <v>0</v>
      </c>
      <c r="AK41" s="11">
        <f t="shared" si="75"/>
        <v>0</v>
      </c>
      <c r="AL41" s="11">
        <f t="shared" si="75"/>
        <v>0</v>
      </c>
      <c r="AM41" s="11">
        <f t="shared" si="75"/>
        <v>0</v>
      </c>
      <c r="AN41" s="11">
        <f t="shared" si="75"/>
        <v>0</v>
      </c>
      <c r="AO41" s="11">
        <f t="shared" si="75"/>
        <v>0</v>
      </c>
      <c r="AP41" s="11">
        <f t="shared" si="75"/>
        <v>0</v>
      </c>
      <c r="AQ41" s="11">
        <f t="shared" si="75"/>
        <v>0</v>
      </c>
      <c r="AR41" s="11">
        <f t="shared" si="75"/>
        <v>0</v>
      </c>
      <c r="AS41" s="11">
        <f t="shared" si="75"/>
        <v>0</v>
      </c>
      <c r="AT41" s="11">
        <f t="shared" si="75"/>
        <v>0</v>
      </c>
      <c r="AU41" s="11">
        <f t="shared" si="75"/>
        <v>0</v>
      </c>
      <c r="AV41" s="11">
        <f t="shared" si="75"/>
        <v>0</v>
      </c>
      <c r="AW41" s="12">
        <f>MAXA(AW33:AW40)</f>
        <v>4</v>
      </c>
      <c r="AX41" s="24"/>
      <c r="AZ41" s="124"/>
      <c r="BA41" s="197">
        <v>147</v>
      </c>
      <c r="BB41" s="198" t="s">
        <v>299</v>
      </c>
      <c r="BC41" s="198" t="s">
        <v>295</v>
      </c>
      <c r="BD41" s="24"/>
      <c r="BE41" s="23"/>
      <c r="BF41" s="203"/>
      <c r="BG41" s="204"/>
    </row>
    <row r="42" spans="1:59" ht="16.5" thickBot="1">
      <c r="A42" s="105" t="s">
        <v>189</v>
      </c>
      <c r="B42" s="20">
        <f>'C'!B39</f>
        <v>0</v>
      </c>
      <c r="C42" s="20">
        <f>D!B39</f>
        <v>0</v>
      </c>
      <c r="D42" s="20">
        <f>E!B39</f>
        <v>0</v>
      </c>
      <c r="E42" s="20">
        <f>F!B39</f>
        <v>0</v>
      </c>
      <c r="F42" s="20">
        <f>G!B39</f>
        <v>0</v>
      </c>
      <c r="G42" s="20">
        <f>H!B39</f>
        <v>0</v>
      </c>
      <c r="H42" s="20">
        <f>I!B39</f>
        <v>0</v>
      </c>
      <c r="I42" s="20">
        <f>J!B39</f>
        <v>0</v>
      </c>
      <c r="J42" s="20">
        <f>K!B39</f>
        <v>0</v>
      </c>
      <c r="K42" s="20">
        <f>L!B39</f>
        <v>0</v>
      </c>
      <c r="L42" s="20">
        <f>M!B39</f>
        <v>0</v>
      </c>
      <c r="M42" s="20">
        <f>N!B39</f>
        <v>0</v>
      </c>
      <c r="N42" s="20">
        <f>O!B39</f>
        <v>0</v>
      </c>
      <c r="O42" s="20">
        <f>P!B39</f>
        <v>0</v>
      </c>
      <c r="P42" s="20">
        <f>Q!B39</f>
        <v>0</v>
      </c>
      <c r="Q42" s="20">
        <f>'R'!B39</f>
        <v>0</v>
      </c>
      <c r="R42" s="20">
        <f>S!B39</f>
        <v>0</v>
      </c>
      <c r="S42" s="20">
        <f>T!B39</f>
        <v>0</v>
      </c>
      <c r="T42" s="20">
        <f>U!B39</f>
        <v>0</v>
      </c>
      <c r="U42" s="20">
        <f>V!B39</f>
        <v>0</v>
      </c>
      <c r="V42" s="20">
        <f>W!B39</f>
        <v>0</v>
      </c>
      <c r="W42" s="20">
        <f>X!B39</f>
        <v>0</v>
      </c>
      <c r="X42" s="21">
        <f t="shared" si="45"/>
        <v>0</v>
      </c>
      <c r="Y42" s="120"/>
      <c r="Z42" s="122"/>
      <c r="AA42" s="17"/>
      <c r="AW42" s="23"/>
      <c r="AX42" s="24"/>
      <c r="AZ42" s="124"/>
      <c r="BA42" s="243">
        <v>147</v>
      </c>
      <c r="BB42" s="198" t="s">
        <v>326</v>
      </c>
      <c r="BC42" s="244" t="s">
        <v>323</v>
      </c>
      <c r="BD42" s="24"/>
      <c r="BE42" s="23"/>
      <c r="BF42" s="203"/>
      <c r="BG42" s="204"/>
    </row>
    <row r="43" spans="1:59" ht="16.5" thickTop="1" thickBot="1">
      <c r="A43" s="100" t="s">
        <v>53</v>
      </c>
      <c r="B43" s="68">
        <f t="shared" ref="B43:W43" si="76">SUM(B41:B42)</f>
        <v>202</v>
      </c>
      <c r="C43" s="68">
        <f t="shared" si="76"/>
        <v>179</v>
      </c>
      <c r="D43" s="68">
        <f t="shared" si="76"/>
        <v>189</v>
      </c>
      <c r="E43" s="68">
        <f t="shared" si="76"/>
        <v>197</v>
      </c>
      <c r="F43" s="68">
        <f t="shared" si="76"/>
        <v>0</v>
      </c>
      <c r="G43" s="68">
        <f t="shared" si="76"/>
        <v>0</v>
      </c>
      <c r="H43" s="68">
        <f t="shared" si="76"/>
        <v>0</v>
      </c>
      <c r="I43" s="68">
        <f t="shared" si="76"/>
        <v>0</v>
      </c>
      <c r="J43" s="68">
        <f t="shared" si="76"/>
        <v>0</v>
      </c>
      <c r="K43" s="68">
        <f t="shared" si="76"/>
        <v>0</v>
      </c>
      <c r="L43" s="68">
        <f t="shared" si="76"/>
        <v>0</v>
      </c>
      <c r="M43" s="68">
        <f t="shared" si="76"/>
        <v>0</v>
      </c>
      <c r="N43" s="68">
        <f t="shared" si="76"/>
        <v>0</v>
      </c>
      <c r="O43" s="68">
        <f t="shared" si="76"/>
        <v>0</v>
      </c>
      <c r="P43" s="68">
        <f t="shared" si="76"/>
        <v>0</v>
      </c>
      <c r="Q43" s="68">
        <f t="shared" si="76"/>
        <v>0</v>
      </c>
      <c r="R43" s="68">
        <f t="shared" si="76"/>
        <v>0</v>
      </c>
      <c r="S43" s="68">
        <f t="shared" si="76"/>
        <v>0</v>
      </c>
      <c r="T43" s="68">
        <f t="shared" si="76"/>
        <v>0</v>
      </c>
      <c r="U43" s="68">
        <f t="shared" si="76"/>
        <v>0</v>
      </c>
      <c r="V43" s="68">
        <f t="shared" si="76"/>
        <v>0</v>
      </c>
      <c r="W43" s="68">
        <f t="shared" si="76"/>
        <v>0</v>
      </c>
      <c r="X43" s="28">
        <f t="shared" si="45"/>
        <v>767</v>
      </c>
      <c r="Y43" s="136"/>
      <c r="Z43" s="122"/>
      <c r="AA43" s="17"/>
      <c r="AW43" s="23"/>
      <c r="AX43" s="24"/>
      <c r="AZ43" s="124"/>
      <c r="BA43" s="197">
        <v>146</v>
      </c>
      <c r="BB43" s="198" t="s">
        <v>298</v>
      </c>
      <c r="BC43" s="198" t="s">
        <v>295</v>
      </c>
      <c r="BD43" s="24">
        <f>X43</f>
        <v>767</v>
      </c>
      <c r="BE43" s="23" t="str">
        <f>A32</f>
        <v>RACK PACK</v>
      </c>
      <c r="BF43" s="203"/>
      <c r="BG43" s="204"/>
    </row>
    <row r="44" spans="1:59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22"/>
      <c r="AA44" s="17"/>
      <c r="AW44" s="23"/>
      <c r="AX44" s="24"/>
      <c r="AZ44" s="124"/>
      <c r="BA44" s="243">
        <v>143</v>
      </c>
      <c r="BB44" s="198" t="s">
        <v>334</v>
      </c>
      <c r="BC44" s="244" t="s">
        <v>281</v>
      </c>
      <c r="BD44" s="24"/>
      <c r="BE44" s="23"/>
      <c r="BF44" s="203"/>
      <c r="BG44" s="204"/>
    </row>
    <row r="45" spans="1:59" ht="15.75" thickBot="1">
      <c r="A45" s="7" t="s">
        <v>56</v>
      </c>
      <c r="B45" s="8" t="s">
        <v>27</v>
      </c>
      <c r="C45" s="8" t="s">
        <v>28</v>
      </c>
      <c r="D45" s="8" t="s">
        <v>29</v>
      </c>
      <c r="E45" s="8" t="s">
        <v>30</v>
      </c>
      <c r="F45" s="8" t="s">
        <v>31</v>
      </c>
      <c r="G45" s="8" t="s">
        <v>32</v>
      </c>
      <c r="H45" s="8" t="s">
        <v>33</v>
      </c>
      <c r="I45" s="8" t="s">
        <v>34</v>
      </c>
      <c r="J45" s="8" t="s">
        <v>35</v>
      </c>
      <c r="K45" s="8" t="s">
        <v>36</v>
      </c>
      <c r="L45" s="8" t="s">
        <v>37</v>
      </c>
      <c r="M45" s="8" t="s">
        <v>38</v>
      </c>
      <c r="N45" s="8" t="s">
        <v>39</v>
      </c>
      <c r="O45" s="8" t="s">
        <v>40</v>
      </c>
      <c r="P45" s="8" t="s">
        <v>41</v>
      </c>
      <c r="Q45" s="8" t="s">
        <v>42</v>
      </c>
      <c r="R45" s="8" t="s">
        <v>43</v>
      </c>
      <c r="S45" s="8" t="s">
        <v>44</v>
      </c>
      <c r="T45" s="8" t="s">
        <v>45</v>
      </c>
      <c r="U45" s="8" t="s">
        <v>46</v>
      </c>
      <c r="V45" s="8" t="s">
        <v>47</v>
      </c>
      <c r="W45" s="8" t="s">
        <v>48</v>
      </c>
      <c r="X45" s="1"/>
      <c r="Y45" s="1"/>
      <c r="Z45" s="3" t="str">
        <f>A45</f>
        <v>Team #4 Name:</v>
      </c>
      <c r="AA45" s="17"/>
      <c r="AW45" s="23"/>
      <c r="AX45" s="24"/>
      <c r="AZ45" s="124"/>
      <c r="BA45" s="243">
        <v>141</v>
      </c>
      <c r="BB45" s="198" t="s">
        <v>321</v>
      </c>
      <c r="BC45" s="244" t="s">
        <v>319</v>
      </c>
      <c r="BD45" s="24"/>
      <c r="BE45" s="23"/>
      <c r="BF45" s="203"/>
      <c r="BG45" s="204"/>
    </row>
    <row r="46" spans="1:59">
      <c r="A46" s="13" t="str">
        <f>B!B145</f>
        <v>HOT WHEELS</v>
      </c>
      <c r="B46" s="29" t="s">
        <v>50</v>
      </c>
      <c r="C46" s="29" t="s">
        <v>50</v>
      </c>
      <c r="D46" s="29" t="s">
        <v>50</v>
      </c>
      <c r="E46" s="29" t="s">
        <v>50</v>
      </c>
      <c r="F46" s="29" t="s">
        <v>50</v>
      </c>
      <c r="G46" s="29" t="s">
        <v>50</v>
      </c>
      <c r="H46" s="29" t="s">
        <v>50</v>
      </c>
      <c r="I46" s="29" t="s">
        <v>50</v>
      </c>
      <c r="J46" s="29" t="s">
        <v>50</v>
      </c>
      <c r="K46" s="29" t="s">
        <v>50</v>
      </c>
      <c r="L46" s="29" t="s">
        <v>50</v>
      </c>
      <c r="M46" s="29" t="s">
        <v>50</v>
      </c>
      <c r="N46" s="29" t="s">
        <v>50</v>
      </c>
      <c r="O46" s="29" t="s">
        <v>50</v>
      </c>
      <c r="P46" s="29" t="s">
        <v>50</v>
      </c>
      <c r="Q46" s="29" t="s">
        <v>50</v>
      </c>
      <c r="R46" s="29" t="s">
        <v>50</v>
      </c>
      <c r="S46" s="29" t="s">
        <v>50</v>
      </c>
      <c r="T46" s="29" t="s">
        <v>50</v>
      </c>
      <c r="U46" s="29" t="s">
        <v>50</v>
      </c>
      <c r="V46" s="29" t="s">
        <v>50</v>
      </c>
      <c r="W46" s="29" t="s">
        <v>50</v>
      </c>
      <c r="X46" s="15" t="s">
        <v>51</v>
      </c>
      <c r="Y46" s="16" t="s">
        <v>52</v>
      </c>
      <c r="Z46" s="123" t="str">
        <f>A46</f>
        <v>HOT WHEELS</v>
      </c>
      <c r="AA46" s="17"/>
      <c r="AW46" s="4" t="s">
        <v>97</v>
      </c>
      <c r="AX46" s="24"/>
      <c r="AZ46" s="124"/>
      <c r="BA46" s="243">
        <v>141</v>
      </c>
      <c r="BB46" s="198" t="s">
        <v>317</v>
      </c>
      <c r="BC46" s="244" t="s">
        <v>323</v>
      </c>
      <c r="BD46" s="24"/>
      <c r="BE46" s="23"/>
      <c r="BF46" s="203"/>
      <c r="BG46" s="204"/>
    </row>
    <row r="47" spans="1:59">
      <c r="A47" s="19" t="str">
        <f>B!B147</f>
        <v>PATRICK</v>
      </c>
      <c r="B47" s="20">
        <f>'C'!B44</f>
        <v>42</v>
      </c>
      <c r="C47" s="20">
        <f>D!B44</f>
        <v>33</v>
      </c>
      <c r="D47" s="20">
        <f>E!B44</f>
        <v>42</v>
      </c>
      <c r="E47" s="20">
        <f>F!B44</f>
        <v>47</v>
      </c>
      <c r="F47" s="20">
        <f>G!B44</f>
        <v>0</v>
      </c>
      <c r="G47" s="20">
        <f>H!B44</f>
        <v>0</v>
      </c>
      <c r="H47" s="20">
        <f>I!B44</f>
        <v>0</v>
      </c>
      <c r="I47" s="20">
        <f>J!B44</f>
        <v>0</v>
      </c>
      <c r="J47" s="20">
        <f>K!B44</f>
        <v>0</v>
      </c>
      <c r="K47" s="20">
        <f>L!B44</f>
        <v>0</v>
      </c>
      <c r="L47" s="20">
        <f>M!B44</f>
        <v>0</v>
      </c>
      <c r="M47" s="20">
        <f>N!B44</f>
        <v>0</v>
      </c>
      <c r="N47" s="20">
        <f>O!B44</f>
        <v>0</v>
      </c>
      <c r="O47" s="20">
        <f>P!B44</f>
        <v>0</v>
      </c>
      <c r="P47" s="20">
        <f>Q!B44</f>
        <v>0</v>
      </c>
      <c r="Q47" s="20">
        <f>'R'!B44</f>
        <v>0</v>
      </c>
      <c r="R47" s="20">
        <f>S!B44</f>
        <v>0</v>
      </c>
      <c r="S47" s="20">
        <f>T!B44</f>
        <v>0</v>
      </c>
      <c r="T47" s="20">
        <f>U!B44</f>
        <v>0</v>
      </c>
      <c r="U47" s="20">
        <f>V!B44</f>
        <v>0</v>
      </c>
      <c r="V47" s="20">
        <f>W!B44</f>
        <v>0</v>
      </c>
      <c r="W47" s="20">
        <f>X!B44</f>
        <v>0</v>
      </c>
      <c r="X47" s="21">
        <f t="shared" ref="X47:X57" si="77">SUM(B47:W47)</f>
        <v>164</v>
      </c>
      <c r="Y47" s="22">
        <f>IF(AW47=0,0,X47/AW47)</f>
        <v>41</v>
      </c>
      <c r="Z47" s="122" t="str">
        <f t="shared" si="46"/>
        <v>PATRICK</v>
      </c>
      <c r="AA47" s="17">
        <f t="shared" ref="AA47:AA54" si="78">IF(B47=0,0,1)</f>
        <v>1</v>
      </c>
      <c r="AB47">
        <f t="shared" ref="AB47:AB54" si="79">IF(C47=0,0,1)</f>
        <v>1</v>
      </c>
      <c r="AC47">
        <f t="shared" ref="AC47:AC54" si="80">IF(D47=0,0,1)</f>
        <v>1</v>
      </c>
      <c r="AD47">
        <f t="shared" ref="AD47:AD54" si="81">IF(E47=0,0,1)</f>
        <v>1</v>
      </c>
      <c r="AE47">
        <f t="shared" ref="AE47:AE54" si="82">IF(F47=0,0,1)</f>
        <v>0</v>
      </c>
      <c r="AF47">
        <f t="shared" ref="AF47:AF54" si="83">IF(G47=0,0,1)</f>
        <v>0</v>
      </c>
      <c r="AG47">
        <f t="shared" ref="AG47:AG54" si="84">IF(H47=0,0,1)</f>
        <v>0</v>
      </c>
      <c r="AH47">
        <f t="shared" ref="AH47:AH54" si="85">IF(I47=0,0,1)</f>
        <v>0</v>
      </c>
      <c r="AI47">
        <f t="shared" ref="AI47:AI54" si="86">IF(J47=0,0,1)</f>
        <v>0</v>
      </c>
      <c r="AJ47">
        <f t="shared" ref="AJ47:AJ54" si="87">IF(K47=0,0,1)</f>
        <v>0</v>
      </c>
      <c r="AK47">
        <f t="shared" ref="AK47:AK54" si="88">IF(L47=0,0,1)</f>
        <v>0</v>
      </c>
      <c r="AL47">
        <f t="shared" ref="AL47:AL54" si="89">IF(M47=0,0,1)</f>
        <v>0</v>
      </c>
      <c r="AM47">
        <f t="shared" ref="AM47:AM54" si="90">IF(N47=0,0,1)</f>
        <v>0</v>
      </c>
      <c r="AN47">
        <f t="shared" ref="AN47:AN54" si="91">IF(O47=0,0,1)</f>
        <v>0</v>
      </c>
      <c r="AO47">
        <f t="shared" ref="AO47:AO54" si="92">IF(P47=0,0,1)</f>
        <v>0</v>
      </c>
      <c r="AP47">
        <f t="shared" ref="AP47:AP54" si="93">IF(Q47=0,0,1)</f>
        <v>0</v>
      </c>
      <c r="AQ47">
        <f t="shared" ref="AQ47:AQ54" si="94">IF(R47=0,0,1)</f>
        <v>0</v>
      </c>
      <c r="AR47">
        <f t="shared" ref="AR47:AR54" si="95">IF(S47=0,0,1)</f>
        <v>0</v>
      </c>
      <c r="AS47">
        <f t="shared" ref="AS47:AS54" si="96">IF(T47=0,0,1)</f>
        <v>0</v>
      </c>
      <c r="AT47">
        <f t="shared" ref="AT47:AT54" si="97">IF(U47=0,0,1)</f>
        <v>0</v>
      </c>
      <c r="AU47">
        <f t="shared" ref="AU47:AU54" si="98">IF(V47=0,0,1)</f>
        <v>0</v>
      </c>
      <c r="AV47">
        <f t="shared" ref="AV47:AV54" si="99">IF(W47=0,0,1)</f>
        <v>0</v>
      </c>
      <c r="AW47" s="23">
        <f t="shared" ref="AW47:AW54" si="100">SUM(AA47:AV47)</f>
        <v>4</v>
      </c>
      <c r="AX47" s="24">
        <f>IF(X47=0,0,X47)</f>
        <v>164</v>
      </c>
      <c r="AY47" s="121" t="str">
        <f>IF(X47=0,0,A47)</f>
        <v>PATRICK</v>
      </c>
      <c r="AZ47" s="124" t="str">
        <f>IF(AX47=0,0,A$46)</f>
        <v>HOT WHEELS</v>
      </c>
      <c r="BA47" s="243">
        <v>141</v>
      </c>
      <c r="BB47" s="198" t="s">
        <v>297</v>
      </c>
      <c r="BC47" s="244" t="s">
        <v>281</v>
      </c>
      <c r="BD47" s="24"/>
      <c r="BE47" s="23"/>
      <c r="BF47" s="203"/>
      <c r="BG47" s="204"/>
    </row>
    <row r="48" spans="1:59">
      <c r="A48" s="19" t="str">
        <f>B!B152</f>
        <v>BRANDY</v>
      </c>
      <c r="B48" s="20">
        <f>'C'!B45</f>
        <v>31</v>
      </c>
      <c r="C48" s="20">
        <f>D!B45</f>
        <v>42</v>
      </c>
      <c r="D48" s="20">
        <f>E!B45</f>
        <v>27</v>
      </c>
      <c r="E48" s="20">
        <f>F!B45</f>
        <v>37</v>
      </c>
      <c r="F48" s="20">
        <f>G!B45</f>
        <v>0</v>
      </c>
      <c r="G48" s="20">
        <f>H!B45</f>
        <v>0</v>
      </c>
      <c r="H48" s="20">
        <f>I!B45</f>
        <v>0</v>
      </c>
      <c r="I48" s="20">
        <f>J!B45</f>
        <v>0</v>
      </c>
      <c r="J48" s="20">
        <f>K!B45</f>
        <v>0</v>
      </c>
      <c r="K48" s="20">
        <f>L!B45</f>
        <v>0</v>
      </c>
      <c r="L48" s="20">
        <f>M!B45</f>
        <v>0</v>
      </c>
      <c r="M48" s="20">
        <f>N!B45</f>
        <v>0</v>
      </c>
      <c r="N48" s="20">
        <f>O!B45</f>
        <v>0</v>
      </c>
      <c r="O48" s="20">
        <f>P!B45</f>
        <v>0</v>
      </c>
      <c r="P48" s="20">
        <f>Q!B45</f>
        <v>0</v>
      </c>
      <c r="Q48" s="20">
        <f>'R'!B45</f>
        <v>0</v>
      </c>
      <c r="R48" s="20">
        <f>S!B45</f>
        <v>0</v>
      </c>
      <c r="S48" s="20">
        <f>T!B45</f>
        <v>0</v>
      </c>
      <c r="T48" s="20">
        <f>U!B45</f>
        <v>0</v>
      </c>
      <c r="U48" s="20">
        <f>V!B45</f>
        <v>0</v>
      </c>
      <c r="V48" s="20">
        <f>W!B45</f>
        <v>0</v>
      </c>
      <c r="W48" s="20">
        <f>X!B45</f>
        <v>0</v>
      </c>
      <c r="X48" s="21">
        <f t="shared" si="77"/>
        <v>137</v>
      </c>
      <c r="Y48" s="22">
        <f t="shared" ref="Y48:Y54" si="101">IF(AW48=0,0,X48/AW48)</f>
        <v>34.25</v>
      </c>
      <c r="Z48" s="122" t="str">
        <f t="shared" si="46"/>
        <v>BRANDY</v>
      </c>
      <c r="AA48" s="17">
        <f t="shared" si="78"/>
        <v>1</v>
      </c>
      <c r="AB48">
        <f t="shared" si="79"/>
        <v>1</v>
      </c>
      <c r="AC48">
        <f t="shared" si="80"/>
        <v>1</v>
      </c>
      <c r="AD48">
        <f t="shared" si="81"/>
        <v>1</v>
      </c>
      <c r="AE48">
        <f t="shared" si="82"/>
        <v>0</v>
      </c>
      <c r="AF48">
        <f t="shared" si="83"/>
        <v>0</v>
      </c>
      <c r="AG48">
        <f t="shared" si="84"/>
        <v>0</v>
      </c>
      <c r="AH48">
        <f t="shared" si="85"/>
        <v>0</v>
      </c>
      <c r="AI48">
        <f t="shared" si="86"/>
        <v>0</v>
      </c>
      <c r="AJ48">
        <f t="shared" si="87"/>
        <v>0</v>
      </c>
      <c r="AK48">
        <f t="shared" si="88"/>
        <v>0</v>
      </c>
      <c r="AL48">
        <f t="shared" si="89"/>
        <v>0</v>
      </c>
      <c r="AM48">
        <f t="shared" si="90"/>
        <v>0</v>
      </c>
      <c r="AN48">
        <f t="shared" si="91"/>
        <v>0</v>
      </c>
      <c r="AO48">
        <f t="shared" si="92"/>
        <v>0</v>
      </c>
      <c r="AP48">
        <f t="shared" si="93"/>
        <v>0</v>
      </c>
      <c r="AQ48">
        <f t="shared" si="94"/>
        <v>0</v>
      </c>
      <c r="AR48">
        <f t="shared" si="95"/>
        <v>0</v>
      </c>
      <c r="AS48">
        <f t="shared" si="96"/>
        <v>0</v>
      </c>
      <c r="AT48">
        <f t="shared" si="97"/>
        <v>0</v>
      </c>
      <c r="AU48">
        <f t="shared" si="98"/>
        <v>0</v>
      </c>
      <c r="AV48">
        <f t="shared" si="99"/>
        <v>0</v>
      </c>
      <c r="AW48" s="23">
        <f t="shared" si="100"/>
        <v>4</v>
      </c>
      <c r="AX48" s="24">
        <f t="shared" ref="AX48:AX54" si="102">IF(X48=0,0,X48)</f>
        <v>137</v>
      </c>
      <c r="AY48" s="121" t="str">
        <f t="shared" ref="AY48:AY54" si="103">IF(X48=0,0,A48)</f>
        <v>BRANDY</v>
      </c>
      <c r="AZ48" s="124" t="str">
        <f t="shared" ref="AZ48:AZ54" si="104">IF(AX48=0,0,A$46)</f>
        <v>HOT WHEELS</v>
      </c>
      <c r="BA48" s="197">
        <v>140</v>
      </c>
      <c r="BB48" s="198" t="s">
        <v>292</v>
      </c>
      <c r="BC48" s="198" t="s">
        <v>289</v>
      </c>
      <c r="BD48" s="24"/>
      <c r="BE48" s="23"/>
      <c r="BF48" s="203"/>
      <c r="BG48" s="204"/>
    </row>
    <row r="49" spans="1:59">
      <c r="A49" s="19" t="str">
        <f>B!B157</f>
        <v>PJ</v>
      </c>
      <c r="B49" s="20">
        <f>'C'!B46</f>
        <v>40</v>
      </c>
      <c r="C49" s="20">
        <f>D!B46</f>
        <v>38</v>
      </c>
      <c r="D49" s="20">
        <f>E!B46</f>
        <v>38</v>
      </c>
      <c r="E49" s="20">
        <f>F!B46</f>
        <v>38</v>
      </c>
      <c r="F49" s="20">
        <f>G!B46</f>
        <v>0</v>
      </c>
      <c r="G49" s="20">
        <f>H!B46</f>
        <v>0</v>
      </c>
      <c r="H49" s="20">
        <f>I!B46</f>
        <v>0</v>
      </c>
      <c r="I49" s="20">
        <f>J!B46</f>
        <v>0</v>
      </c>
      <c r="J49" s="20">
        <f>K!B46</f>
        <v>0</v>
      </c>
      <c r="K49" s="20">
        <f>L!B46</f>
        <v>0</v>
      </c>
      <c r="L49" s="20">
        <f>M!B46</f>
        <v>0</v>
      </c>
      <c r="M49" s="20">
        <f>N!B46</f>
        <v>0</v>
      </c>
      <c r="N49" s="20">
        <f>O!B46</f>
        <v>0</v>
      </c>
      <c r="O49" s="20">
        <f>P!B46</f>
        <v>0</v>
      </c>
      <c r="P49" s="20">
        <f>Q!B46</f>
        <v>0</v>
      </c>
      <c r="Q49" s="20">
        <f>'R'!B46</f>
        <v>0</v>
      </c>
      <c r="R49" s="20">
        <f>S!B46</f>
        <v>0</v>
      </c>
      <c r="S49" s="20">
        <f>T!B46</f>
        <v>0</v>
      </c>
      <c r="T49" s="20">
        <f>U!B46</f>
        <v>0</v>
      </c>
      <c r="U49" s="20">
        <f>V!B46</f>
        <v>0</v>
      </c>
      <c r="V49" s="20">
        <f>W!B46</f>
        <v>0</v>
      </c>
      <c r="W49" s="20">
        <f>X!B46</f>
        <v>0</v>
      </c>
      <c r="X49" s="21">
        <f t="shared" si="77"/>
        <v>154</v>
      </c>
      <c r="Y49" s="22">
        <f t="shared" si="101"/>
        <v>38.5</v>
      </c>
      <c r="Z49" s="122" t="str">
        <f t="shared" si="46"/>
        <v>PJ</v>
      </c>
      <c r="AA49" s="17">
        <f t="shared" si="78"/>
        <v>1</v>
      </c>
      <c r="AB49">
        <f t="shared" si="79"/>
        <v>1</v>
      </c>
      <c r="AC49">
        <f t="shared" si="80"/>
        <v>1</v>
      </c>
      <c r="AD49">
        <f t="shared" si="81"/>
        <v>1</v>
      </c>
      <c r="AE49">
        <f t="shared" si="82"/>
        <v>0</v>
      </c>
      <c r="AF49">
        <f t="shared" si="83"/>
        <v>0</v>
      </c>
      <c r="AG49">
        <f t="shared" si="84"/>
        <v>0</v>
      </c>
      <c r="AH49">
        <f t="shared" si="85"/>
        <v>0</v>
      </c>
      <c r="AI49">
        <f t="shared" si="86"/>
        <v>0</v>
      </c>
      <c r="AJ49">
        <f t="shared" si="87"/>
        <v>0</v>
      </c>
      <c r="AK49">
        <f t="shared" si="88"/>
        <v>0</v>
      </c>
      <c r="AL49">
        <f t="shared" si="89"/>
        <v>0</v>
      </c>
      <c r="AM49">
        <f t="shared" si="90"/>
        <v>0</v>
      </c>
      <c r="AN49">
        <f t="shared" si="91"/>
        <v>0</v>
      </c>
      <c r="AO49">
        <f t="shared" si="92"/>
        <v>0</v>
      </c>
      <c r="AP49">
        <f t="shared" si="93"/>
        <v>0</v>
      </c>
      <c r="AQ49">
        <f t="shared" si="94"/>
        <v>0</v>
      </c>
      <c r="AR49">
        <f t="shared" si="95"/>
        <v>0</v>
      </c>
      <c r="AS49">
        <f t="shared" si="96"/>
        <v>0</v>
      </c>
      <c r="AT49">
        <f t="shared" si="97"/>
        <v>0</v>
      </c>
      <c r="AU49">
        <f t="shared" si="98"/>
        <v>0</v>
      </c>
      <c r="AV49">
        <f t="shared" si="99"/>
        <v>0</v>
      </c>
      <c r="AW49" s="23">
        <f t="shared" si="100"/>
        <v>4</v>
      </c>
      <c r="AX49" s="24">
        <f t="shared" si="102"/>
        <v>154</v>
      </c>
      <c r="AY49" s="121" t="str">
        <f t="shared" si="103"/>
        <v>PJ</v>
      </c>
      <c r="AZ49" s="124" t="str">
        <f t="shared" si="104"/>
        <v>HOT WHEELS</v>
      </c>
      <c r="BA49" s="197">
        <v>137</v>
      </c>
      <c r="BB49" s="198" t="s">
        <v>340</v>
      </c>
      <c r="BC49" s="198" t="s">
        <v>300</v>
      </c>
      <c r="BD49" s="24"/>
      <c r="BE49" s="23"/>
      <c r="BF49" s="203"/>
      <c r="BG49" s="204"/>
    </row>
    <row r="50" spans="1:59">
      <c r="A50" s="19" t="str">
        <f>B!B162</f>
        <v>CARA</v>
      </c>
      <c r="B50" s="20">
        <f>'C'!B47</f>
        <v>42</v>
      </c>
      <c r="C50" s="20">
        <f>D!B47</f>
        <v>33</v>
      </c>
      <c r="D50" s="20">
        <f>E!B47</f>
        <v>29</v>
      </c>
      <c r="E50" s="20">
        <f>F!B47</f>
        <v>46</v>
      </c>
      <c r="F50" s="20">
        <f>G!B47</f>
        <v>0</v>
      </c>
      <c r="G50" s="20">
        <f>H!B47</f>
        <v>0</v>
      </c>
      <c r="H50" s="20">
        <f>I!B47</f>
        <v>0</v>
      </c>
      <c r="I50" s="20">
        <f>J!B47</f>
        <v>0</v>
      </c>
      <c r="J50" s="20">
        <f>K!B47</f>
        <v>0</v>
      </c>
      <c r="K50" s="20">
        <f>L!B47</f>
        <v>0</v>
      </c>
      <c r="L50" s="20">
        <f>M!B47</f>
        <v>0</v>
      </c>
      <c r="M50" s="20">
        <f>N!B47</f>
        <v>0</v>
      </c>
      <c r="N50" s="20">
        <f>O!B47</f>
        <v>0</v>
      </c>
      <c r="O50" s="20">
        <f>P!B47</f>
        <v>0</v>
      </c>
      <c r="P50" s="20">
        <f>Q!B47</f>
        <v>0</v>
      </c>
      <c r="Q50" s="20">
        <f>'R'!B47</f>
        <v>0</v>
      </c>
      <c r="R50" s="20">
        <f>S!B47</f>
        <v>0</v>
      </c>
      <c r="S50" s="20">
        <f>T!B47</f>
        <v>0</v>
      </c>
      <c r="T50" s="20">
        <f>U!B47</f>
        <v>0</v>
      </c>
      <c r="U50" s="20">
        <f>V!B47</f>
        <v>0</v>
      </c>
      <c r="V50" s="20">
        <f>W!B47</f>
        <v>0</v>
      </c>
      <c r="W50" s="20">
        <f>X!B47</f>
        <v>0</v>
      </c>
      <c r="X50" s="21">
        <f t="shared" si="77"/>
        <v>150</v>
      </c>
      <c r="Y50" s="22">
        <f t="shared" si="101"/>
        <v>37.5</v>
      </c>
      <c r="Z50" s="122" t="str">
        <f t="shared" si="46"/>
        <v>CARA</v>
      </c>
      <c r="AA50" s="17">
        <f t="shared" si="78"/>
        <v>1</v>
      </c>
      <c r="AB50">
        <f t="shared" si="79"/>
        <v>1</v>
      </c>
      <c r="AC50">
        <f t="shared" si="80"/>
        <v>1</v>
      </c>
      <c r="AD50">
        <f t="shared" si="81"/>
        <v>1</v>
      </c>
      <c r="AE50">
        <f t="shared" si="82"/>
        <v>0</v>
      </c>
      <c r="AF50">
        <f t="shared" si="83"/>
        <v>0</v>
      </c>
      <c r="AG50">
        <f t="shared" si="84"/>
        <v>0</v>
      </c>
      <c r="AH50">
        <f t="shared" si="85"/>
        <v>0</v>
      </c>
      <c r="AI50">
        <f t="shared" si="86"/>
        <v>0</v>
      </c>
      <c r="AJ50">
        <f t="shared" si="87"/>
        <v>0</v>
      </c>
      <c r="AK50">
        <f t="shared" si="88"/>
        <v>0</v>
      </c>
      <c r="AL50">
        <f t="shared" si="89"/>
        <v>0</v>
      </c>
      <c r="AM50">
        <f t="shared" si="90"/>
        <v>0</v>
      </c>
      <c r="AN50">
        <f t="shared" si="91"/>
        <v>0</v>
      </c>
      <c r="AO50">
        <f t="shared" si="92"/>
        <v>0</v>
      </c>
      <c r="AP50">
        <f t="shared" si="93"/>
        <v>0</v>
      </c>
      <c r="AQ50">
        <f t="shared" si="94"/>
        <v>0</v>
      </c>
      <c r="AR50">
        <f t="shared" si="95"/>
        <v>0</v>
      </c>
      <c r="AS50">
        <f t="shared" si="96"/>
        <v>0</v>
      </c>
      <c r="AT50">
        <f t="shared" si="97"/>
        <v>0</v>
      </c>
      <c r="AU50">
        <f t="shared" si="98"/>
        <v>0</v>
      </c>
      <c r="AV50">
        <f t="shared" si="99"/>
        <v>0</v>
      </c>
      <c r="AW50" s="23">
        <f t="shared" si="100"/>
        <v>4</v>
      </c>
      <c r="AX50" s="24">
        <f t="shared" si="102"/>
        <v>150</v>
      </c>
      <c r="AY50" s="121" t="str">
        <f t="shared" si="103"/>
        <v>CARA</v>
      </c>
      <c r="AZ50" s="124" t="str">
        <f t="shared" si="104"/>
        <v>HOT WHEELS</v>
      </c>
      <c r="BA50" s="197">
        <v>136</v>
      </c>
      <c r="BB50" s="198" t="s">
        <v>291</v>
      </c>
      <c r="BC50" s="198" t="s">
        <v>289</v>
      </c>
      <c r="BD50" s="24"/>
      <c r="BE50" s="23"/>
      <c r="BF50" s="203"/>
      <c r="BG50" s="204"/>
    </row>
    <row r="51" spans="1:59">
      <c r="A51" s="19">
        <f>B!B167</f>
        <v>0</v>
      </c>
      <c r="B51" s="20">
        <f>'C'!B48</f>
        <v>38</v>
      </c>
      <c r="C51" s="20">
        <f>D!B48</f>
        <v>33</v>
      </c>
      <c r="D51" s="20">
        <f>E!B48</f>
        <v>36</v>
      </c>
      <c r="E51" s="20">
        <f>F!B48</f>
        <v>50</v>
      </c>
      <c r="F51" s="20">
        <f>G!B48</f>
        <v>0</v>
      </c>
      <c r="G51" s="20">
        <f>H!B48</f>
        <v>0</v>
      </c>
      <c r="H51" s="20">
        <f>I!B48</f>
        <v>0</v>
      </c>
      <c r="I51" s="20">
        <f>J!B48</f>
        <v>0</v>
      </c>
      <c r="J51" s="20">
        <f>K!B48</f>
        <v>0</v>
      </c>
      <c r="K51" s="20">
        <f>L!B48</f>
        <v>0</v>
      </c>
      <c r="L51" s="20">
        <f>M!B48</f>
        <v>0</v>
      </c>
      <c r="M51" s="20">
        <f>N!B48</f>
        <v>0</v>
      </c>
      <c r="N51" s="20">
        <f>O!B48</f>
        <v>0</v>
      </c>
      <c r="O51" s="20">
        <f>P!B48</f>
        <v>0</v>
      </c>
      <c r="P51" s="20">
        <f>Q!B48</f>
        <v>0</v>
      </c>
      <c r="Q51" s="20">
        <f>'R'!B48</f>
        <v>0</v>
      </c>
      <c r="R51" s="20">
        <f>S!B48</f>
        <v>0</v>
      </c>
      <c r="S51" s="20">
        <f>T!B48</f>
        <v>0</v>
      </c>
      <c r="T51" s="20">
        <f>U!B48</f>
        <v>0</v>
      </c>
      <c r="U51" s="20">
        <f>V!B48</f>
        <v>0</v>
      </c>
      <c r="V51" s="20">
        <f>W!B48</f>
        <v>0</v>
      </c>
      <c r="W51" s="20">
        <f>X!B48</f>
        <v>0</v>
      </c>
      <c r="X51" s="21">
        <f t="shared" si="77"/>
        <v>157</v>
      </c>
      <c r="Y51" s="22">
        <f t="shared" si="101"/>
        <v>39.25</v>
      </c>
      <c r="Z51" s="122">
        <f t="shared" si="46"/>
        <v>0</v>
      </c>
      <c r="AA51" s="17">
        <f t="shared" si="78"/>
        <v>1</v>
      </c>
      <c r="AB51">
        <f t="shared" si="79"/>
        <v>1</v>
      </c>
      <c r="AC51">
        <f t="shared" si="80"/>
        <v>1</v>
      </c>
      <c r="AD51">
        <f t="shared" si="81"/>
        <v>1</v>
      </c>
      <c r="AE51">
        <f t="shared" si="82"/>
        <v>0</v>
      </c>
      <c r="AF51">
        <f t="shared" si="83"/>
        <v>0</v>
      </c>
      <c r="AG51">
        <f t="shared" si="84"/>
        <v>0</v>
      </c>
      <c r="AH51">
        <f t="shared" si="85"/>
        <v>0</v>
      </c>
      <c r="AI51">
        <f t="shared" si="86"/>
        <v>0</v>
      </c>
      <c r="AJ51">
        <f t="shared" si="87"/>
        <v>0</v>
      </c>
      <c r="AK51">
        <f t="shared" si="88"/>
        <v>0</v>
      </c>
      <c r="AL51">
        <f t="shared" si="89"/>
        <v>0</v>
      </c>
      <c r="AM51">
        <f t="shared" si="90"/>
        <v>0</v>
      </c>
      <c r="AN51">
        <f t="shared" si="91"/>
        <v>0</v>
      </c>
      <c r="AO51">
        <f t="shared" si="92"/>
        <v>0</v>
      </c>
      <c r="AP51">
        <f t="shared" si="93"/>
        <v>0</v>
      </c>
      <c r="AQ51">
        <f t="shared" si="94"/>
        <v>0</v>
      </c>
      <c r="AR51">
        <f t="shared" si="95"/>
        <v>0</v>
      </c>
      <c r="AS51">
        <f t="shared" si="96"/>
        <v>0</v>
      </c>
      <c r="AT51">
        <f t="shared" si="97"/>
        <v>0</v>
      </c>
      <c r="AU51">
        <f t="shared" si="98"/>
        <v>0</v>
      </c>
      <c r="AV51">
        <f t="shared" si="99"/>
        <v>0</v>
      </c>
      <c r="AW51" s="23">
        <f t="shared" si="100"/>
        <v>4</v>
      </c>
      <c r="AX51" s="24">
        <f t="shared" si="102"/>
        <v>157</v>
      </c>
      <c r="AY51" s="121">
        <f t="shared" si="103"/>
        <v>0</v>
      </c>
      <c r="AZ51" s="124" t="str">
        <f t="shared" si="104"/>
        <v>HOT WHEELS</v>
      </c>
      <c r="BA51" s="197">
        <v>133</v>
      </c>
      <c r="BB51" s="198" t="s">
        <v>288</v>
      </c>
      <c r="BC51" s="198" t="s">
        <v>282</v>
      </c>
      <c r="BD51" s="24"/>
      <c r="BE51" s="23"/>
      <c r="BF51" s="203"/>
      <c r="BG51" s="204"/>
    </row>
    <row r="52" spans="1:59">
      <c r="A52" s="19">
        <f>B!B172</f>
        <v>0</v>
      </c>
      <c r="B52" s="20">
        <f>'C'!B49</f>
        <v>0</v>
      </c>
      <c r="C52" s="20">
        <f>D!B49</f>
        <v>0</v>
      </c>
      <c r="D52" s="20">
        <f>E!B49</f>
        <v>0</v>
      </c>
      <c r="E52" s="20">
        <f>F!B49</f>
        <v>0</v>
      </c>
      <c r="F52" s="20">
        <f>G!B49</f>
        <v>0</v>
      </c>
      <c r="G52" s="20">
        <f>H!B49</f>
        <v>0</v>
      </c>
      <c r="H52" s="20">
        <f>I!B49</f>
        <v>0</v>
      </c>
      <c r="I52" s="20">
        <f>J!B49</f>
        <v>0</v>
      </c>
      <c r="J52" s="20">
        <f>K!B49</f>
        <v>0</v>
      </c>
      <c r="K52" s="20">
        <f>L!B49</f>
        <v>0</v>
      </c>
      <c r="L52" s="20">
        <f>M!B49</f>
        <v>0</v>
      </c>
      <c r="M52" s="20">
        <f>N!B49</f>
        <v>0</v>
      </c>
      <c r="N52" s="20">
        <f>O!B49</f>
        <v>0</v>
      </c>
      <c r="O52" s="20">
        <f>P!B49</f>
        <v>0</v>
      </c>
      <c r="P52" s="20">
        <f>Q!B49</f>
        <v>0</v>
      </c>
      <c r="Q52" s="20">
        <f>'R'!B49</f>
        <v>0</v>
      </c>
      <c r="R52" s="20">
        <f>S!B49</f>
        <v>0</v>
      </c>
      <c r="S52" s="20">
        <f>T!B49</f>
        <v>0</v>
      </c>
      <c r="T52" s="20">
        <f>U!B49</f>
        <v>0</v>
      </c>
      <c r="U52" s="20">
        <f>V!B49</f>
        <v>0</v>
      </c>
      <c r="V52" s="20">
        <f>W!B49</f>
        <v>0</v>
      </c>
      <c r="W52" s="20">
        <f>X!B49</f>
        <v>0</v>
      </c>
      <c r="X52" s="21">
        <f t="shared" si="77"/>
        <v>0</v>
      </c>
      <c r="Y52" s="22">
        <f t="shared" si="101"/>
        <v>0</v>
      </c>
      <c r="Z52" s="122">
        <f t="shared" si="46"/>
        <v>0</v>
      </c>
      <c r="AA52" s="17">
        <f t="shared" si="78"/>
        <v>0</v>
      </c>
      <c r="AB52">
        <f t="shared" si="79"/>
        <v>0</v>
      </c>
      <c r="AC52">
        <f t="shared" si="80"/>
        <v>0</v>
      </c>
      <c r="AD52">
        <f t="shared" si="81"/>
        <v>0</v>
      </c>
      <c r="AE52">
        <f t="shared" si="82"/>
        <v>0</v>
      </c>
      <c r="AF52">
        <f t="shared" si="83"/>
        <v>0</v>
      </c>
      <c r="AG52">
        <f t="shared" si="84"/>
        <v>0</v>
      </c>
      <c r="AH52">
        <f t="shared" si="85"/>
        <v>0</v>
      </c>
      <c r="AI52">
        <f t="shared" si="86"/>
        <v>0</v>
      </c>
      <c r="AJ52">
        <f t="shared" si="87"/>
        <v>0</v>
      </c>
      <c r="AK52">
        <f t="shared" si="88"/>
        <v>0</v>
      </c>
      <c r="AL52">
        <f t="shared" si="89"/>
        <v>0</v>
      </c>
      <c r="AM52">
        <f t="shared" si="90"/>
        <v>0</v>
      </c>
      <c r="AN52">
        <f t="shared" si="91"/>
        <v>0</v>
      </c>
      <c r="AO52">
        <f t="shared" si="92"/>
        <v>0</v>
      </c>
      <c r="AP52">
        <f t="shared" si="93"/>
        <v>0</v>
      </c>
      <c r="AQ52">
        <f t="shared" si="94"/>
        <v>0</v>
      </c>
      <c r="AR52">
        <f t="shared" si="95"/>
        <v>0</v>
      </c>
      <c r="AS52">
        <f t="shared" si="96"/>
        <v>0</v>
      </c>
      <c r="AT52">
        <f t="shared" si="97"/>
        <v>0</v>
      </c>
      <c r="AU52">
        <f t="shared" si="98"/>
        <v>0</v>
      </c>
      <c r="AV52">
        <f t="shared" si="99"/>
        <v>0</v>
      </c>
      <c r="AW52" s="23">
        <f t="shared" si="100"/>
        <v>0</v>
      </c>
      <c r="AX52" s="24">
        <f t="shared" si="102"/>
        <v>0</v>
      </c>
      <c r="AY52" s="121">
        <f t="shared" si="103"/>
        <v>0</v>
      </c>
      <c r="AZ52" s="124">
        <f t="shared" si="104"/>
        <v>0</v>
      </c>
      <c r="BA52" s="243">
        <v>132</v>
      </c>
      <c r="BB52" s="198" t="s">
        <v>325</v>
      </c>
      <c r="BC52" s="244" t="s">
        <v>323</v>
      </c>
      <c r="BD52" s="24"/>
      <c r="BE52" s="23"/>
      <c r="BF52" s="203"/>
      <c r="BG52" s="204"/>
    </row>
    <row r="53" spans="1:59">
      <c r="A53" s="19">
        <f>B!B177</f>
        <v>0</v>
      </c>
      <c r="B53" s="20">
        <f>'C'!B50</f>
        <v>0</v>
      </c>
      <c r="C53" s="20">
        <f>D!B50</f>
        <v>0</v>
      </c>
      <c r="D53" s="20">
        <f>E!B50</f>
        <v>0</v>
      </c>
      <c r="E53" s="20">
        <f>F!B50</f>
        <v>0</v>
      </c>
      <c r="F53" s="20">
        <f>G!B50</f>
        <v>0</v>
      </c>
      <c r="G53" s="20">
        <f>H!B50</f>
        <v>0</v>
      </c>
      <c r="H53" s="20">
        <f>I!B50</f>
        <v>0</v>
      </c>
      <c r="I53" s="20">
        <f>J!B50</f>
        <v>0</v>
      </c>
      <c r="J53" s="20">
        <f>K!B50</f>
        <v>0</v>
      </c>
      <c r="K53" s="20">
        <f>L!B50</f>
        <v>0</v>
      </c>
      <c r="L53" s="20">
        <f>M!B50</f>
        <v>0</v>
      </c>
      <c r="M53" s="20">
        <f>N!B50</f>
        <v>0</v>
      </c>
      <c r="N53" s="20">
        <f>O!B50</f>
        <v>0</v>
      </c>
      <c r="O53" s="20">
        <f>P!B50</f>
        <v>0</v>
      </c>
      <c r="P53" s="20">
        <f>Q!B50</f>
        <v>0</v>
      </c>
      <c r="Q53" s="20">
        <f>'R'!B50</f>
        <v>0</v>
      </c>
      <c r="R53" s="20">
        <f>S!B50</f>
        <v>0</v>
      </c>
      <c r="S53" s="20">
        <f>T!B50</f>
        <v>0</v>
      </c>
      <c r="T53" s="20">
        <f>U!B50</f>
        <v>0</v>
      </c>
      <c r="U53" s="20">
        <f>V!B50</f>
        <v>0</v>
      </c>
      <c r="V53" s="20">
        <f>W!B50</f>
        <v>0</v>
      </c>
      <c r="W53" s="20">
        <f>X!B50</f>
        <v>0</v>
      </c>
      <c r="X53" s="21">
        <f t="shared" si="77"/>
        <v>0</v>
      </c>
      <c r="Y53" s="22">
        <f t="shared" si="101"/>
        <v>0</v>
      </c>
      <c r="Z53" s="122">
        <f t="shared" si="46"/>
        <v>0</v>
      </c>
      <c r="AA53" s="17">
        <f t="shared" si="78"/>
        <v>0</v>
      </c>
      <c r="AB53">
        <f t="shared" si="79"/>
        <v>0</v>
      </c>
      <c r="AC53">
        <f t="shared" si="80"/>
        <v>0</v>
      </c>
      <c r="AD53">
        <f t="shared" si="81"/>
        <v>0</v>
      </c>
      <c r="AE53">
        <f t="shared" si="82"/>
        <v>0</v>
      </c>
      <c r="AF53">
        <f t="shared" si="83"/>
        <v>0</v>
      </c>
      <c r="AG53">
        <f t="shared" si="84"/>
        <v>0</v>
      </c>
      <c r="AH53">
        <f t="shared" si="85"/>
        <v>0</v>
      </c>
      <c r="AI53">
        <f t="shared" si="86"/>
        <v>0</v>
      </c>
      <c r="AJ53">
        <f t="shared" si="87"/>
        <v>0</v>
      </c>
      <c r="AK53">
        <f t="shared" si="88"/>
        <v>0</v>
      </c>
      <c r="AL53">
        <f t="shared" si="89"/>
        <v>0</v>
      </c>
      <c r="AM53">
        <f t="shared" si="90"/>
        <v>0</v>
      </c>
      <c r="AN53">
        <f t="shared" si="91"/>
        <v>0</v>
      </c>
      <c r="AO53">
        <f t="shared" si="92"/>
        <v>0</v>
      </c>
      <c r="AP53">
        <f t="shared" si="93"/>
        <v>0</v>
      </c>
      <c r="AQ53">
        <f t="shared" si="94"/>
        <v>0</v>
      </c>
      <c r="AR53">
        <f t="shared" si="95"/>
        <v>0</v>
      </c>
      <c r="AS53">
        <f t="shared" si="96"/>
        <v>0</v>
      </c>
      <c r="AT53">
        <f t="shared" si="97"/>
        <v>0</v>
      </c>
      <c r="AU53">
        <f t="shared" si="98"/>
        <v>0</v>
      </c>
      <c r="AV53">
        <f t="shared" si="99"/>
        <v>0</v>
      </c>
      <c r="AW53" s="23">
        <f t="shared" si="100"/>
        <v>0</v>
      </c>
      <c r="AX53" s="24">
        <f t="shared" si="102"/>
        <v>0</v>
      </c>
      <c r="AY53" s="121">
        <f t="shared" si="103"/>
        <v>0</v>
      </c>
      <c r="AZ53" s="124">
        <f t="shared" si="104"/>
        <v>0</v>
      </c>
      <c r="BA53" s="197">
        <v>128</v>
      </c>
      <c r="BB53" s="198" t="s">
        <v>293</v>
      </c>
      <c r="BC53" s="198" t="s">
        <v>289</v>
      </c>
      <c r="BD53" s="24"/>
      <c r="BE53" s="23"/>
      <c r="BF53" s="203"/>
      <c r="BG53" s="204"/>
    </row>
    <row r="54" spans="1:59" ht="15.75" thickBot="1">
      <c r="A54" s="17">
        <f>B!B182</f>
        <v>0</v>
      </c>
      <c r="B54" s="20">
        <f>'C'!B51</f>
        <v>0</v>
      </c>
      <c r="C54" s="20">
        <f>D!B51</f>
        <v>0</v>
      </c>
      <c r="D54" s="20">
        <f>E!B51</f>
        <v>0</v>
      </c>
      <c r="E54" s="20">
        <f>F!B51</f>
        <v>0</v>
      </c>
      <c r="F54" s="20">
        <f>G!B51</f>
        <v>0</v>
      </c>
      <c r="G54" s="20">
        <f>H!B51</f>
        <v>0</v>
      </c>
      <c r="H54" s="20">
        <f>I!B51</f>
        <v>0</v>
      </c>
      <c r="I54" s="20">
        <f>J!B51</f>
        <v>0</v>
      </c>
      <c r="J54" s="20">
        <f>K!B51</f>
        <v>0</v>
      </c>
      <c r="K54" s="20">
        <f>L!B51</f>
        <v>0</v>
      </c>
      <c r="L54" s="20">
        <f>M!B51</f>
        <v>0</v>
      </c>
      <c r="M54" s="20">
        <f>N!B51</f>
        <v>0</v>
      </c>
      <c r="N54" s="20">
        <f>O!B51</f>
        <v>0</v>
      </c>
      <c r="O54" s="20">
        <f>P!B51</f>
        <v>0</v>
      </c>
      <c r="P54" s="20">
        <f>Q!B51</f>
        <v>0</v>
      </c>
      <c r="Q54" s="20">
        <f>'R'!B51</f>
        <v>0</v>
      </c>
      <c r="R54" s="20">
        <f>S!B51</f>
        <v>0</v>
      </c>
      <c r="S54" s="20">
        <f>T!B51</f>
        <v>0</v>
      </c>
      <c r="T54" s="20">
        <f>U!B51</f>
        <v>0</v>
      </c>
      <c r="U54" s="20">
        <f>V!B51</f>
        <v>0</v>
      </c>
      <c r="V54" s="20">
        <f>W!B51</f>
        <v>0</v>
      </c>
      <c r="W54" s="20">
        <f>X!B51</f>
        <v>0</v>
      </c>
      <c r="X54" s="21">
        <f t="shared" si="77"/>
        <v>0</v>
      </c>
      <c r="Y54" s="22">
        <f t="shared" si="101"/>
        <v>0</v>
      </c>
      <c r="Z54" s="122">
        <f t="shared" si="46"/>
        <v>0</v>
      </c>
      <c r="AA54" s="17">
        <f t="shared" si="78"/>
        <v>0</v>
      </c>
      <c r="AB54">
        <f t="shared" si="79"/>
        <v>0</v>
      </c>
      <c r="AC54">
        <f t="shared" si="80"/>
        <v>0</v>
      </c>
      <c r="AD54">
        <f t="shared" si="81"/>
        <v>0</v>
      </c>
      <c r="AE54">
        <f t="shared" si="82"/>
        <v>0</v>
      </c>
      <c r="AF54">
        <f t="shared" si="83"/>
        <v>0</v>
      </c>
      <c r="AG54">
        <f t="shared" si="84"/>
        <v>0</v>
      </c>
      <c r="AH54">
        <f t="shared" si="85"/>
        <v>0</v>
      </c>
      <c r="AI54">
        <f t="shared" si="86"/>
        <v>0</v>
      </c>
      <c r="AJ54">
        <f t="shared" si="87"/>
        <v>0</v>
      </c>
      <c r="AK54">
        <f t="shared" si="88"/>
        <v>0</v>
      </c>
      <c r="AL54">
        <f t="shared" si="89"/>
        <v>0</v>
      </c>
      <c r="AM54">
        <f t="shared" si="90"/>
        <v>0</v>
      </c>
      <c r="AN54">
        <f t="shared" si="91"/>
        <v>0</v>
      </c>
      <c r="AO54">
        <f t="shared" si="92"/>
        <v>0</v>
      </c>
      <c r="AP54">
        <f t="shared" si="93"/>
        <v>0</v>
      </c>
      <c r="AQ54">
        <f t="shared" si="94"/>
        <v>0</v>
      </c>
      <c r="AR54">
        <f t="shared" si="95"/>
        <v>0</v>
      </c>
      <c r="AS54">
        <f t="shared" si="96"/>
        <v>0</v>
      </c>
      <c r="AT54">
        <f t="shared" si="97"/>
        <v>0</v>
      </c>
      <c r="AU54">
        <f t="shared" si="98"/>
        <v>0</v>
      </c>
      <c r="AV54">
        <f t="shared" si="99"/>
        <v>0</v>
      </c>
      <c r="AW54" s="23">
        <f t="shared" si="100"/>
        <v>0</v>
      </c>
      <c r="AX54" s="24">
        <f t="shared" si="102"/>
        <v>0</v>
      </c>
      <c r="AY54" s="121">
        <f t="shared" si="103"/>
        <v>0</v>
      </c>
      <c r="AZ54" s="124">
        <f t="shared" si="104"/>
        <v>0</v>
      </c>
      <c r="BA54" s="197">
        <v>128</v>
      </c>
      <c r="BB54" s="198" t="s">
        <v>315</v>
      </c>
      <c r="BC54" s="198" t="s">
        <v>314</v>
      </c>
      <c r="BD54" s="24"/>
      <c r="BE54" s="23"/>
      <c r="BF54" s="203"/>
      <c r="BG54" s="204"/>
    </row>
    <row r="55" spans="1:59" ht="15.75" thickTop="1">
      <c r="A55" s="133" t="s">
        <v>134</v>
      </c>
      <c r="B55" s="134">
        <f t="shared" ref="B55:W55" si="105">SUM(B47:B54)</f>
        <v>193</v>
      </c>
      <c r="C55" s="134">
        <f t="shared" si="105"/>
        <v>179</v>
      </c>
      <c r="D55" s="134">
        <f t="shared" si="105"/>
        <v>172</v>
      </c>
      <c r="E55" s="134">
        <f t="shared" si="105"/>
        <v>218</v>
      </c>
      <c r="F55" s="134">
        <f t="shared" si="105"/>
        <v>0</v>
      </c>
      <c r="G55" s="134">
        <f t="shared" si="105"/>
        <v>0</v>
      </c>
      <c r="H55" s="134">
        <f t="shared" si="105"/>
        <v>0</v>
      </c>
      <c r="I55" s="134">
        <f t="shared" si="105"/>
        <v>0</v>
      </c>
      <c r="J55" s="134">
        <f t="shared" si="105"/>
        <v>0</v>
      </c>
      <c r="K55" s="134">
        <f t="shared" si="105"/>
        <v>0</v>
      </c>
      <c r="L55" s="134">
        <f t="shared" si="105"/>
        <v>0</v>
      </c>
      <c r="M55" s="134">
        <f t="shared" si="105"/>
        <v>0</v>
      </c>
      <c r="N55" s="134">
        <f t="shared" si="105"/>
        <v>0</v>
      </c>
      <c r="O55" s="134">
        <f t="shared" si="105"/>
        <v>0</v>
      </c>
      <c r="P55" s="134">
        <f t="shared" si="105"/>
        <v>0</v>
      </c>
      <c r="Q55" s="134">
        <f t="shared" si="105"/>
        <v>0</v>
      </c>
      <c r="R55" s="134">
        <f t="shared" si="105"/>
        <v>0</v>
      </c>
      <c r="S55" s="134">
        <f t="shared" si="105"/>
        <v>0</v>
      </c>
      <c r="T55" s="134">
        <f t="shared" si="105"/>
        <v>0</v>
      </c>
      <c r="U55" s="134">
        <f t="shared" si="105"/>
        <v>0</v>
      </c>
      <c r="V55" s="134">
        <f t="shared" si="105"/>
        <v>0</v>
      </c>
      <c r="W55" s="134">
        <f t="shared" si="105"/>
        <v>0</v>
      </c>
      <c r="X55" s="135">
        <f t="shared" si="77"/>
        <v>762</v>
      </c>
      <c r="Y55" s="137">
        <f>IF(X55=0,0,X55/AW55)</f>
        <v>190.5</v>
      </c>
      <c r="Z55" s="122"/>
      <c r="AA55" s="138">
        <f t="shared" ref="AA55:AV55" si="106">SUM(AA47:AA54)</f>
        <v>5</v>
      </c>
      <c r="AB55" s="11">
        <f t="shared" si="106"/>
        <v>5</v>
      </c>
      <c r="AC55" s="11">
        <f t="shared" si="106"/>
        <v>5</v>
      </c>
      <c r="AD55" s="11">
        <f t="shared" si="106"/>
        <v>5</v>
      </c>
      <c r="AE55" s="11">
        <f t="shared" si="106"/>
        <v>0</v>
      </c>
      <c r="AF55" s="11">
        <f t="shared" si="106"/>
        <v>0</v>
      </c>
      <c r="AG55" s="11">
        <f t="shared" si="106"/>
        <v>0</v>
      </c>
      <c r="AH55" s="11">
        <f t="shared" si="106"/>
        <v>0</v>
      </c>
      <c r="AI55" s="11">
        <f t="shared" si="106"/>
        <v>0</v>
      </c>
      <c r="AJ55" s="11">
        <f t="shared" si="106"/>
        <v>0</v>
      </c>
      <c r="AK55" s="11">
        <f t="shared" si="106"/>
        <v>0</v>
      </c>
      <c r="AL55" s="11">
        <f t="shared" si="106"/>
        <v>0</v>
      </c>
      <c r="AM55" s="11">
        <f t="shared" si="106"/>
        <v>0</v>
      </c>
      <c r="AN55" s="11">
        <f t="shared" si="106"/>
        <v>0</v>
      </c>
      <c r="AO55" s="11">
        <f t="shared" si="106"/>
        <v>0</v>
      </c>
      <c r="AP55" s="11">
        <f t="shared" si="106"/>
        <v>0</v>
      </c>
      <c r="AQ55" s="11">
        <f t="shared" si="106"/>
        <v>0</v>
      </c>
      <c r="AR55" s="11">
        <f t="shared" si="106"/>
        <v>0</v>
      </c>
      <c r="AS55" s="11">
        <f t="shared" si="106"/>
        <v>0</v>
      </c>
      <c r="AT55" s="11">
        <f t="shared" si="106"/>
        <v>0</v>
      </c>
      <c r="AU55" s="11">
        <f t="shared" si="106"/>
        <v>0</v>
      </c>
      <c r="AV55" s="11">
        <f t="shared" si="106"/>
        <v>0</v>
      </c>
      <c r="AW55" s="12">
        <f>MAXA(AW47:AW54)</f>
        <v>4</v>
      </c>
      <c r="AX55" s="24"/>
      <c r="AZ55" s="124"/>
      <c r="BA55" s="197">
        <v>127</v>
      </c>
      <c r="BB55" s="198" t="s">
        <v>308</v>
      </c>
      <c r="BC55" s="198" t="s">
        <v>304</v>
      </c>
      <c r="BD55" s="24"/>
      <c r="BE55" s="23"/>
      <c r="BF55" s="203"/>
      <c r="BG55" s="204"/>
    </row>
    <row r="56" spans="1:59" ht="16.5" thickBot="1">
      <c r="A56" s="105" t="s">
        <v>189</v>
      </c>
      <c r="B56" s="20">
        <f>'C'!B52</f>
        <v>0</v>
      </c>
      <c r="C56" s="20">
        <f>D!B52</f>
        <v>0</v>
      </c>
      <c r="D56" s="20">
        <f>E!B52</f>
        <v>0</v>
      </c>
      <c r="E56" s="20">
        <f>F!B52</f>
        <v>0</v>
      </c>
      <c r="F56" s="20">
        <f>G!B52</f>
        <v>0</v>
      </c>
      <c r="G56" s="20">
        <f>H!B52</f>
        <v>0</v>
      </c>
      <c r="H56" s="20">
        <f>I!B52</f>
        <v>0</v>
      </c>
      <c r="I56" s="20">
        <f>J!B52</f>
        <v>0</v>
      </c>
      <c r="J56" s="20">
        <f>K!B52</f>
        <v>0</v>
      </c>
      <c r="K56" s="20">
        <f>L!B52</f>
        <v>0</v>
      </c>
      <c r="L56" s="20">
        <f>M!B52</f>
        <v>0</v>
      </c>
      <c r="M56" s="20">
        <f>N!B52</f>
        <v>0</v>
      </c>
      <c r="N56" s="20">
        <f>O!B52</f>
        <v>0</v>
      </c>
      <c r="O56" s="20">
        <f>P!B52</f>
        <v>0</v>
      </c>
      <c r="P56" s="20">
        <f>Q!B52</f>
        <v>0</v>
      </c>
      <c r="Q56" s="20">
        <f>'R'!B52</f>
        <v>0</v>
      </c>
      <c r="R56" s="20">
        <f>S!B52</f>
        <v>0</v>
      </c>
      <c r="S56" s="20">
        <f>T!B52</f>
        <v>0</v>
      </c>
      <c r="T56" s="20">
        <f>U!B52</f>
        <v>0</v>
      </c>
      <c r="U56" s="20">
        <f>V!B52</f>
        <v>0</v>
      </c>
      <c r="V56" s="20">
        <f>W!B52</f>
        <v>0</v>
      </c>
      <c r="W56" s="20">
        <f>X!B52</f>
        <v>0</v>
      </c>
      <c r="X56" s="21">
        <f t="shared" si="77"/>
        <v>0</v>
      </c>
      <c r="Y56" s="120"/>
      <c r="Z56" s="122"/>
      <c r="AA56" s="17"/>
      <c r="AW56" s="23"/>
      <c r="AX56" s="24"/>
      <c r="AZ56" s="124"/>
      <c r="BA56" s="197">
        <v>126</v>
      </c>
      <c r="BB56" s="198" t="s">
        <v>286</v>
      </c>
      <c r="BC56" s="198" t="s">
        <v>282</v>
      </c>
      <c r="BD56" s="24"/>
      <c r="BE56" s="23"/>
      <c r="BF56" s="203"/>
      <c r="BG56" s="204"/>
    </row>
    <row r="57" spans="1:59" ht="16.5" thickTop="1" thickBot="1">
      <c r="A57" s="100" t="s">
        <v>53</v>
      </c>
      <c r="B57" s="68">
        <f t="shared" ref="B57:W57" si="107">SUM(B55:B56)</f>
        <v>193</v>
      </c>
      <c r="C57" s="68">
        <f t="shared" si="107"/>
        <v>179</v>
      </c>
      <c r="D57" s="68">
        <f t="shared" si="107"/>
        <v>172</v>
      </c>
      <c r="E57" s="68">
        <f t="shared" si="107"/>
        <v>218</v>
      </c>
      <c r="F57" s="68">
        <f t="shared" si="107"/>
        <v>0</v>
      </c>
      <c r="G57" s="68">
        <f t="shared" si="107"/>
        <v>0</v>
      </c>
      <c r="H57" s="68">
        <f t="shared" si="107"/>
        <v>0</v>
      </c>
      <c r="I57" s="68">
        <f t="shared" si="107"/>
        <v>0</v>
      </c>
      <c r="J57" s="68">
        <f t="shared" si="107"/>
        <v>0</v>
      </c>
      <c r="K57" s="68">
        <f t="shared" si="107"/>
        <v>0</v>
      </c>
      <c r="L57" s="68">
        <f t="shared" si="107"/>
        <v>0</v>
      </c>
      <c r="M57" s="68">
        <f t="shared" si="107"/>
        <v>0</v>
      </c>
      <c r="N57" s="68">
        <f t="shared" si="107"/>
        <v>0</v>
      </c>
      <c r="O57" s="68">
        <f t="shared" si="107"/>
        <v>0</v>
      </c>
      <c r="P57" s="68">
        <f t="shared" si="107"/>
        <v>0</v>
      </c>
      <c r="Q57" s="68">
        <f t="shared" si="107"/>
        <v>0</v>
      </c>
      <c r="R57" s="68">
        <f t="shared" si="107"/>
        <v>0</v>
      </c>
      <c r="S57" s="68">
        <f t="shared" si="107"/>
        <v>0</v>
      </c>
      <c r="T57" s="68">
        <f t="shared" si="107"/>
        <v>0</v>
      </c>
      <c r="U57" s="68">
        <f t="shared" si="107"/>
        <v>0</v>
      </c>
      <c r="V57" s="68">
        <f t="shared" si="107"/>
        <v>0</v>
      </c>
      <c r="W57" s="68">
        <f t="shared" si="107"/>
        <v>0</v>
      </c>
      <c r="X57" s="28">
        <f t="shared" si="77"/>
        <v>762</v>
      </c>
      <c r="Y57" s="136"/>
      <c r="Z57" s="122"/>
      <c r="AA57" s="17"/>
      <c r="AW57" s="23"/>
      <c r="AX57" s="24"/>
      <c r="AZ57" s="124"/>
      <c r="BA57" s="197">
        <v>119</v>
      </c>
      <c r="BB57" s="198" t="s">
        <v>285</v>
      </c>
      <c r="BC57" s="198" t="s">
        <v>282</v>
      </c>
      <c r="BD57" s="24">
        <f>X57</f>
        <v>762</v>
      </c>
      <c r="BE57" s="23" t="str">
        <f>A46</f>
        <v>HOT WHEELS</v>
      </c>
      <c r="BF57" s="203"/>
      <c r="BG57" s="204"/>
    </row>
    <row r="58" spans="1:59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22"/>
      <c r="AA58" s="17"/>
      <c r="AW58" s="23"/>
      <c r="AX58" s="24"/>
      <c r="AZ58" s="124"/>
      <c r="BA58" s="197">
        <v>111</v>
      </c>
      <c r="BB58" s="198" t="s">
        <v>294</v>
      </c>
      <c r="BC58" s="198" t="s">
        <v>289</v>
      </c>
      <c r="BD58" s="24"/>
      <c r="BE58" s="23"/>
      <c r="BF58" s="203"/>
      <c r="BG58" s="204"/>
    </row>
    <row r="59" spans="1:59" ht="15.75" thickBot="1">
      <c r="A59" s="7" t="s">
        <v>57</v>
      </c>
      <c r="B59" s="8" t="s">
        <v>27</v>
      </c>
      <c r="C59" s="8" t="s">
        <v>28</v>
      </c>
      <c r="D59" s="8" t="s">
        <v>29</v>
      </c>
      <c r="E59" s="8" t="s">
        <v>30</v>
      </c>
      <c r="F59" s="8" t="s">
        <v>31</v>
      </c>
      <c r="G59" s="8" t="s">
        <v>32</v>
      </c>
      <c r="H59" s="8" t="s">
        <v>33</v>
      </c>
      <c r="I59" s="8" t="s">
        <v>34</v>
      </c>
      <c r="J59" s="8" t="s">
        <v>35</v>
      </c>
      <c r="K59" s="8" t="s">
        <v>36</v>
      </c>
      <c r="L59" s="8" t="s">
        <v>37</v>
      </c>
      <c r="M59" s="8" t="s">
        <v>38</v>
      </c>
      <c r="N59" s="8" t="s">
        <v>39</v>
      </c>
      <c r="O59" s="8" t="s">
        <v>40</v>
      </c>
      <c r="P59" s="8" t="s">
        <v>41</v>
      </c>
      <c r="Q59" s="8" t="s">
        <v>42</v>
      </c>
      <c r="R59" s="8" t="s">
        <v>43</v>
      </c>
      <c r="S59" s="8" t="s">
        <v>44</v>
      </c>
      <c r="T59" s="8" t="s">
        <v>45</v>
      </c>
      <c r="U59" s="8" t="s">
        <v>46</v>
      </c>
      <c r="V59" s="8" t="s">
        <v>47</v>
      </c>
      <c r="W59" s="8" t="s">
        <v>48</v>
      </c>
      <c r="X59" s="1"/>
      <c r="Y59" s="1"/>
      <c r="Z59" s="3" t="str">
        <f>A59</f>
        <v>Team #5 Name:</v>
      </c>
      <c r="AA59" s="17"/>
      <c r="AW59" s="23"/>
      <c r="AX59" s="24"/>
      <c r="AZ59" s="124"/>
      <c r="BA59" s="197">
        <v>111</v>
      </c>
      <c r="BB59" s="198" t="s">
        <v>336</v>
      </c>
      <c r="BC59" s="198" t="s">
        <v>309</v>
      </c>
      <c r="BD59" s="24"/>
      <c r="BE59" s="23"/>
      <c r="BF59" s="203"/>
      <c r="BG59" s="204"/>
    </row>
    <row r="60" spans="1:59">
      <c r="A60" s="13" t="str">
        <f>B!B188</f>
        <v>HABOOBS</v>
      </c>
      <c r="B60" s="29" t="s">
        <v>50</v>
      </c>
      <c r="C60" s="29" t="s">
        <v>50</v>
      </c>
      <c r="D60" s="29" t="s">
        <v>50</v>
      </c>
      <c r="E60" s="29" t="s">
        <v>50</v>
      </c>
      <c r="F60" s="29" t="s">
        <v>50</v>
      </c>
      <c r="G60" s="29" t="s">
        <v>50</v>
      </c>
      <c r="H60" s="29" t="s">
        <v>50</v>
      </c>
      <c r="I60" s="29" t="s">
        <v>50</v>
      </c>
      <c r="J60" s="29" t="s">
        <v>50</v>
      </c>
      <c r="K60" s="29" t="s">
        <v>50</v>
      </c>
      <c r="L60" s="29" t="s">
        <v>50</v>
      </c>
      <c r="M60" s="29" t="s">
        <v>50</v>
      </c>
      <c r="N60" s="29" t="s">
        <v>50</v>
      </c>
      <c r="O60" s="29" t="s">
        <v>50</v>
      </c>
      <c r="P60" s="29" t="s">
        <v>50</v>
      </c>
      <c r="Q60" s="29" t="s">
        <v>50</v>
      </c>
      <c r="R60" s="29" t="s">
        <v>50</v>
      </c>
      <c r="S60" s="29" t="s">
        <v>50</v>
      </c>
      <c r="T60" s="29" t="s">
        <v>50</v>
      </c>
      <c r="U60" s="29" t="s">
        <v>50</v>
      </c>
      <c r="V60" s="29" t="s">
        <v>50</v>
      </c>
      <c r="W60" s="29" t="s">
        <v>50</v>
      </c>
      <c r="X60" s="15" t="s">
        <v>51</v>
      </c>
      <c r="Y60" s="16" t="s">
        <v>52</v>
      </c>
      <c r="Z60" s="123" t="str">
        <f>A60</f>
        <v>HABOOBS</v>
      </c>
      <c r="AA60" s="17"/>
      <c r="AW60" s="4" t="s">
        <v>97</v>
      </c>
      <c r="AX60" s="24"/>
      <c r="AZ60" s="124"/>
      <c r="BA60" s="197">
        <v>18</v>
      </c>
      <c r="BB60" s="198">
        <v>0</v>
      </c>
      <c r="BC60" s="198" t="s">
        <v>282</v>
      </c>
      <c r="BD60" s="24"/>
      <c r="BE60" s="23"/>
      <c r="BF60" s="203"/>
      <c r="BG60" s="204"/>
    </row>
    <row r="61" spans="1:59">
      <c r="A61" s="19" t="str">
        <f>B!B190</f>
        <v>MIKE</v>
      </c>
      <c r="B61" s="20">
        <f>'C'!B57</f>
        <v>46</v>
      </c>
      <c r="C61" s="20">
        <f>D!B57</f>
        <v>46</v>
      </c>
      <c r="D61" s="20">
        <f>E!B57</f>
        <v>41</v>
      </c>
      <c r="E61" s="20">
        <f>F!B57</f>
        <v>32</v>
      </c>
      <c r="F61" s="20">
        <f>G!B57</f>
        <v>0</v>
      </c>
      <c r="G61" s="20">
        <f>H!B57</f>
        <v>0</v>
      </c>
      <c r="H61" s="20">
        <f>I!B57</f>
        <v>0</v>
      </c>
      <c r="I61" s="20">
        <f>J!B57</f>
        <v>0</v>
      </c>
      <c r="J61" s="20">
        <f>K!B57</f>
        <v>0</v>
      </c>
      <c r="K61" s="20">
        <f>L!B57</f>
        <v>0</v>
      </c>
      <c r="L61" s="20">
        <f>M!B57</f>
        <v>0</v>
      </c>
      <c r="M61" s="20">
        <f>N!B57</f>
        <v>0</v>
      </c>
      <c r="N61" s="20">
        <f>O!B57</f>
        <v>0</v>
      </c>
      <c r="O61" s="20">
        <f>P!B57</f>
        <v>0</v>
      </c>
      <c r="P61" s="20">
        <f>Q!B57</f>
        <v>0</v>
      </c>
      <c r="Q61" s="20">
        <f>'R'!B57</f>
        <v>0</v>
      </c>
      <c r="R61" s="20">
        <f>S!B57</f>
        <v>0</v>
      </c>
      <c r="S61" s="20">
        <f>T!B57</f>
        <v>0</v>
      </c>
      <c r="T61" s="20">
        <f>U!B57</f>
        <v>0</v>
      </c>
      <c r="U61" s="20">
        <f>V!B57</f>
        <v>0</v>
      </c>
      <c r="V61" s="20">
        <f>W!B57</f>
        <v>0</v>
      </c>
      <c r="W61" s="20">
        <f>X!B57</f>
        <v>0</v>
      </c>
      <c r="X61" s="21">
        <f t="shared" ref="X61:X71" si="108">SUM(B61:W61)</f>
        <v>165</v>
      </c>
      <c r="Y61" s="22">
        <f>IF(AW61=0,0,X61/AW61)</f>
        <v>41.25</v>
      </c>
      <c r="Z61" s="122" t="str">
        <f t="shared" si="46"/>
        <v>MIKE</v>
      </c>
      <c r="AA61" s="17">
        <f t="shared" ref="AA61:AA68" si="109">IF(B61=0,0,1)</f>
        <v>1</v>
      </c>
      <c r="AB61">
        <f t="shared" ref="AB61:AB68" si="110">IF(C61=0,0,1)</f>
        <v>1</v>
      </c>
      <c r="AC61">
        <f t="shared" ref="AC61:AC68" si="111">IF(D61=0,0,1)</f>
        <v>1</v>
      </c>
      <c r="AD61">
        <f t="shared" ref="AD61:AD68" si="112">IF(E61=0,0,1)</f>
        <v>1</v>
      </c>
      <c r="AE61">
        <f t="shared" ref="AE61:AE68" si="113">IF(F61=0,0,1)</f>
        <v>0</v>
      </c>
      <c r="AF61">
        <f t="shared" ref="AF61:AF68" si="114">IF(G61=0,0,1)</f>
        <v>0</v>
      </c>
      <c r="AG61">
        <f t="shared" ref="AG61:AG68" si="115">IF(H61=0,0,1)</f>
        <v>0</v>
      </c>
      <c r="AH61">
        <f t="shared" ref="AH61:AH68" si="116">IF(I61=0,0,1)</f>
        <v>0</v>
      </c>
      <c r="AI61">
        <f t="shared" ref="AI61:AI68" si="117">IF(J61=0,0,1)</f>
        <v>0</v>
      </c>
      <c r="AJ61">
        <f t="shared" ref="AJ61:AJ68" si="118">IF(K61=0,0,1)</f>
        <v>0</v>
      </c>
      <c r="AK61">
        <f t="shared" ref="AK61:AK68" si="119">IF(L61=0,0,1)</f>
        <v>0</v>
      </c>
      <c r="AL61">
        <f t="shared" ref="AL61:AL68" si="120">IF(M61=0,0,1)</f>
        <v>0</v>
      </c>
      <c r="AM61">
        <f t="shared" ref="AM61:AM68" si="121">IF(N61=0,0,1)</f>
        <v>0</v>
      </c>
      <c r="AN61">
        <f t="shared" ref="AN61:AN68" si="122">IF(O61=0,0,1)</f>
        <v>0</v>
      </c>
      <c r="AO61">
        <f t="shared" ref="AO61:AO68" si="123">IF(P61=0,0,1)</f>
        <v>0</v>
      </c>
      <c r="AP61">
        <f t="shared" ref="AP61:AP68" si="124">IF(Q61=0,0,1)</f>
        <v>0</v>
      </c>
      <c r="AQ61">
        <f t="shared" ref="AQ61:AQ68" si="125">IF(R61=0,0,1)</f>
        <v>0</v>
      </c>
      <c r="AR61">
        <f t="shared" ref="AR61:AR68" si="126">IF(S61=0,0,1)</f>
        <v>0</v>
      </c>
      <c r="AS61">
        <f t="shared" ref="AS61:AS68" si="127">IF(T61=0,0,1)</f>
        <v>0</v>
      </c>
      <c r="AT61">
        <f t="shared" ref="AT61:AT68" si="128">IF(U61=0,0,1)</f>
        <v>0</v>
      </c>
      <c r="AU61">
        <f t="shared" ref="AU61:AU68" si="129">IF(V61=0,0,1)</f>
        <v>0</v>
      </c>
      <c r="AV61">
        <f t="shared" ref="AV61:AV68" si="130">IF(W61=0,0,1)</f>
        <v>0</v>
      </c>
      <c r="AW61" s="23">
        <f t="shared" ref="AW61:AW68" si="131">SUM(AA61:AV61)</f>
        <v>4</v>
      </c>
      <c r="AX61" s="24">
        <f>IF(X61=0,0,X61)</f>
        <v>165</v>
      </c>
      <c r="AY61" s="121" t="str">
        <f>IF(X61=0,0,A61)</f>
        <v>MIKE</v>
      </c>
      <c r="AZ61" s="124" t="str">
        <f>IF(AX61=0,0,A$60)</f>
        <v>HABOOBS</v>
      </c>
      <c r="BA61" s="243">
        <v>3</v>
      </c>
      <c r="BB61" s="198">
        <v>1</v>
      </c>
      <c r="BC61" s="244" t="s">
        <v>283</v>
      </c>
      <c r="BD61" s="24"/>
      <c r="BE61" s="23"/>
      <c r="BF61" s="203"/>
      <c r="BG61" s="204"/>
    </row>
    <row r="62" spans="1:59">
      <c r="A62" s="19" t="str">
        <f>B!B195</f>
        <v>OLGA</v>
      </c>
      <c r="B62" s="20">
        <f>'C'!B58</f>
        <v>33</v>
      </c>
      <c r="C62" s="20">
        <f>D!B58</f>
        <v>41</v>
      </c>
      <c r="D62" s="20">
        <f>E!B58</f>
        <v>42</v>
      </c>
      <c r="E62" s="20">
        <f>F!B58</f>
        <v>40</v>
      </c>
      <c r="F62" s="20">
        <f>G!B58</f>
        <v>0</v>
      </c>
      <c r="G62" s="20">
        <f>H!B58</f>
        <v>0</v>
      </c>
      <c r="H62" s="20">
        <f>I!B58</f>
        <v>0</v>
      </c>
      <c r="I62" s="20">
        <f>J!B58</f>
        <v>0</v>
      </c>
      <c r="J62" s="20">
        <f>K!B58</f>
        <v>0</v>
      </c>
      <c r="K62" s="20">
        <f>L!B58</f>
        <v>0</v>
      </c>
      <c r="L62" s="20">
        <f>M!B58</f>
        <v>0</v>
      </c>
      <c r="M62" s="20">
        <f>N!B58</f>
        <v>0</v>
      </c>
      <c r="N62" s="20">
        <f>O!B58</f>
        <v>0</v>
      </c>
      <c r="O62" s="20">
        <f>P!B58</f>
        <v>0</v>
      </c>
      <c r="P62" s="20">
        <f>Q!B58</f>
        <v>0</v>
      </c>
      <c r="Q62" s="20">
        <f>'R'!B58</f>
        <v>0</v>
      </c>
      <c r="R62" s="20">
        <f>S!B58</f>
        <v>0</v>
      </c>
      <c r="S62" s="20">
        <f>T!B58</f>
        <v>0</v>
      </c>
      <c r="T62" s="20">
        <f>U!B58</f>
        <v>0</v>
      </c>
      <c r="U62" s="20">
        <f>V!B58</f>
        <v>0</v>
      </c>
      <c r="V62" s="20">
        <f>W!B58</f>
        <v>0</v>
      </c>
      <c r="W62" s="20">
        <f>X!B58</f>
        <v>0</v>
      </c>
      <c r="X62" s="21">
        <f t="shared" si="108"/>
        <v>156</v>
      </c>
      <c r="Y62" s="22">
        <f t="shared" ref="Y62:Y68" si="132">IF(AW62=0,0,X62/AW62)</f>
        <v>39</v>
      </c>
      <c r="Z62" s="122" t="str">
        <f t="shared" si="46"/>
        <v>OLGA</v>
      </c>
      <c r="AA62" s="17">
        <f t="shared" si="109"/>
        <v>1</v>
      </c>
      <c r="AB62">
        <f t="shared" si="110"/>
        <v>1</v>
      </c>
      <c r="AC62">
        <f t="shared" si="111"/>
        <v>1</v>
      </c>
      <c r="AD62">
        <f t="shared" si="112"/>
        <v>1</v>
      </c>
      <c r="AE62">
        <f t="shared" si="113"/>
        <v>0</v>
      </c>
      <c r="AF62">
        <f t="shared" si="114"/>
        <v>0</v>
      </c>
      <c r="AG62">
        <f t="shared" si="115"/>
        <v>0</v>
      </c>
      <c r="AH62">
        <f t="shared" si="116"/>
        <v>0</v>
      </c>
      <c r="AI62">
        <f t="shared" si="117"/>
        <v>0</v>
      </c>
      <c r="AJ62">
        <f t="shared" si="118"/>
        <v>0</v>
      </c>
      <c r="AK62">
        <f t="shared" si="119"/>
        <v>0</v>
      </c>
      <c r="AL62">
        <f t="shared" si="120"/>
        <v>0</v>
      </c>
      <c r="AM62">
        <f t="shared" si="121"/>
        <v>0</v>
      </c>
      <c r="AN62">
        <f t="shared" si="122"/>
        <v>0</v>
      </c>
      <c r="AO62">
        <f t="shared" si="123"/>
        <v>0</v>
      </c>
      <c r="AP62">
        <f t="shared" si="124"/>
        <v>0</v>
      </c>
      <c r="AQ62">
        <f t="shared" si="125"/>
        <v>0</v>
      </c>
      <c r="AR62">
        <f t="shared" si="126"/>
        <v>0</v>
      </c>
      <c r="AS62">
        <f t="shared" si="127"/>
        <v>0</v>
      </c>
      <c r="AT62">
        <f t="shared" si="128"/>
        <v>0</v>
      </c>
      <c r="AU62">
        <f t="shared" si="129"/>
        <v>0</v>
      </c>
      <c r="AV62">
        <f t="shared" si="130"/>
        <v>0</v>
      </c>
      <c r="AW62" s="23">
        <f t="shared" si="131"/>
        <v>4</v>
      </c>
      <c r="AX62" s="24">
        <f t="shared" ref="AX62:AX68" si="133">IF(X62=0,0,X62)</f>
        <v>156</v>
      </c>
      <c r="AY62" s="121" t="str">
        <f t="shared" ref="AY62:AY68" si="134">IF(X62=0,0,A62)</f>
        <v>OLGA</v>
      </c>
      <c r="AZ62" s="124" t="str">
        <f t="shared" ref="AZ62:AZ68" si="135">IF(AX62=0,0,A$60)</f>
        <v>HABOOBS</v>
      </c>
      <c r="BA62" s="243">
        <v>3</v>
      </c>
      <c r="BB62" s="198">
        <v>2</v>
      </c>
      <c r="BC62" s="244" t="s">
        <v>283</v>
      </c>
      <c r="BD62" s="24"/>
      <c r="BE62" s="23"/>
      <c r="BF62" s="203"/>
      <c r="BG62" s="204"/>
    </row>
    <row r="63" spans="1:59">
      <c r="A63" s="19" t="str">
        <f>B!B200</f>
        <v>DAN</v>
      </c>
      <c r="B63" s="20">
        <f>'C'!B59</f>
        <v>43</v>
      </c>
      <c r="C63" s="20">
        <f>D!B59</f>
        <v>45</v>
      </c>
      <c r="D63" s="20">
        <f>E!B59</f>
        <v>47</v>
      </c>
      <c r="E63" s="20">
        <f>F!B59</f>
        <v>47</v>
      </c>
      <c r="F63" s="20">
        <f>G!B59</f>
        <v>0</v>
      </c>
      <c r="G63" s="20">
        <f>H!B59</f>
        <v>0</v>
      </c>
      <c r="H63" s="20">
        <f>I!B59</f>
        <v>0</v>
      </c>
      <c r="I63" s="20">
        <f>J!B59</f>
        <v>0</v>
      </c>
      <c r="J63" s="20">
        <f>K!B59</f>
        <v>0</v>
      </c>
      <c r="K63" s="20">
        <f>L!B59</f>
        <v>0</v>
      </c>
      <c r="L63" s="20">
        <f>M!B59</f>
        <v>0</v>
      </c>
      <c r="M63" s="20">
        <f>N!B59</f>
        <v>0</v>
      </c>
      <c r="N63" s="20">
        <f>O!B59</f>
        <v>0</v>
      </c>
      <c r="O63" s="20">
        <f>P!B59</f>
        <v>0</v>
      </c>
      <c r="P63" s="20">
        <f>Q!B59</f>
        <v>0</v>
      </c>
      <c r="Q63" s="20">
        <f>'R'!B59</f>
        <v>0</v>
      </c>
      <c r="R63" s="20">
        <f>S!B59</f>
        <v>0</v>
      </c>
      <c r="S63" s="20">
        <f>T!B59</f>
        <v>0</v>
      </c>
      <c r="T63" s="20">
        <f>U!B59</f>
        <v>0</v>
      </c>
      <c r="U63" s="20">
        <f>V!B59</f>
        <v>0</v>
      </c>
      <c r="V63" s="20">
        <f>W!B59</f>
        <v>0</v>
      </c>
      <c r="W63" s="20">
        <f>X!B59</f>
        <v>0</v>
      </c>
      <c r="X63" s="21">
        <f t="shared" si="108"/>
        <v>182</v>
      </c>
      <c r="Y63" s="22">
        <f t="shared" si="132"/>
        <v>45.5</v>
      </c>
      <c r="Z63" s="122" t="str">
        <f t="shared" si="46"/>
        <v>DAN</v>
      </c>
      <c r="AA63" s="17">
        <f t="shared" si="109"/>
        <v>1</v>
      </c>
      <c r="AB63">
        <f t="shared" si="110"/>
        <v>1</v>
      </c>
      <c r="AC63">
        <f t="shared" si="111"/>
        <v>1</v>
      </c>
      <c r="AD63">
        <f t="shared" si="112"/>
        <v>1</v>
      </c>
      <c r="AE63">
        <f t="shared" si="113"/>
        <v>0</v>
      </c>
      <c r="AF63">
        <f t="shared" si="114"/>
        <v>0</v>
      </c>
      <c r="AG63">
        <f t="shared" si="115"/>
        <v>0</v>
      </c>
      <c r="AH63">
        <f t="shared" si="116"/>
        <v>0</v>
      </c>
      <c r="AI63">
        <f t="shared" si="117"/>
        <v>0</v>
      </c>
      <c r="AJ63">
        <f t="shared" si="118"/>
        <v>0</v>
      </c>
      <c r="AK63">
        <f t="shared" si="119"/>
        <v>0</v>
      </c>
      <c r="AL63">
        <f t="shared" si="120"/>
        <v>0</v>
      </c>
      <c r="AM63">
        <f t="shared" si="121"/>
        <v>0</v>
      </c>
      <c r="AN63">
        <f t="shared" si="122"/>
        <v>0</v>
      </c>
      <c r="AO63">
        <f t="shared" si="123"/>
        <v>0</v>
      </c>
      <c r="AP63">
        <f t="shared" si="124"/>
        <v>0</v>
      </c>
      <c r="AQ63">
        <f t="shared" si="125"/>
        <v>0</v>
      </c>
      <c r="AR63">
        <f t="shared" si="126"/>
        <v>0</v>
      </c>
      <c r="AS63">
        <f t="shared" si="127"/>
        <v>0</v>
      </c>
      <c r="AT63">
        <f t="shared" si="128"/>
        <v>0</v>
      </c>
      <c r="AU63">
        <f t="shared" si="129"/>
        <v>0</v>
      </c>
      <c r="AV63">
        <f t="shared" si="130"/>
        <v>0</v>
      </c>
      <c r="AW63" s="23">
        <f t="shared" si="131"/>
        <v>4</v>
      </c>
      <c r="AX63" s="24">
        <f t="shared" si="133"/>
        <v>182</v>
      </c>
      <c r="AY63" s="121" t="str">
        <f t="shared" si="134"/>
        <v>DAN</v>
      </c>
      <c r="AZ63" s="124" t="str">
        <f t="shared" si="135"/>
        <v>HABOOBS</v>
      </c>
      <c r="BA63" s="243">
        <v>3</v>
      </c>
      <c r="BB63" s="198">
        <v>3</v>
      </c>
      <c r="BC63" s="244" t="s">
        <v>283</v>
      </c>
      <c r="BD63" s="24"/>
      <c r="BE63" s="23"/>
      <c r="BF63" s="203"/>
      <c r="BG63" s="204"/>
    </row>
    <row r="64" spans="1:59">
      <c r="A64" s="19" t="str">
        <f>B!B205</f>
        <v>MIKE MO</v>
      </c>
      <c r="B64" s="20">
        <f>'C'!B60</f>
        <v>35</v>
      </c>
      <c r="C64" s="20">
        <f>D!B60</f>
        <v>42</v>
      </c>
      <c r="D64" s="20">
        <f>E!B60</f>
        <v>42</v>
      </c>
      <c r="E64" s="20">
        <f>F!B60</f>
        <v>33</v>
      </c>
      <c r="F64" s="20">
        <f>G!B60</f>
        <v>0</v>
      </c>
      <c r="G64" s="20">
        <f>H!B60</f>
        <v>0</v>
      </c>
      <c r="H64" s="20">
        <f>I!B60</f>
        <v>0</v>
      </c>
      <c r="I64" s="20">
        <f>J!B60</f>
        <v>0</v>
      </c>
      <c r="J64" s="20">
        <f>K!B60</f>
        <v>0</v>
      </c>
      <c r="K64" s="20">
        <f>L!B60</f>
        <v>0</v>
      </c>
      <c r="L64" s="20">
        <f>M!B60</f>
        <v>0</v>
      </c>
      <c r="M64" s="20">
        <f>N!B60</f>
        <v>0</v>
      </c>
      <c r="N64" s="20">
        <f>O!B60</f>
        <v>0</v>
      </c>
      <c r="O64" s="20">
        <f>P!B60</f>
        <v>0</v>
      </c>
      <c r="P64" s="20">
        <f>Q!B60</f>
        <v>0</v>
      </c>
      <c r="Q64" s="20">
        <f>'R'!B60</f>
        <v>0</v>
      </c>
      <c r="R64" s="20">
        <f>S!B60</f>
        <v>0</v>
      </c>
      <c r="S64" s="20">
        <f>T!B60</f>
        <v>0</v>
      </c>
      <c r="T64" s="20">
        <f>U!B60</f>
        <v>0</v>
      </c>
      <c r="U64" s="20">
        <f>V!B60</f>
        <v>0</v>
      </c>
      <c r="V64" s="20">
        <f>W!B60</f>
        <v>0</v>
      </c>
      <c r="W64" s="20">
        <f>X!B60</f>
        <v>0</v>
      </c>
      <c r="X64" s="21">
        <f t="shared" si="108"/>
        <v>152</v>
      </c>
      <c r="Y64" s="22">
        <f t="shared" si="132"/>
        <v>38</v>
      </c>
      <c r="Z64" s="122" t="str">
        <f t="shared" si="46"/>
        <v>MIKE MO</v>
      </c>
      <c r="AA64" s="17">
        <f t="shared" si="109"/>
        <v>1</v>
      </c>
      <c r="AB64">
        <f t="shared" si="110"/>
        <v>1</v>
      </c>
      <c r="AC64">
        <f t="shared" si="111"/>
        <v>1</v>
      </c>
      <c r="AD64">
        <f t="shared" si="112"/>
        <v>1</v>
      </c>
      <c r="AE64">
        <f t="shared" si="113"/>
        <v>0</v>
      </c>
      <c r="AF64">
        <f t="shared" si="114"/>
        <v>0</v>
      </c>
      <c r="AG64">
        <f t="shared" si="115"/>
        <v>0</v>
      </c>
      <c r="AH64">
        <f t="shared" si="116"/>
        <v>0</v>
      </c>
      <c r="AI64">
        <f t="shared" si="117"/>
        <v>0</v>
      </c>
      <c r="AJ64">
        <f t="shared" si="118"/>
        <v>0</v>
      </c>
      <c r="AK64">
        <f t="shared" si="119"/>
        <v>0</v>
      </c>
      <c r="AL64">
        <f t="shared" si="120"/>
        <v>0</v>
      </c>
      <c r="AM64">
        <f t="shared" si="121"/>
        <v>0</v>
      </c>
      <c r="AN64">
        <f t="shared" si="122"/>
        <v>0</v>
      </c>
      <c r="AO64">
        <f t="shared" si="123"/>
        <v>0</v>
      </c>
      <c r="AP64">
        <f t="shared" si="124"/>
        <v>0</v>
      </c>
      <c r="AQ64">
        <f t="shared" si="125"/>
        <v>0</v>
      </c>
      <c r="AR64">
        <f t="shared" si="126"/>
        <v>0</v>
      </c>
      <c r="AS64">
        <f t="shared" si="127"/>
        <v>0</v>
      </c>
      <c r="AT64">
        <f t="shared" si="128"/>
        <v>0</v>
      </c>
      <c r="AU64">
        <f t="shared" si="129"/>
        <v>0</v>
      </c>
      <c r="AV64">
        <f t="shared" si="130"/>
        <v>0</v>
      </c>
      <c r="AW64" s="23">
        <f t="shared" si="131"/>
        <v>4</v>
      </c>
      <c r="AX64" s="24">
        <f t="shared" si="133"/>
        <v>152</v>
      </c>
      <c r="AY64" s="121" t="str">
        <f t="shared" si="134"/>
        <v>MIKE MO</v>
      </c>
      <c r="AZ64" s="124" t="str">
        <f t="shared" si="135"/>
        <v>HABOOBS</v>
      </c>
      <c r="BA64" s="243">
        <v>3</v>
      </c>
      <c r="BB64" s="198">
        <v>4</v>
      </c>
      <c r="BC64" s="244" t="s">
        <v>283</v>
      </c>
      <c r="BD64" s="24"/>
      <c r="BE64" s="23"/>
      <c r="BF64" s="203"/>
      <c r="BG64" s="204"/>
    </row>
    <row r="65" spans="1:59">
      <c r="A65" s="19" t="str">
        <f>B!B210</f>
        <v>VICKIE</v>
      </c>
      <c r="B65" s="20">
        <f>'C'!B61</f>
        <v>37</v>
      </c>
      <c r="C65" s="20">
        <f>D!B61</f>
        <v>31</v>
      </c>
      <c r="D65" s="20">
        <f>E!B61</f>
        <v>39</v>
      </c>
      <c r="E65" s="20">
        <f>F!B61</f>
        <v>20</v>
      </c>
      <c r="F65" s="20">
        <f>G!B61</f>
        <v>0</v>
      </c>
      <c r="G65" s="20">
        <f>H!B61</f>
        <v>0</v>
      </c>
      <c r="H65" s="20">
        <f>I!B61</f>
        <v>0</v>
      </c>
      <c r="I65" s="20">
        <f>J!B61</f>
        <v>0</v>
      </c>
      <c r="J65" s="20">
        <f>K!B61</f>
        <v>0</v>
      </c>
      <c r="K65" s="20">
        <f>L!B61</f>
        <v>0</v>
      </c>
      <c r="L65" s="20">
        <f>M!B61</f>
        <v>0</v>
      </c>
      <c r="M65" s="20">
        <f>N!B61</f>
        <v>0</v>
      </c>
      <c r="N65" s="20">
        <f>O!B61</f>
        <v>0</v>
      </c>
      <c r="O65" s="20">
        <f>P!B61</f>
        <v>0</v>
      </c>
      <c r="P65" s="20">
        <f>Q!B61</f>
        <v>0</v>
      </c>
      <c r="Q65" s="20">
        <f>'R'!B61</f>
        <v>0</v>
      </c>
      <c r="R65" s="20">
        <f>S!B61</f>
        <v>0</v>
      </c>
      <c r="S65" s="20">
        <f>T!B61</f>
        <v>0</v>
      </c>
      <c r="T65" s="20">
        <f>U!B61</f>
        <v>0</v>
      </c>
      <c r="U65" s="20">
        <f>V!B61</f>
        <v>0</v>
      </c>
      <c r="V65" s="20">
        <f>W!B61</f>
        <v>0</v>
      </c>
      <c r="W65" s="20">
        <f>X!B61</f>
        <v>0</v>
      </c>
      <c r="X65" s="21">
        <f t="shared" si="108"/>
        <v>127</v>
      </c>
      <c r="Y65" s="22">
        <f t="shared" si="132"/>
        <v>31.75</v>
      </c>
      <c r="Z65" s="122" t="str">
        <f t="shared" si="46"/>
        <v>VICKIE</v>
      </c>
      <c r="AA65" s="17">
        <f t="shared" si="109"/>
        <v>1</v>
      </c>
      <c r="AB65">
        <f t="shared" si="110"/>
        <v>1</v>
      </c>
      <c r="AC65">
        <f t="shared" si="111"/>
        <v>1</v>
      </c>
      <c r="AD65">
        <f t="shared" si="112"/>
        <v>1</v>
      </c>
      <c r="AE65">
        <f t="shared" si="113"/>
        <v>0</v>
      </c>
      <c r="AF65">
        <f t="shared" si="114"/>
        <v>0</v>
      </c>
      <c r="AG65">
        <f t="shared" si="115"/>
        <v>0</v>
      </c>
      <c r="AH65">
        <f t="shared" si="116"/>
        <v>0</v>
      </c>
      <c r="AI65">
        <f t="shared" si="117"/>
        <v>0</v>
      </c>
      <c r="AJ65">
        <f t="shared" si="118"/>
        <v>0</v>
      </c>
      <c r="AK65">
        <f t="shared" si="119"/>
        <v>0</v>
      </c>
      <c r="AL65">
        <f t="shared" si="120"/>
        <v>0</v>
      </c>
      <c r="AM65">
        <f t="shared" si="121"/>
        <v>0</v>
      </c>
      <c r="AN65">
        <f t="shared" si="122"/>
        <v>0</v>
      </c>
      <c r="AO65">
        <f t="shared" si="123"/>
        <v>0</v>
      </c>
      <c r="AP65">
        <f t="shared" si="124"/>
        <v>0</v>
      </c>
      <c r="AQ65">
        <f t="shared" si="125"/>
        <v>0</v>
      </c>
      <c r="AR65">
        <f t="shared" si="126"/>
        <v>0</v>
      </c>
      <c r="AS65">
        <f t="shared" si="127"/>
        <v>0</v>
      </c>
      <c r="AT65">
        <f t="shared" si="128"/>
        <v>0</v>
      </c>
      <c r="AU65">
        <f t="shared" si="129"/>
        <v>0</v>
      </c>
      <c r="AV65">
        <f t="shared" si="130"/>
        <v>0</v>
      </c>
      <c r="AW65" s="23">
        <f t="shared" si="131"/>
        <v>4</v>
      </c>
      <c r="AX65" s="24">
        <f t="shared" si="133"/>
        <v>127</v>
      </c>
      <c r="AY65" s="121" t="str">
        <f t="shared" si="134"/>
        <v>VICKIE</v>
      </c>
      <c r="AZ65" s="124" t="str">
        <f t="shared" si="135"/>
        <v>HABOOBS</v>
      </c>
      <c r="BA65" s="243">
        <v>3</v>
      </c>
      <c r="BB65" s="198">
        <v>5</v>
      </c>
      <c r="BC65" s="244" t="s">
        <v>283</v>
      </c>
      <c r="BD65" s="24"/>
      <c r="BE65" s="23"/>
      <c r="BF65" s="203"/>
      <c r="BG65" s="204"/>
    </row>
    <row r="66" spans="1:59">
      <c r="A66" s="19">
        <f>B!B215</f>
        <v>0</v>
      </c>
      <c r="B66" s="20">
        <f>'C'!B62</f>
        <v>0</v>
      </c>
      <c r="C66" s="20">
        <f>D!B62</f>
        <v>0</v>
      </c>
      <c r="D66" s="20">
        <f>E!B62</f>
        <v>0</v>
      </c>
      <c r="E66" s="20">
        <f>F!B62</f>
        <v>0</v>
      </c>
      <c r="F66" s="20">
        <f>G!B62</f>
        <v>0</v>
      </c>
      <c r="G66" s="20">
        <f>H!B62</f>
        <v>0</v>
      </c>
      <c r="H66" s="20">
        <f>I!B62</f>
        <v>0</v>
      </c>
      <c r="I66" s="20">
        <f>J!B62</f>
        <v>0</v>
      </c>
      <c r="J66" s="20">
        <f>K!B62</f>
        <v>0</v>
      </c>
      <c r="K66" s="20">
        <f>L!B62</f>
        <v>0</v>
      </c>
      <c r="L66" s="20">
        <f>M!B62</f>
        <v>0</v>
      </c>
      <c r="M66" s="20">
        <f>N!B62</f>
        <v>0</v>
      </c>
      <c r="N66" s="20">
        <f>O!B62</f>
        <v>0</v>
      </c>
      <c r="O66" s="20">
        <f>P!B62</f>
        <v>0</v>
      </c>
      <c r="P66" s="20">
        <f>Q!B62</f>
        <v>0</v>
      </c>
      <c r="Q66" s="20">
        <f>'R'!B62</f>
        <v>0</v>
      </c>
      <c r="R66" s="20">
        <f>S!B62</f>
        <v>0</v>
      </c>
      <c r="S66" s="20">
        <f>T!B62</f>
        <v>0</v>
      </c>
      <c r="T66" s="20">
        <f>U!B62</f>
        <v>0</v>
      </c>
      <c r="U66" s="20">
        <f>V!B62</f>
        <v>0</v>
      </c>
      <c r="V66" s="20">
        <f>W!B62</f>
        <v>0</v>
      </c>
      <c r="W66" s="20">
        <f>X!B62</f>
        <v>0</v>
      </c>
      <c r="X66" s="21">
        <f t="shared" si="108"/>
        <v>0</v>
      </c>
      <c r="Y66" s="22">
        <f t="shared" si="132"/>
        <v>0</v>
      </c>
      <c r="Z66" s="122">
        <f t="shared" si="46"/>
        <v>0</v>
      </c>
      <c r="AA66" s="17">
        <f t="shared" si="109"/>
        <v>0</v>
      </c>
      <c r="AB66">
        <f t="shared" si="110"/>
        <v>0</v>
      </c>
      <c r="AC66">
        <f t="shared" si="111"/>
        <v>0</v>
      </c>
      <c r="AD66">
        <f t="shared" si="112"/>
        <v>0</v>
      </c>
      <c r="AE66">
        <f t="shared" si="113"/>
        <v>0</v>
      </c>
      <c r="AF66">
        <f t="shared" si="114"/>
        <v>0</v>
      </c>
      <c r="AG66">
        <f t="shared" si="115"/>
        <v>0</v>
      </c>
      <c r="AH66">
        <f t="shared" si="116"/>
        <v>0</v>
      </c>
      <c r="AI66">
        <f t="shared" si="117"/>
        <v>0</v>
      </c>
      <c r="AJ66">
        <f t="shared" si="118"/>
        <v>0</v>
      </c>
      <c r="AK66">
        <f t="shared" si="119"/>
        <v>0</v>
      </c>
      <c r="AL66">
        <f t="shared" si="120"/>
        <v>0</v>
      </c>
      <c r="AM66">
        <f t="shared" si="121"/>
        <v>0</v>
      </c>
      <c r="AN66">
        <f t="shared" si="122"/>
        <v>0</v>
      </c>
      <c r="AO66">
        <f t="shared" si="123"/>
        <v>0</v>
      </c>
      <c r="AP66">
        <f t="shared" si="124"/>
        <v>0</v>
      </c>
      <c r="AQ66">
        <f t="shared" si="125"/>
        <v>0</v>
      </c>
      <c r="AR66">
        <f t="shared" si="126"/>
        <v>0</v>
      </c>
      <c r="AS66">
        <f t="shared" si="127"/>
        <v>0</v>
      </c>
      <c r="AT66">
        <f t="shared" si="128"/>
        <v>0</v>
      </c>
      <c r="AU66">
        <f t="shared" si="129"/>
        <v>0</v>
      </c>
      <c r="AV66">
        <f t="shared" si="130"/>
        <v>0</v>
      </c>
      <c r="AW66" s="23">
        <f t="shared" si="131"/>
        <v>0</v>
      </c>
      <c r="AX66" s="24">
        <f t="shared" si="133"/>
        <v>0</v>
      </c>
      <c r="AY66" s="121">
        <f t="shared" si="134"/>
        <v>0</v>
      </c>
      <c r="AZ66" s="124">
        <f t="shared" si="135"/>
        <v>0</v>
      </c>
      <c r="BA66" s="197">
        <v>0</v>
      </c>
      <c r="BB66" s="198">
        <v>0</v>
      </c>
      <c r="BC66" s="198">
        <v>0</v>
      </c>
      <c r="BD66" s="24"/>
      <c r="BE66" s="23"/>
      <c r="BF66" s="203"/>
      <c r="BG66" s="204"/>
    </row>
    <row r="67" spans="1:59">
      <c r="A67" s="19">
        <f>B!B220</f>
        <v>0</v>
      </c>
      <c r="B67" s="20">
        <f>'C'!B63</f>
        <v>0</v>
      </c>
      <c r="C67" s="20">
        <f>D!B63</f>
        <v>0</v>
      </c>
      <c r="D67" s="20">
        <f>E!B63</f>
        <v>0</v>
      </c>
      <c r="E67" s="20">
        <f>F!B63</f>
        <v>0</v>
      </c>
      <c r="F67" s="20">
        <f>G!B63</f>
        <v>0</v>
      </c>
      <c r="G67" s="20">
        <f>H!B63</f>
        <v>0</v>
      </c>
      <c r="H67" s="20">
        <f>I!B63</f>
        <v>0</v>
      </c>
      <c r="I67" s="20">
        <f>J!B63</f>
        <v>0</v>
      </c>
      <c r="J67" s="20">
        <f>K!B63</f>
        <v>0</v>
      </c>
      <c r="K67" s="20">
        <f>L!B63</f>
        <v>0</v>
      </c>
      <c r="L67" s="20">
        <f>M!B63</f>
        <v>0</v>
      </c>
      <c r="M67" s="20">
        <f>N!B63</f>
        <v>0</v>
      </c>
      <c r="N67" s="20">
        <f>O!B63</f>
        <v>0</v>
      </c>
      <c r="O67" s="20">
        <f>P!B63</f>
        <v>0</v>
      </c>
      <c r="P67" s="20">
        <f>Q!B63</f>
        <v>0</v>
      </c>
      <c r="Q67" s="20">
        <f>'R'!B63</f>
        <v>0</v>
      </c>
      <c r="R67" s="20">
        <f>S!B63</f>
        <v>0</v>
      </c>
      <c r="S67" s="20">
        <f>T!B63</f>
        <v>0</v>
      </c>
      <c r="T67" s="20">
        <f>U!B63</f>
        <v>0</v>
      </c>
      <c r="U67" s="20">
        <f>V!B63</f>
        <v>0</v>
      </c>
      <c r="V67" s="20">
        <f>W!B63</f>
        <v>0</v>
      </c>
      <c r="W67" s="20">
        <f>X!B63</f>
        <v>0</v>
      </c>
      <c r="X67" s="21">
        <f t="shared" si="108"/>
        <v>0</v>
      </c>
      <c r="Y67" s="22">
        <f t="shared" si="132"/>
        <v>0</v>
      </c>
      <c r="Z67" s="122">
        <f t="shared" si="46"/>
        <v>0</v>
      </c>
      <c r="AA67" s="17">
        <f t="shared" si="109"/>
        <v>0</v>
      </c>
      <c r="AB67">
        <f t="shared" si="110"/>
        <v>0</v>
      </c>
      <c r="AC67">
        <f t="shared" si="111"/>
        <v>0</v>
      </c>
      <c r="AD67">
        <f t="shared" si="112"/>
        <v>0</v>
      </c>
      <c r="AE67">
        <f t="shared" si="113"/>
        <v>0</v>
      </c>
      <c r="AF67">
        <f t="shared" si="114"/>
        <v>0</v>
      </c>
      <c r="AG67">
        <f t="shared" si="115"/>
        <v>0</v>
      </c>
      <c r="AH67">
        <f t="shared" si="116"/>
        <v>0</v>
      </c>
      <c r="AI67">
        <f t="shared" si="117"/>
        <v>0</v>
      </c>
      <c r="AJ67">
        <f t="shared" si="118"/>
        <v>0</v>
      </c>
      <c r="AK67">
        <f t="shared" si="119"/>
        <v>0</v>
      </c>
      <c r="AL67">
        <f t="shared" si="120"/>
        <v>0</v>
      </c>
      <c r="AM67">
        <f t="shared" si="121"/>
        <v>0</v>
      </c>
      <c r="AN67">
        <f t="shared" si="122"/>
        <v>0</v>
      </c>
      <c r="AO67">
        <f t="shared" si="123"/>
        <v>0</v>
      </c>
      <c r="AP67">
        <f t="shared" si="124"/>
        <v>0</v>
      </c>
      <c r="AQ67">
        <f t="shared" si="125"/>
        <v>0</v>
      </c>
      <c r="AR67">
        <f t="shared" si="126"/>
        <v>0</v>
      </c>
      <c r="AS67">
        <f t="shared" si="127"/>
        <v>0</v>
      </c>
      <c r="AT67">
        <f t="shared" si="128"/>
        <v>0</v>
      </c>
      <c r="AU67">
        <f t="shared" si="129"/>
        <v>0</v>
      </c>
      <c r="AV67">
        <f t="shared" si="130"/>
        <v>0</v>
      </c>
      <c r="AW67" s="23">
        <f t="shared" si="131"/>
        <v>0</v>
      </c>
      <c r="AX67" s="24">
        <f t="shared" si="133"/>
        <v>0</v>
      </c>
      <c r="AY67" s="121">
        <f t="shared" si="134"/>
        <v>0</v>
      </c>
      <c r="AZ67" s="124">
        <f t="shared" si="135"/>
        <v>0</v>
      </c>
      <c r="BA67" s="197">
        <v>0</v>
      </c>
      <c r="BB67" s="198">
        <v>0</v>
      </c>
      <c r="BC67" s="198">
        <v>0</v>
      </c>
      <c r="BD67" s="24"/>
      <c r="BE67" s="23"/>
      <c r="BF67" s="203"/>
      <c r="BG67" s="204"/>
    </row>
    <row r="68" spans="1:59" ht="15.75" thickBot="1">
      <c r="A68" s="17">
        <f>B!B225</f>
        <v>0</v>
      </c>
      <c r="B68" s="20">
        <f>'C'!B64</f>
        <v>0</v>
      </c>
      <c r="C68" s="20">
        <f>D!B64</f>
        <v>0</v>
      </c>
      <c r="D68" s="20">
        <f>E!B64</f>
        <v>0</v>
      </c>
      <c r="E68" s="20">
        <f>F!B64</f>
        <v>0</v>
      </c>
      <c r="F68" s="20">
        <f>G!B64</f>
        <v>0</v>
      </c>
      <c r="G68" s="20">
        <f>H!B64</f>
        <v>0</v>
      </c>
      <c r="H68" s="20">
        <f>I!B64</f>
        <v>0</v>
      </c>
      <c r="I68" s="20">
        <f>J!B64</f>
        <v>0</v>
      </c>
      <c r="J68" s="20">
        <f>K!B64</f>
        <v>0</v>
      </c>
      <c r="K68" s="20">
        <f>L!B64</f>
        <v>0</v>
      </c>
      <c r="L68" s="20">
        <f>M!B64</f>
        <v>0</v>
      </c>
      <c r="M68" s="20">
        <f>N!B64</f>
        <v>0</v>
      </c>
      <c r="N68" s="20">
        <f>O!B64</f>
        <v>0</v>
      </c>
      <c r="O68" s="20">
        <f>P!B64</f>
        <v>0</v>
      </c>
      <c r="P68" s="20">
        <f>Q!B64</f>
        <v>0</v>
      </c>
      <c r="Q68" s="20">
        <f>'R'!B64</f>
        <v>0</v>
      </c>
      <c r="R68" s="20">
        <f>S!B64</f>
        <v>0</v>
      </c>
      <c r="S68" s="20">
        <f>T!B64</f>
        <v>0</v>
      </c>
      <c r="T68" s="20">
        <f>U!B64</f>
        <v>0</v>
      </c>
      <c r="U68" s="20">
        <f>V!B64</f>
        <v>0</v>
      </c>
      <c r="V68" s="20">
        <f>W!B64</f>
        <v>0</v>
      </c>
      <c r="W68" s="20">
        <f>X!B64</f>
        <v>0</v>
      </c>
      <c r="X68" s="21">
        <f t="shared" si="108"/>
        <v>0</v>
      </c>
      <c r="Y68" s="22">
        <f t="shared" si="132"/>
        <v>0</v>
      </c>
      <c r="Z68" s="122">
        <f t="shared" si="46"/>
        <v>0</v>
      </c>
      <c r="AA68" s="17">
        <f t="shared" si="109"/>
        <v>0</v>
      </c>
      <c r="AB68">
        <f t="shared" si="110"/>
        <v>0</v>
      </c>
      <c r="AC68">
        <f t="shared" si="111"/>
        <v>0</v>
      </c>
      <c r="AD68">
        <f t="shared" si="112"/>
        <v>0</v>
      </c>
      <c r="AE68">
        <f t="shared" si="113"/>
        <v>0</v>
      </c>
      <c r="AF68">
        <f t="shared" si="114"/>
        <v>0</v>
      </c>
      <c r="AG68">
        <f t="shared" si="115"/>
        <v>0</v>
      </c>
      <c r="AH68">
        <f t="shared" si="116"/>
        <v>0</v>
      </c>
      <c r="AI68">
        <f t="shared" si="117"/>
        <v>0</v>
      </c>
      <c r="AJ68">
        <f t="shared" si="118"/>
        <v>0</v>
      </c>
      <c r="AK68">
        <f t="shared" si="119"/>
        <v>0</v>
      </c>
      <c r="AL68">
        <f t="shared" si="120"/>
        <v>0</v>
      </c>
      <c r="AM68">
        <f t="shared" si="121"/>
        <v>0</v>
      </c>
      <c r="AN68">
        <f t="shared" si="122"/>
        <v>0</v>
      </c>
      <c r="AO68">
        <f t="shared" si="123"/>
        <v>0</v>
      </c>
      <c r="AP68">
        <f t="shared" si="124"/>
        <v>0</v>
      </c>
      <c r="AQ68">
        <f t="shared" si="125"/>
        <v>0</v>
      </c>
      <c r="AR68">
        <f t="shared" si="126"/>
        <v>0</v>
      </c>
      <c r="AS68">
        <f t="shared" si="127"/>
        <v>0</v>
      </c>
      <c r="AT68">
        <f t="shared" si="128"/>
        <v>0</v>
      </c>
      <c r="AU68">
        <f t="shared" si="129"/>
        <v>0</v>
      </c>
      <c r="AV68">
        <f t="shared" si="130"/>
        <v>0</v>
      </c>
      <c r="AW68" s="23">
        <f t="shared" si="131"/>
        <v>0</v>
      </c>
      <c r="AX68" s="24">
        <f t="shared" si="133"/>
        <v>0</v>
      </c>
      <c r="AY68" s="121">
        <f t="shared" si="134"/>
        <v>0</v>
      </c>
      <c r="AZ68" s="124">
        <f t="shared" si="135"/>
        <v>0</v>
      </c>
      <c r="BA68" s="197">
        <v>0</v>
      </c>
      <c r="BB68" s="198">
        <v>0</v>
      </c>
      <c r="BC68" s="198">
        <v>0</v>
      </c>
      <c r="BD68" s="24"/>
      <c r="BE68" s="23"/>
      <c r="BF68" s="203"/>
      <c r="BG68" s="204"/>
    </row>
    <row r="69" spans="1:59" ht="15.75" thickTop="1">
      <c r="A69" s="133" t="s">
        <v>134</v>
      </c>
      <c r="B69" s="134">
        <f t="shared" ref="B69:W69" si="136">SUM(B61:B68)</f>
        <v>194</v>
      </c>
      <c r="C69" s="134">
        <f t="shared" si="136"/>
        <v>205</v>
      </c>
      <c r="D69" s="134">
        <f t="shared" si="136"/>
        <v>211</v>
      </c>
      <c r="E69" s="134">
        <f t="shared" si="136"/>
        <v>172</v>
      </c>
      <c r="F69" s="134">
        <f t="shared" si="136"/>
        <v>0</v>
      </c>
      <c r="G69" s="134">
        <f t="shared" si="136"/>
        <v>0</v>
      </c>
      <c r="H69" s="134">
        <f t="shared" si="136"/>
        <v>0</v>
      </c>
      <c r="I69" s="134">
        <f t="shared" si="136"/>
        <v>0</v>
      </c>
      <c r="J69" s="134">
        <f t="shared" si="136"/>
        <v>0</v>
      </c>
      <c r="K69" s="134">
        <f t="shared" si="136"/>
        <v>0</v>
      </c>
      <c r="L69" s="134">
        <f t="shared" si="136"/>
        <v>0</v>
      </c>
      <c r="M69" s="134">
        <f t="shared" si="136"/>
        <v>0</v>
      </c>
      <c r="N69" s="134">
        <f t="shared" si="136"/>
        <v>0</v>
      </c>
      <c r="O69" s="134">
        <f t="shared" si="136"/>
        <v>0</v>
      </c>
      <c r="P69" s="134">
        <f t="shared" si="136"/>
        <v>0</v>
      </c>
      <c r="Q69" s="134">
        <f t="shared" si="136"/>
        <v>0</v>
      </c>
      <c r="R69" s="134">
        <f t="shared" si="136"/>
        <v>0</v>
      </c>
      <c r="S69" s="134">
        <f t="shared" si="136"/>
        <v>0</v>
      </c>
      <c r="T69" s="134">
        <f t="shared" si="136"/>
        <v>0</v>
      </c>
      <c r="U69" s="134">
        <f t="shared" si="136"/>
        <v>0</v>
      </c>
      <c r="V69" s="134">
        <f t="shared" si="136"/>
        <v>0</v>
      </c>
      <c r="W69" s="134">
        <f t="shared" si="136"/>
        <v>0</v>
      </c>
      <c r="X69" s="135">
        <f t="shared" si="108"/>
        <v>782</v>
      </c>
      <c r="Y69" s="137">
        <f>IF(X69=0,0,X69/AW69)</f>
        <v>195.5</v>
      </c>
      <c r="Z69" s="122"/>
      <c r="AA69" s="138">
        <f t="shared" ref="AA69:AV69" si="137">SUM(AA61:AA68)</f>
        <v>5</v>
      </c>
      <c r="AB69" s="11">
        <f t="shared" si="137"/>
        <v>5</v>
      </c>
      <c r="AC69" s="11">
        <f t="shared" si="137"/>
        <v>5</v>
      </c>
      <c r="AD69" s="11">
        <f t="shared" si="137"/>
        <v>5</v>
      </c>
      <c r="AE69" s="11">
        <f t="shared" si="137"/>
        <v>0</v>
      </c>
      <c r="AF69" s="11">
        <f t="shared" si="137"/>
        <v>0</v>
      </c>
      <c r="AG69" s="11">
        <f t="shared" si="137"/>
        <v>0</v>
      </c>
      <c r="AH69" s="11">
        <f t="shared" si="137"/>
        <v>0</v>
      </c>
      <c r="AI69" s="11">
        <f t="shared" si="137"/>
        <v>0</v>
      </c>
      <c r="AJ69" s="11">
        <f t="shared" si="137"/>
        <v>0</v>
      </c>
      <c r="AK69" s="11">
        <f t="shared" si="137"/>
        <v>0</v>
      </c>
      <c r="AL69" s="11">
        <f t="shared" si="137"/>
        <v>0</v>
      </c>
      <c r="AM69" s="11">
        <f t="shared" si="137"/>
        <v>0</v>
      </c>
      <c r="AN69" s="11">
        <f t="shared" si="137"/>
        <v>0</v>
      </c>
      <c r="AO69" s="11">
        <f t="shared" si="137"/>
        <v>0</v>
      </c>
      <c r="AP69" s="11">
        <f t="shared" si="137"/>
        <v>0</v>
      </c>
      <c r="AQ69" s="11">
        <f t="shared" si="137"/>
        <v>0</v>
      </c>
      <c r="AR69" s="11">
        <f t="shared" si="137"/>
        <v>0</v>
      </c>
      <c r="AS69" s="11">
        <f t="shared" si="137"/>
        <v>0</v>
      </c>
      <c r="AT69" s="11">
        <f t="shared" si="137"/>
        <v>0</v>
      </c>
      <c r="AU69" s="11">
        <f t="shared" si="137"/>
        <v>0</v>
      </c>
      <c r="AV69" s="11">
        <f t="shared" si="137"/>
        <v>0</v>
      </c>
      <c r="AW69" s="12">
        <f>MAXA(AW61:AW68)</f>
        <v>4</v>
      </c>
      <c r="AX69" s="24"/>
      <c r="AZ69" s="124"/>
      <c r="BA69" s="197">
        <v>0</v>
      </c>
      <c r="BB69" s="198">
        <v>0</v>
      </c>
      <c r="BC69" s="198">
        <v>0</v>
      </c>
      <c r="BD69" s="24"/>
      <c r="BE69" s="23"/>
      <c r="BF69" s="203"/>
      <c r="BG69" s="204"/>
    </row>
    <row r="70" spans="1:59" ht="16.5" thickBot="1">
      <c r="A70" s="105" t="s">
        <v>189</v>
      </c>
      <c r="B70" s="20">
        <f>'C'!B65</f>
        <v>0</v>
      </c>
      <c r="C70" s="20">
        <f>D!B65</f>
        <v>7.2</v>
      </c>
      <c r="D70" s="20">
        <f>E!B65</f>
        <v>0</v>
      </c>
      <c r="E70" s="20">
        <f>F!B65</f>
        <v>0</v>
      </c>
      <c r="F70" s="20">
        <f>G!B65</f>
        <v>0</v>
      </c>
      <c r="G70" s="20">
        <f>H!B65</f>
        <v>0</v>
      </c>
      <c r="H70" s="20">
        <f>I!B65</f>
        <v>0</v>
      </c>
      <c r="I70" s="20">
        <f>J!B65</f>
        <v>0</v>
      </c>
      <c r="J70" s="20">
        <f>K!B65</f>
        <v>0</v>
      </c>
      <c r="K70" s="20">
        <f>L!B65</f>
        <v>0</v>
      </c>
      <c r="L70" s="20">
        <f>M!B65</f>
        <v>0</v>
      </c>
      <c r="M70" s="20">
        <f>N!B65</f>
        <v>0</v>
      </c>
      <c r="N70" s="20">
        <f>O!B65</f>
        <v>0</v>
      </c>
      <c r="O70" s="20">
        <f>P!B65</f>
        <v>0</v>
      </c>
      <c r="P70" s="20">
        <f>Q!B65</f>
        <v>0</v>
      </c>
      <c r="Q70" s="20">
        <f>'R'!B65</f>
        <v>0</v>
      </c>
      <c r="R70" s="20">
        <f>S!B65</f>
        <v>0</v>
      </c>
      <c r="S70" s="20">
        <f>T!B65</f>
        <v>0</v>
      </c>
      <c r="T70" s="20">
        <f>U!B65</f>
        <v>0</v>
      </c>
      <c r="U70" s="20">
        <f>V!B65</f>
        <v>0</v>
      </c>
      <c r="V70" s="20">
        <f>W!B65</f>
        <v>0</v>
      </c>
      <c r="W70" s="20">
        <f>X!B65</f>
        <v>0</v>
      </c>
      <c r="X70" s="21">
        <f t="shared" si="108"/>
        <v>7.2</v>
      </c>
      <c r="Y70" s="120"/>
      <c r="Z70" s="122"/>
      <c r="AA70" s="17"/>
      <c r="AW70" s="23"/>
      <c r="AX70" s="24"/>
      <c r="AZ70" s="124"/>
      <c r="BA70" s="197">
        <v>0</v>
      </c>
      <c r="BB70" s="198">
        <v>0</v>
      </c>
      <c r="BC70" s="198">
        <v>0</v>
      </c>
      <c r="BD70" s="24"/>
      <c r="BE70" s="23"/>
      <c r="BF70" s="203"/>
      <c r="BG70" s="204"/>
    </row>
    <row r="71" spans="1:59" ht="16.5" thickTop="1" thickBot="1">
      <c r="A71" s="100" t="s">
        <v>53</v>
      </c>
      <c r="B71" s="68">
        <f t="shared" ref="B71:W71" si="138">SUM(B69:B70)</f>
        <v>194</v>
      </c>
      <c r="C71" s="68">
        <f t="shared" si="138"/>
        <v>212.2</v>
      </c>
      <c r="D71" s="68">
        <f t="shared" si="138"/>
        <v>211</v>
      </c>
      <c r="E71" s="68">
        <f t="shared" si="138"/>
        <v>172</v>
      </c>
      <c r="F71" s="68">
        <f t="shared" si="138"/>
        <v>0</v>
      </c>
      <c r="G71" s="68">
        <f t="shared" si="138"/>
        <v>0</v>
      </c>
      <c r="H71" s="68">
        <f t="shared" si="138"/>
        <v>0</v>
      </c>
      <c r="I71" s="68">
        <f t="shared" si="138"/>
        <v>0</v>
      </c>
      <c r="J71" s="68">
        <f t="shared" si="138"/>
        <v>0</v>
      </c>
      <c r="K71" s="68">
        <f t="shared" si="138"/>
        <v>0</v>
      </c>
      <c r="L71" s="68">
        <f t="shared" si="138"/>
        <v>0</v>
      </c>
      <c r="M71" s="68">
        <f t="shared" si="138"/>
        <v>0</v>
      </c>
      <c r="N71" s="68">
        <f t="shared" si="138"/>
        <v>0</v>
      </c>
      <c r="O71" s="68">
        <f t="shared" si="138"/>
        <v>0</v>
      </c>
      <c r="P71" s="68">
        <f t="shared" si="138"/>
        <v>0</v>
      </c>
      <c r="Q71" s="68">
        <f t="shared" si="138"/>
        <v>0</v>
      </c>
      <c r="R71" s="68">
        <f t="shared" si="138"/>
        <v>0</v>
      </c>
      <c r="S71" s="68">
        <f t="shared" si="138"/>
        <v>0</v>
      </c>
      <c r="T71" s="68">
        <f t="shared" si="138"/>
        <v>0</v>
      </c>
      <c r="U71" s="68">
        <f t="shared" si="138"/>
        <v>0</v>
      </c>
      <c r="V71" s="68">
        <f t="shared" si="138"/>
        <v>0</v>
      </c>
      <c r="W71" s="68">
        <f t="shared" si="138"/>
        <v>0</v>
      </c>
      <c r="X71" s="28">
        <f t="shared" si="108"/>
        <v>789.2</v>
      </c>
      <c r="Y71" s="136"/>
      <c r="Z71" s="122"/>
      <c r="AA71" s="17"/>
      <c r="AW71" s="23"/>
      <c r="AX71" s="24"/>
      <c r="AZ71" s="124"/>
      <c r="BA71" s="197">
        <v>0</v>
      </c>
      <c r="BB71" s="198">
        <v>0</v>
      </c>
      <c r="BC71" s="198">
        <v>0</v>
      </c>
      <c r="BD71" s="24">
        <f>X71</f>
        <v>789.2</v>
      </c>
      <c r="BE71" s="23" t="str">
        <f>A60</f>
        <v>HABOOBS</v>
      </c>
      <c r="BF71" s="203"/>
      <c r="BG71" s="204"/>
    </row>
    <row r="72" spans="1:59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22"/>
      <c r="AA72" s="17"/>
      <c r="AW72" s="23"/>
      <c r="AX72" s="24"/>
      <c r="AZ72" s="124"/>
      <c r="BA72" s="197">
        <v>0</v>
      </c>
      <c r="BB72" s="198">
        <v>0</v>
      </c>
      <c r="BC72" s="198">
        <v>0</v>
      </c>
      <c r="BD72" s="24"/>
      <c r="BE72" s="23"/>
      <c r="BF72" s="203"/>
      <c r="BG72" s="204"/>
    </row>
    <row r="73" spans="1:59" ht="15.75" thickBot="1">
      <c r="A73" s="7" t="s">
        <v>58</v>
      </c>
      <c r="B73" s="8" t="s">
        <v>27</v>
      </c>
      <c r="C73" s="8" t="s">
        <v>28</v>
      </c>
      <c r="D73" s="8" t="s">
        <v>29</v>
      </c>
      <c r="E73" s="8" t="s">
        <v>30</v>
      </c>
      <c r="F73" s="8" t="s">
        <v>31</v>
      </c>
      <c r="G73" s="8" t="s">
        <v>32</v>
      </c>
      <c r="H73" s="8" t="s">
        <v>33</v>
      </c>
      <c r="I73" s="8" t="s">
        <v>34</v>
      </c>
      <c r="J73" s="8" t="s">
        <v>35</v>
      </c>
      <c r="K73" s="8" t="s">
        <v>36</v>
      </c>
      <c r="L73" s="8" t="s">
        <v>37</v>
      </c>
      <c r="M73" s="8" t="s">
        <v>38</v>
      </c>
      <c r="N73" s="8" t="s">
        <v>39</v>
      </c>
      <c r="O73" s="8" t="s">
        <v>40</v>
      </c>
      <c r="P73" s="8" t="s">
        <v>41</v>
      </c>
      <c r="Q73" s="8" t="s">
        <v>42</v>
      </c>
      <c r="R73" s="8" t="s">
        <v>43</v>
      </c>
      <c r="S73" s="8" t="s">
        <v>44</v>
      </c>
      <c r="T73" s="8" t="s">
        <v>45</v>
      </c>
      <c r="U73" s="8" t="s">
        <v>46</v>
      </c>
      <c r="V73" s="8" t="s">
        <v>47</v>
      </c>
      <c r="W73" s="8" t="s">
        <v>48</v>
      </c>
      <c r="X73" s="1"/>
      <c r="Y73" s="1"/>
      <c r="Z73" s="3" t="str">
        <f>A73</f>
        <v>Team #6 Name:</v>
      </c>
      <c r="AA73" s="17"/>
      <c r="AW73" s="23"/>
      <c r="AX73" s="24"/>
      <c r="AZ73" s="124"/>
      <c r="BA73" s="197">
        <v>0</v>
      </c>
      <c r="BB73" s="198">
        <v>0</v>
      </c>
      <c r="BC73" s="198">
        <v>0</v>
      </c>
      <c r="BD73" s="24"/>
      <c r="BE73" s="23"/>
      <c r="BF73" s="203"/>
      <c r="BG73" s="204"/>
    </row>
    <row r="74" spans="1:59">
      <c r="A74" s="13" t="str">
        <f>B!B231</f>
        <v>FFFFF TO THE 1OTH POWER</v>
      </c>
      <c r="B74" s="29" t="s">
        <v>50</v>
      </c>
      <c r="C74" s="29" t="s">
        <v>50</v>
      </c>
      <c r="D74" s="29" t="s">
        <v>50</v>
      </c>
      <c r="E74" s="29" t="s">
        <v>50</v>
      </c>
      <c r="F74" s="29" t="s">
        <v>50</v>
      </c>
      <c r="G74" s="29" t="s">
        <v>50</v>
      </c>
      <c r="H74" s="29" t="s">
        <v>50</v>
      </c>
      <c r="I74" s="29" t="s">
        <v>50</v>
      </c>
      <c r="J74" s="29" t="s">
        <v>50</v>
      </c>
      <c r="K74" s="29" t="s">
        <v>50</v>
      </c>
      <c r="L74" s="29" t="s">
        <v>50</v>
      </c>
      <c r="M74" s="29" t="s">
        <v>50</v>
      </c>
      <c r="N74" s="29" t="s">
        <v>50</v>
      </c>
      <c r="O74" s="29" t="s">
        <v>50</v>
      </c>
      <c r="P74" s="29" t="s">
        <v>50</v>
      </c>
      <c r="Q74" s="29" t="s">
        <v>50</v>
      </c>
      <c r="R74" s="29" t="s">
        <v>50</v>
      </c>
      <c r="S74" s="29" t="s">
        <v>50</v>
      </c>
      <c r="T74" s="29" t="s">
        <v>50</v>
      </c>
      <c r="U74" s="29" t="s">
        <v>50</v>
      </c>
      <c r="V74" s="29" t="s">
        <v>50</v>
      </c>
      <c r="W74" s="29" t="s">
        <v>50</v>
      </c>
      <c r="X74" s="15" t="s">
        <v>51</v>
      </c>
      <c r="Y74" s="16" t="s">
        <v>52</v>
      </c>
      <c r="Z74" s="123" t="str">
        <f>A74</f>
        <v>FFFFF TO THE 1OTH POWER</v>
      </c>
      <c r="AA74" s="17"/>
      <c r="AW74" s="4" t="s">
        <v>97</v>
      </c>
      <c r="AX74" s="24"/>
      <c r="AZ74" s="124"/>
      <c r="BA74" s="197">
        <v>0</v>
      </c>
      <c r="BB74" s="198">
        <v>0</v>
      </c>
      <c r="BC74" s="198">
        <v>0</v>
      </c>
      <c r="BD74" s="24"/>
      <c r="BE74" s="23"/>
      <c r="BF74" s="203"/>
      <c r="BG74" s="204"/>
    </row>
    <row r="75" spans="1:59">
      <c r="A75" s="19" t="str">
        <f>B!B233</f>
        <v>RICHARD</v>
      </c>
      <c r="B75" s="20">
        <f>'C'!B70</f>
        <v>34</v>
      </c>
      <c r="C75" s="20">
        <f>D!B70</f>
        <v>43</v>
      </c>
      <c r="D75" s="20">
        <f>E!B70</f>
        <v>37</v>
      </c>
      <c r="E75" s="20">
        <f>F!B70</f>
        <v>35</v>
      </c>
      <c r="F75" s="20">
        <f>G!B70</f>
        <v>0</v>
      </c>
      <c r="G75" s="20">
        <f>H!B70</f>
        <v>0</v>
      </c>
      <c r="H75" s="20">
        <f>I!B70</f>
        <v>0</v>
      </c>
      <c r="I75" s="20">
        <f>J!B70</f>
        <v>0</v>
      </c>
      <c r="J75" s="20">
        <f>K!B70</f>
        <v>0</v>
      </c>
      <c r="K75" s="20">
        <f>L!B70</f>
        <v>0</v>
      </c>
      <c r="L75" s="20">
        <f>M!B70</f>
        <v>0</v>
      </c>
      <c r="M75" s="20">
        <f>N!B70</f>
        <v>0</v>
      </c>
      <c r="N75" s="20">
        <f>O!B70</f>
        <v>0</v>
      </c>
      <c r="O75" s="20">
        <f>P!B70</f>
        <v>0</v>
      </c>
      <c r="P75" s="20">
        <f>Q!B70</f>
        <v>0</v>
      </c>
      <c r="Q75" s="20">
        <f>'R'!B70</f>
        <v>0</v>
      </c>
      <c r="R75" s="20">
        <f>S!B70</f>
        <v>0</v>
      </c>
      <c r="S75" s="20">
        <f>T!B70</f>
        <v>0</v>
      </c>
      <c r="T75" s="20">
        <f>U!B70</f>
        <v>0</v>
      </c>
      <c r="U75" s="20">
        <f>V!B70</f>
        <v>0</v>
      </c>
      <c r="V75" s="20">
        <f>W!B70</f>
        <v>0</v>
      </c>
      <c r="W75" s="20">
        <f>X!B70</f>
        <v>0</v>
      </c>
      <c r="X75" s="21">
        <f t="shared" ref="X75:X85" si="139">SUM(B75:W75)</f>
        <v>149</v>
      </c>
      <c r="Y75" s="22">
        <f>IF(AW75=0,0,X75/AW75)</f>
        <v>37.25</v>
      </c>
      <c r="Z75" s="122" t="str">
        <f t="shared" si="46"/>
        <v>RICHARD</v>
      </c>
      <c r="AA75" s="17">
        <f t="shared" ref="AA75:AA82" si="140">IF(B75=0,0,1)</f>
        <v>1</v>
      </c>
      <c r="AB75">
        <f t="shared" ref="AB75:AB82" si="141">IF(C75=0,0,1)</f>
        <v>1</v>
      </c>
      <c r="AC75">
        <f t="shared" ref="AC75:AC82" si="142">IF(D75=0,0,1)</f>
        <v>1</v>
      </c>
      <c r="AD75">
        <f t="shared" ref="AD75:AD82" si="143">IF(E75=0,0,1)</f>
        <v>1</v>
      </c>
      <c r="AE75">
        <f t="shared" ref="AE75:AE82" si="144">IF(F75=0,0,1)</f>
        <v>0</v>
      </c>
      <c r="AF75">
        <f t="shared" ref="AF75:AF82" si="145">IF(G75=0,0,1)</f>
        <v>0</v>
      </c>
      <c r="AG75">
        <f t="shared" ref="AG75:AG82" si="146">IF(H75=0,0,1)</f>
        <v>0</v>
      </c>
      <c r="AH75">
        <f t="shared" ref="AH75:AH82" si="147">IF(I75=0,0,1)</f>
        <v>0</v>
      </c>
      <c r="AI75">
        <f t="shared" ref="AI75:AI82" si="148">IF(J75=0,0,1)</f>
        <v>0</v>
      </c>
      <c r="AJ75">
        <f t="shared" ref="AJ75:AJ82" si="149">IF(K75=0,0,1)</f>
        <v>0</v>
      </c>
      <c r="AK75">
        <f t="shared" ref="AK75:AK82" si="150">IF(L75=0,0,1)</f>
        <v>0</v>
      </c>
      <c r="AL75">
        <f t="shared" ref="AL75:AL82" si="151">IF(M75=0,0,1)</f>
        <v>0</v>
      </c>
      <c r="AM75">
        <f t="shared" ref="AM75:AM82" si="152">IF(N75=0,0,1)</f>
        <v>0</v>
      </c>
      <c r="AN75">
        <f t="shared" ref="AN75:AN82" si="153">IF(O75=0,0,1)</f>
        <v>0</v>
      </c>
      <c r="AO75">
        <f t="shared" ref="AO75:AO82" si="154">IF(P75=0,0,1)</f>
        <v>0</v>
      </c>
      <c r="AP75">
        <f t="shared" ref="AP75:AP82" si="155">IF(Q75=0,0,1)</f>
        <v>0</v>
      </c>
      <c r="AQ75">
        <f t="shared" ref="AQ75:AQ82" si="156">IF(R75=0,0,1)</f>
        <v>0</v>
      </c>
      <c r="AR75">
        <f t="shared" ref="AR75:AR82" si="157">IF(S75=0,0,1)</f>
        <v>0</v>
      </c>
      <c r="AS75">
        <f t="shared" ref="AS75:AS82" si="158">IF(T75=0,0,1)</f>
        <v>0</v>
      </c>
      <c r="AT75">
        <f t="shared" ref="AT75:AT82" si="159">IF(U75=0,0,1)</f>
        <v>0</v>
      </c>
      <c r="AU75">
        <f t="shared" ref="AU75:AU82" si="160">IF(V75=0,0,1)</f>
        <v>0</v>
      </c>
      <c r="AV75">
        <f t="shared" ref="AV75:AV82" si="161">IF(W75=0,0,1)</f>
        <v>0</v>
      </c>
      <c r="AW75" s="23">
        <f t="shared" ref="AW75:AW82" si="162">SUM(AA75:AV75)</f>
        <v>4</v>
      </c>
      <c r="AX75" s="24">
        <f>IF(X75=0,0,X75)</f>
        <v>149</v>
      </c>
      <c r="AY75" s="121" t="str">
        <f>IF(X75=0,0,A75)</f>
        <v>RICHARD</v>
      </c>
      <c r="AZ75" s="124" t="str">
        <f>IF(AX75=0,0,A$74)</f>
        <v>FFFFF TO THE 1OTH POWER</v>
      </c>
      <c r="BA75" s="197">
        <v>0</v>
      </c>
      <c r="BB75" s="198">
        <v>0</v>
      </c>
      <c r="BC75" s="198">
        <v>0</v>
      </c>
      <c r="BD75" s="24"/>
      <c r="BE75" s="23"/>
      <c r="BF75" s="203"/>
      <c r="BG75" s="204"/>
    </row>
    <row r="76" spans="1:59">
      <c r="A76" s="19" t="str">
        <f>B!B238</f>
        <v>JUSTIN</v>
      </c>
      <c r="B76" s="20">
        <f>'C'!B71</f>
        <v>39</v>
      </c>
      <c r="C76" s="20">
        <f>D!B71</f>
        <v>50</v>
      </c>
      <c r="D76" s="20">
        <f>E!B71</f>
        <v>35</v>
      </c>
      <c r="E76" s="20">
        <f>F!B71</f>
        <v>37</v>
      </c>
      <c r="F76" s="20">
        <f>G!B71</f>
        <v>0</v>
      </c>
      <c r="G76" s="20">
        <f>H!B71</f>
        <v>0</v>
      </c>
      <c r="H76" s="20">
        <f>I!B71</f>
        <v>0</v>
      </c>
      <c r="I76" s="20">
        <f>J!B71</f>
        <v>0</v>
      </c>
      <c r="J76" s="20">
        <f>K!B71</f>
        <v>0</v>
      </c>
      <c r="K76" s="20">
        <f>L!B71</f>
        <v>0</v>
      </c>
      <c r="L76" s="20">
        <f>M!B71</f>
        <v>0</v>
      </c>
      <c r="M76" s="20">
        <f>N!B71</f>
        <v>0</v>
      </c>
      <c r="N76" s="20">
        <f>O!B71</f>
        <v>0</v>
      </c>
      <c r="O76" s="20">
        <f>P!B71</f>
        <v>0</v>
      </c>
      <c r="P76" s="20">
        <f>Q!B71</f>
        <v>0</v>
      </c>
      <c r="Q76" s="20">
        <f>'R'!B71</f>
        <v>0</v>
      </c>
      <c r="R76" s="20">
        <f>S!B71</f>
        <v>0</v>
      </c>
      <c r="S76" s="20">
        <f>T!B71</f>
        <v>0</v>
      </c>
      <c r="T76" s="20">
        <f>U!B71</f>
        <v>0</v>
      </c>
      <c r="U76" s="20">
        <f>V!B71</f>
        <v>0</v>
      </c>
      <c r="V76" s="20">
        <f>W!B71</f>
        <v>0</v>
      </c>
      <c r="W76" s="20">
        <f>X!B71</f>
        <v>0</v>
      </c>
      <c r="X76" s="21">
        <f t="shared" si="139"/>
        <v>161</v>
      </c>
      <c r="Y76" s="22">
        <f t="shared" ref="Y76:Y82" si="163">IF(AW76=0,0,X76/AW76)</f>
        <v>40.25</v>
      </c>
      <c r="Z76" s="122" t="str">
        <f t="shared" si="46"/>
        <v>JUSTIN</v>
      </c>
      <c r="AA76" s="17">
        <f t="shared" si="140"/>
        <v>1</v>
      </c>
      <c r="AB76">
        <f t="shared" si="141"/>
        <v>1</v>
      </c>
      <c r="AC76">
        <f t="shared" si="142"/>
        <v>1</v>
      </c>
      <c r="AD76">
        <f t="shared" si="143"/>
        <v>1</v>
      </c>
      <c r="AE76">
        <f t="shared" si="144"/>
        <v>0</v>
      </c>
      <c r="AF76">
        <f t="shared" si="145"/>
        <v>0</v>
      </c>
      <c r="AG76">
        <f t="shared" si="146"/>
        <v>0</v>
      </c>
      <c r="AH76">
        <f t="shared" si="147"/>
        <v>0</v>
      </c>
      <c r="AI76">
        <f t="shared" si="148"/>
        <v>0</v>
      </c>
      <c r="AJ76">
        <f t="shared" si="149"/>
        <v>0</v>
      </c>
      <c r="AK76">
        <f t="shared" si="150"/>
        <v>0</v>
      </c>
      <c r="AL76">
        <f t="shared" si="151"/>
        <v>0</v>
      </c>
      <c r="AM76">
        <f t="shared" si="152"/>
        <v>0</v>
      </c>
      <c r="AN76">
        <f t="shared" si="153"/>
        <v>0</v>
      </c>
      <c r="AO76">
        <f t="shared" si="154"/>
        <v>0</v>
      </c>
      <c r="AP76">
        <f t="shared" si="155"/>
        <v>0</v>
      </c>
      <c r="AQ76">
        <f t="shared" si="156"/>
        <v>0</v>
      </c>
      <c r="AR76">
        <f t="shared" si="157"/>
        <v>0</v>
      </c>
      <c r="AS76">
        <f t="shared" si="158"/>
        <v>0</v>
      </c>
      <c r="AT76">
        <f t="shared" si="159"/>
        <v>0</v>
      </c>
      <c r="AU76">
        <f t="shared" si="160"/>
        <v>0</v>
      </c>
      <c r="AV76">
        <f t="shared" si="161"/>
        <v>0</v>
      </c>
      <c r="AW76" s="23">
        <f t="shared" si="162"/>
        <v>4</v>
      </c>
      <c r="AX76" s="24">
        <f t="shared" ref="AX76:AX82" si="164">IF(X76=0,0,X76)</f>
        <v>161</v>
      </c>
      <c r="AY76" s="121" t="str">
        <f t="shared" ref="AY76:AY82" si="165">IF(X76=0,0,A76)</f>
        <v>JUSTIN</v>
      </c>
      <c r="AZ76" s="124" t="str">
        <f t="shared" ref="AZ76:AZ82" si="166">IF(AX76=0,0,A$74)</f>
        <v>FFFFF TO THE 1OTH POWER</v>
      </c>
      <c r="BA76" s="197">
        <v>0</v>
      </c>
      <c r="BB76" s="198">
        <v>0</v>
      </c>
      <c r="BC76" s="198">
        <v>0</v>
      </c>
      <c r="BD76" s="24"/>
      <c r="BE76" s="23"/>
      <c r="BF76" s="203"/>
      <c r="BG76" s="204"/>
    </row>
    <row r="77" spans="1:59">
      <c r="A77" s="19" t="str">
        <f>B!B243</f>
        <v>SANDY</v>
      </c>
      <c r="B77" s="20">
        <f>'C'!B72</f>
        <v>22</v>
      </c>
      <c r="C77" s="20">
        <f>D!B72</f>
        <v>23</v>
      </c>
      <c r="D77" s="20">
        <f>E!B72</f>
        <v>39</v>
      </c>
      <c r="E77" s="20">
        <f>F!B72</f>
        <v>27</v>
      </c>
      <c r="F77" s="20">
        <f>G!B72</f>
        <v>0</v>
      </c>
      <c r="G77" s="20">
        <f>H!B72</f>
        <v>0</v>
      </c>
      <c r="H77" s="20">
        <f>I!B72</f>
        <v>0</v>
      </c>
      <c r="I77" s="20">
        <f>J!B72</f>
        <v>0</v>
      </c>
      <c r="J77" s="20">
        <f>K!B72</f>
        <v>0</v>
      </c>
      <c r="K77" s="20">
        <f>L!B72</f>
        <v>0</v>
      </c>
      <c r="L77" s="20">
        <f>M!B72</f>
        <v>0</v>
      </c>
      <c r="M77" s="20">
        <f>N!B72</f>
        <v>0</v>
      </c>
      <c r="N77" s="20">
        <f>O!B72</f>
        <v>0</v>
      </c>
      <c r="O77" s="20">
        <f>P!B72</f>
        <v>0</v>
      </c>
      <c r="P77" s="20">
        <f>Q!B72</f>
        <v>0</v>
      </c>
      <c r="Q77" s="20">
        <f>'R'!B72</f>
        <v>0</v>
      </c>
      <c r="R77" s="20">
        <f>S!B72</f>
        <v>0</v>
      </c>
      <c r="S77" s="20">
        <f>T!B72</f>
        <v>0</v>
      </c>
      <c r="T77" s="20">
        <f>U!B72</f>
        <v>0</v>
      </c>
      <c r="U77" s="20">
        <f>V!B72</f>
        <v>0</v>
      </c>
      <c r="V77" s="20">
        <f>W!B72</f>
        <v>0</v>
      </c>
      <c r="W77" s="20">
        <f>X!B72</f>
        <v>0</v>
      </c>
      <c r="X77" s="21">
        <f t="shared" si="139"/>
        <v>111</v>
      </c>
      <c r="Y77" s="22">
        <f t="shared" si="163"/>
        <v>27.75</v>
      </c>
      <c r="Z77" s="122" t="str">
        <f t="shared" si="46"/>
        <v>SANDY</v>
      </c>
      <c r="AA77" s="17">
        <f t="shared" si="140"/>
        <v>1</v>
      </c>
      <c r="AB77">
        <f t="shared" si="141"/>
        <v>1</v>
      </c>
      <c r="AC77">
        <f t="shared" si="142"/>
        <v>1</v>
      </c>
      <c r="AD77">
        <f t="shared" si="143"/>
        <v>1</v>
      </c>
      <c r="AE77">
        <f t="shared" si="144"/>
        <v>0</v>
      </c>
      <c r="AF77">
        <f t="shared" si="145"/>
        <v>0</v>
      </c>
      <c r="AG77">
        <f t="shared" si="146"/>
        <v>0</v>
      </c>
      <c r="AH77">
        <f t="shared" si="147"/>
        <v>0</v>
      </c>
      <c r="AI77">
        <f t="shared" si="148"/>
        <v>0</v>
      </c>
      <c r="AJ77">
        <f t="shared" si="149"/>
        <v>0</v>
      </c>
      <c r="AK77">
        <f t="shared" si="150"/>
        <v>0</v>
      </c>
      <c r="AL77">
        <f t="shared" si="151"/>
        <v>0</v>
      </c>
      <c r="AM77">
        <f t="shared" si="152"/>
        <v>0</v>
      </c>
      <c r="AN77">
        <f t="shared" si="153"/>
        <v>0</v>
      </c>
      <c r="AO77">
        <f t="shared" si="154"/>
        <v>0</v>
      </c>
      <c r="AP77">
        <f t="shared" si="155"/>
        <v>0</v>
      </c>
      <c r="AQ77">
        <f t="shared" si="156"/>
        <v>0</v>
      </c>
      <c r="AR77">
        <f t="shared" si="157"/>
        <v>0</v>
      </c>
      <c r="AS77">
        <f t="shared" si="158"/>
        <v>0</v>
      </c>
      <c r="AT77">
        <f t="shared" si="159"/>
        <v>0</v>
      </c>
      <c r="AU77">
        <f t="shared" si="160"/>
        <v>0</v>
      </c>
      <c r="AV77">
        <f t="shared" si="161"/>
        <v>0</v>
      </c>
      <c r="AW77" s="23">
        <f t="shared" si="162"/>
        <v>4</v>
      </c>
      <c r="AX77" s="24">
        <f t="shared" si="164"/>
        <v>111</v>
      </c>
      <c r="AY77" s="121" t="str">
        <f t="shared" si="165"/>
        <v>SANDY</v>
      </c>
      <c r="AZ77" s="124" t="str">
        <f t="shared" si="166"/>
        <v>FFFFF TO THE 1OTH POWER</v>
      </c>
      <c r="BA77" s="197">
        <v>0</v>
      </c>
      <c r="BB77" s="198">
        <v>0</v>
      </c>
      <c r="BC77" s="198">
        <v>0</v>
      </c>
      <c r="BD77" s="24"/>
      <c r="BE77" s="23"/>
      <c r="BF77" s="203"/>
      <c r="BG77" s="204"/>
    </row>
    <row r="78" spans="1:59">
      <c r="A78" s="19" t="str">
        <f>B!B248</f>
        <v>DENNIS</v>
      </c>
      <c r="B78" s="20">
        <f>'C'!B73</f>
        <v>43</v>
      </c>
      <c r="C78" s="20">
        <f>D!B73</f>
        <v>41</v>
      </c>
      <c r="D78" s="20">
        <f>E!B73</f>
        <v>47</v>
      </c>
      <c r="E78" s="20">
        <f>F!B73</f>
        <v>34</v>
      </c>
      <c r="F78" s="20">
        <f>G!B73</f>
        <v>0</v>
      </c>
      <c r="G78" s="20">
        <f>H!B73</f>
        <v>0</v>
      </c>
      <c r="H78" s="20">
        <f>I!B73</f>
        <v>0</v>
      </c>
      <c r="I78" s="20">
        <f>J!B73</f>
        <v>0</v>
      </c>
      <c r="J78" s="20">
        <f>K!B73</f>
        <v>0</v>
      </c>
      <c r="K78" s="20">
        <f>L!B73</f>
        <v>0</v>
      </c>
      <c r="L78" s="20">
        <f>M!B73</f>
        <v>0</v>
      </c>
      <c r="M78" s="20">
        <f>N!B73</f>
        <v>0</v>
      </c>
      <c r="N78" s="20">
        <f>O!B73</f>
        <v>0</v>
      </c>
      <c r="O78" s="20">
        <f>P!B73</f>
        <v>0</v>
      </c>
      <c r="P78" s="20">
        <f>Q!B73</f>
        <v>0</v>
      </c>
      <c r="Q78" s="20">
        <f>'R'!B73</f>
        <v>0</v>
      </c>
      <c r="R78" s="20">
        <f>S!B73</f>
        <v>0</v>
      </c>
      <c r="S78" s="20">
        <f>T!B73</f>
        <v>0</v>
      </c>
      <c r="T78" s="20">
        <f>U!B73</f>
        <v>0</v>
      </c>
      <c r="U78" s="20">
        <f>V!B73</f>
        <v>0</v>
      </c>
      <c r="V78" s="20">
        <f>W!B73</f>
        <v>0</v>
      </c>
      <c r="W78" s="20">
        <f>X!B73</f>
        <v>0</v>
      </c>
      <c r="X78" s="21">
        <f t="shared" si="139"/>
        <v>165</v>
      </c>
      <c r="Y78" s="22">
        <f t="shared" si="163"/>
        <v>41.25</v>
      </c>
      <c r="Z78" s="122" t="str">
        <f t="shared" si="46"/>
        <v>DENNIS</v>
      </c>
      <c r="AA78" s="17">
        <f t="shared" si="140"/>
        <v>1</v>
      </c>
      <c r="AB78">
        <f t="shared" si="141"/>
        <v>1</v>
      </c>
      <c r="AC78">
        <f t="shared" si="142"/>
        <v>1</v>
      </c>
      <c r="AD78">
        <f t="shared" si="143"/>
        <v>1</v>
      </c>
      <c r="AE78">
        <f t="shared" si="144"/>
        <v>0</v>
      </c>
      <c r="AF78">
        <f t="shared" si="145"/>
        <v>0</v>
      </c>
      <c r="AG78">
        <f t="shared" si="146"/>
        <v>0</v>
      </c>
      <c r="AH78">
        <f t="shared" si="147"/>
        <v>0</v>
      </c>
      <c r="AI78">
        <f t="shared" si="148"/>
        <v>0</v>
      </c>
      <c r="AJ78">
        <f t="shared" si="149"/>
        <v>0</v>
      </c>
      <c r="AK78">
        <f t="shared" si="150"/>
        <v>0</v>
      </c>
      <c r="AL78">
        <f t="shared" si="151"/>
        <v>0</v>
      </c>
      <c r="AM78">
        <f t="shared" si="152"/>
        <v>0</v>
      </c>
      <c r="AN78">
        <f t="shared" si="153"/>
        <v>0</v>
      </c>
      <c r="AO78">
        <f t="shared" si="154"/>
        <v>0</v>
      </c>
      <c r="AP78">
        <f t="shared" si="155"/>
        <v>0</v>
      </c>
      <c r="AQ78">
        <f t="shared" si="156"/>
        <v>0</v>
      </c>
      <c r="AR78">
        <f t="shared" si="157"/>
        <v>0</v>
      </c>
      <c r="AS78">
        <f t="shared" si="158"/>
        <v>0</v>
      </c>
      <c r="AT78">
        <f t="shared" si="159"/>
        <v>0</v>
      </c>
      <c r="AU78">
        <f t="shared" si="160"/>
        <v>0</v>
      </c>
      <c r="AV78">
        <f t="shared" si="161"/>
        <v>0</v>
      </c>
      <c r="AW78" s="23">
        <f t="shared" si="162"/>
        <v>4</v>
      </c>
      <c r="AX78" s="24">
        <f t="shared" si="164"/>
        <v>165</v>
      </c>
      <c r="AY78" s="121" t="str">
        <f t="shared" si="165"/>
        <v>DENNIS</v>
      </c>
      <c r="AZ78" s="124" t="str">
        <f t="shared" si="166"/>
        <v>FFFFF TO THE 1OTH POWER</v>
      </c>
      <c r="BA78" s="197">
        <v>0</v>
      </c>
      <c r="BB78" s="198">
        <v>0</v>
      </c>
      <c r="BC78" s="198">
        <v>0</v>
      </c>
      <c r="BD78" s="24"/>
      <c r="BE78" s="23"/>
      <c r="BF78" s="203"/>
      <c r="BG78" s="204"/>
    </row>
    <row r="79" spans="1:59">
      <c r="A79" s="19" t="str">
        <f>B!B253</f>
        <v>VE</v>
      </c>
      <c r="B79" s="20">
        <f>'C'!B74</f>
        <v>38</v>
      </c>
      <c r="C79" s="20">
        <f>D!B74</f>
        <v>39</v>
      </c>
      <c r="D79" s="20">
        <f>E!B74</f>
        <v>38</v>
      </c>
      <c r="E79" s="20">
        <f>F!B74</f>
        <v>35</v>
      </c>
      <c r="F79" s="20">
        <f>G!B74</f>
        <v>0</v>
      </c>
      <c r="G79" s="20">
        <f>H!B74</f>
        <v>0</v>
      </c>
      <c r="H79" s="20">
        <f>I!B74</f>
        <v>0</v>
      </c>
      <c r="I79" s="20">
        <f>J!B74</f>
        <v>0</v>
      </c>
      <c r="J79" s="20">
        <f>K!B74</f>
        <v>0</v>
      </c>
      <c r="K79" s="20">
        <f>L!B74</f>
        <v>0</v>
      </c>
      <c r="L79" s="20">
        <f>M!B74</f>
        <v>0</v>
      </c>
      <c r="M79" s="20">
        <f>N!B74</f>
        <v>0</v>
      </c>
      <c r="N79" s="20">
        <f>O!B74</f>
        <v>0</v>
      </c>
      <c r="O79" s="20">
        <f>P!B74</f>
        <v>0</v>
      </c>
      <c r="P79" s="20">
        <f>Q!B74</f>
        <v>0</v>
      </c>
      <c r="Q79" s="20">
        <f>'R'!B74</f>
        <v>0</v>
      </c>
      <c r="R79" s="20">
        <f>S!B74</f>
        <v>0</v>
      </c>
      <c r="S79" s="20">
        <f>T!B74</f>
        <v>0</v>
      </c>
      <c r="T79" s="20">
        <f>U!B74</f>
        <v>0</v>
      </c>
      <c r="U79" s="20">
        <f>V!B74</f>
        <v>0</v>
      </c>
      <c r="V79" s="20">
        <f>W!B74</f>
        <v>0</v>
      </c>
      <c r="W79" s="20">
        <f>X!B74</f>
        <v>0</v>
      </c>
      <c r="X79" s="21">
        <f t="shared" si="139"/>
        <v>150</v>
      </c>
      <c r="Y79" s="22">
        <f t="shared" si="163"/>
        <v>37.5</v>
      </c>
      <c r="Z79" s="122" t="str">
        <f t="shared" si="46"/>
        <v>VE</v>
      </c>
      <c r="AA79" s="17">
        <f t="shared" si="140"/>
        <v>1</v>
      </c>
      <c r="AB79">
        <f t="shared" si="141"/>
        <v>1</v>
      </c>
      <c r="AC79">
        <f t="shared" si="142"/>
        <v>1</v>
      </c>
      <c r="AD79">
        <f t="shared" si="143"/>
        <v>1</v>
      </c>
      <c r="AE79">
        <f t="shared" si="144"/>
        <v>0</v>
      </c>
      <c r="AF79">
        <f t="shared" si="145"/>
        <v>0</v>
      </c>
      <c r="AG79">
        <f t="shared" si="146"/>
        <v>0</v>
      </c>
      <c r="AH79">
        <f t="shared" si="147"/>
        <v>0</v>
      </c>
      <c r="AI79">
        <f t="shared" si="148"/>
        <v>0</v>
      </c>
      <c r="AJ79">
        <f t="shared" si="149"/>
        <v>0</v>
      </c>
      <c r="AK79">
        <f t="shared" si="150"/>
        <v>0</v>
      </c>
      <c r="AL79">
        <f t="shared" si="151"/>
        <v>0</v>
      </c>
      <c r="AM79">
        <f t="shared" si="152"/>
        <v>0</v>
      </c>
      <c r="AN79">
        <f t="shared" si="153"/>
        <v>0</v>
      </c>
      <c r="AO79">
        <f t="shared" si="154"/>
        <v>0</v>
      </c>
      <c r="AP79">
        <f t="shared" si="155"/>
        <v>0</v>
      </c>
      <c r="AQ79">
        <f t="shared" si="156"/>
        <v>0</v>
      </c>
      <c r="AR79">
        <f t="shared" si="157"/>
        <v>0</v>
      </c>
      <c r="AS79">
        <f t="shared" si="158"/>
        <v>0</v>
      </c>
      <c r="AT79">
        <f t="shared" si="159"/>
        <v>0</v>
      </c>
      <c r="AU79">
        <f t="shared" si="160"/>
        <v>0</v>
      </c>
      <c r="AV79">
        <f t="shared" si="161"/>
        <v>0</v>
      </c>
      <c r="AW79" s="23">
        <f t="shared" si="162"/>
        <v>4</v>
      </c>
      <c r="AX79" s="24">
        <f t="shared" si="164"/>
        <v>150</v>
      </c>
      <c r="AY79" s="121" t="str">
        <f t="shared" si="165"/>
        <v>VE</v>
      </c>
      <c r="AZ79" s="124" t="str">
        <f t="shared" si="166"/>
        <v>FFFFF TO THE 1OTH POWER</v>
      </c>
      <c r="BA79" s="197">
        <v>0</v>
      </c>
      <c r="BB79" s="198">
        <v>0</v>
      </c>
      <c r="BC79" s="198">
        <v>0</v>
      </c>
      <c r="BD79" s="24"/>
      <c r="BE79" s="23"/>
      <c r="BF79" s="203"/>
      <c r="BG79" s="204"/>
    </row>
    <row r="80" spans="1:59">
      <c r="A80" s="19">
        <f>B!B258</f>
        <v>0</v>
      </c>
      <c r="B80" s="20">
        <f>'C'!B75</f>
        <v>0</v>
      </c>
      <c r="C80" s="20">
        <f>D!B75</f>
        <v>0</v>
      </c>
      <c r="D80" s="20">
        <f>E!B75</f>
        <v>0</v>
      </c>
      <c r="E80" s="20">
        <f>F!B75</f>
        <v>0</v>
      </c>
      <c r="F80" s="20">
        <f>G!B75</f>
        <v>0</v>
      </c>
      <c r="G80" s="20">
        <f>H!B75</f>
        <v>0</v>
      </c>
      <c r="H80" s="20">
        <f>I!B75</f>
        <v>0</v>
      </c>
      <c r="I80" s="20">
        <f>J!B75</f>
        <v>0</v>
      </c>
      <c r="J80" s="20">
        <f>K!B75</f>
        <v>0</v>
      </c>
      <c r="K80" s="20">
        <f>L!B75</f>
        <v>0</v>
      </c>
      <c r="L80" s="20">
        <f>M!B75</f>
        <v>0</v>
      </c>
      <c r="M80" s="20">
        <f>N!B75</f>
        <v>0</v>
      </c>
      <c r="N80" s="20">
        <f>O!B75</f>
        <v>0</v>
      </c>
      <c r="O80" s="20">
        <f>P!B75</f>
        <v>0</v>
      </c>
      <c r="P80" s="20">
        <f>Q!B75</f>
        <v>0</v>
      </c>
      <c r="Q80" s="20">
        <f>'R'!B75</f>
        <v>0</v>
      </c>
      <c r="R80" s="20">
        <f>S!B75</f>
        <v>0</v>
      </c>
      <c r="S80" s="20">
        <f>T!B75</f>
        <v>0</v>
      </c>
      <c r="T80" s="20">
        <f>U!B75</f>
        <v>0</v>
      </c>
      <c r="U80" s="20">
        <f>V!B75</f>
        <v>0</v>
      </c>
      <c r="V80" s="20">
        <f>W!B75</f>
        <v>0</v>
      </c>
      <c r="W80" s="20">
        <f>X!B75</f>
        <v>0</v>
      </c>
      <c r="X80" s="21">
        <f t="shared" si="139"/>
        <v>0</v>
      </c>
      <c r="Y80" s="22">
        <f t="shared" si="163"/>
        <v>0</v>
      </c>
      <c r="Z80" s="122">
        <f t="shared" si="46"/>
        <v>0</v>
      </c>
      <c r="AA80" s="17">
        <f t="shared" si="140"/>
        <v>0</v>
      </c>
      <c r="AB80">
        <f t="shared" si="141"/>
        <v>0</v>
      </c>
      <c r="AC80">
        <f t="shared" si="142"/>
        <v>0</v>
      </c>
      <c r="AD80">
        <f t="shared" si="143"/>
        <v>0</v>
      </c>
      <c r="AE80">
        <f t="shared" si="144"/>
        <v>0</v>
      </c>
      <c r="AF80">
        <f t="shared" si="145"/>
        <v>0</v>
      </c>
      <c r="AG80">
        <f t="shared" si="146"/>
        <v>0</v>
      </c>
      <c r="AH80">
        <f t="shared" si="147"/>
        <v>0</v>
      </c>
      <c r="AI80">
        <f t="shared" si="148"/>
        <v>0</v>
      </c>
      <c r="AJ80">
        <f t="shared" si="149"/>
        <v>0</v>
      </c>
      <c r="AK80">
        <f t="shared" si="150"/>
        <v>0</v>
      </c>
      <c r="AL80">
        <f t="shared" si="151"/>
        <v>0</v>
      </c>
      <c r="AM80">
        <f t="shared" si="152"/>
        <v>0</v>
      </c>
      <c r="AN80">
        <f t="shared" si="153"/>
        <v>0</v>
      </c>
      <c r="AO80">
        <f t="shared" si="154"/>
        <v>0</v>
      </c>
      <c r="AP80">
        <f t="shared" si="155"/>
        <v>0</v>
      </c>
      <c r="AQ80">
        <f t="shared" si="156"/>
        <v>0</v>
      </c>
      <c r="AR80">
        <f t="shared" si="157"/>
        <v>0</v>
      </c>
      <c r="AS80">
        <f t="shared" si="158"/>
        <v>0</v>
      </c>
      <c r="AT80">
        <f t="shared" si="159"/>
        <v>0</v>
      </c>
      <c r="AU80">
        <f t="shared" si="160"/>
        <v>0</v>
      </c>
      <c r="AV80">
        <f t="shared" si="161"/>
        <v>0</v>
      </c>
      <c r="AW80" s="23">
        <f t="shared" si="162"/>
        <v>0</v>
      </c>
      <c r="AX80" s="24">
        <f t="shared" si="164"/>
        <v>0</v>
      </c>
      <c r="AY80" s="121">
        <f t="shared" si="165"/>
        <v>0</v>
      </c>
      <c r="AZ80" s="124">
        <f t="shared" si="166"/>
        <v>0</v>
      </c>
      <c r="BA80" s="197">
        <v>0</v>
      </c>
      <c r="BB80" s="198">
        <v>0</v>
      </c>
      <c r="BC80" s="198">
        <v>0</v>
      </c>
      <c r="BD80" s="24"/>
      <c r="BE80" s="23"/>
      <c r="BF80" s="203"/>
      <c r="BG80" s="204"/>
    </row>
    <row r="81" spans="1:59">
      <c r="A81" s="19">
        <f>B!B263</f>
        <v>0</v>
      </c>
      <c r="B81" s="20">
        <f>'C'!B76</f>
        <v>0</v>
      </c>
      <c r="C81" s="20">
        <f>D!B76</f>
        <v>0</v>
      </c>
      <c r="D81" s="20">
        <f>E!B76</f>
        <v>0</v>
      </c>
      <c r="E81" s="20">
        <f>F!B76</f>
        <v>0</v>
      </c>
      <c r="F81" s="20">
        <f>G!B76</f>
        <v>0</v>
      </c>
      <c r="G81" s="20">
        <f>H!B76</f>
        <v>0</v>
      </c>
      <c r="H81" s="20">
        <f>I!B76</f>
        <v>0</v>
      </c>
      <c r="I81" s="20">
        <f>J!B76</f>
        <v>0</v>
      </c>
      <c r="J81" s="20">
        <f>K!B76</f>
        <v>0</v>
      </c>
      <c r="K81" s="20">
        <f>L!B76</f>
        <v>0</v>
      </c>
      <c r="L81" s="20">
        <f>M!B76</f>
        <v>0</v>
      </c>
      <c r="M81" s="20">
        <f>N!B76</f>
        <v>0</v>
      </c>
      <c r="N81" s="20">
        <f>O!B76</f>
        <v>0</v>
      </c>
      <c r="O81" s="20">
        <f>P!B76</f>
        <v>0</v>
      </c>
      <c r="P81" s="20">
        <f>Q!B76</f>
        <v>0</v>
      </c>
      <c r="Q81" s="20">
        <f>'R'!B76</f>
        <v>0</v>
      </c>
      <c r="R81" s="20">
        <f>S!B76</f>
        <v>0</v>
      </c>
      <c r="S81" s="20">
        <f>T!B76</f>
        <v>0</v>
      </c>
      <c r="T81" s="20">
        <f>U!B76</f>
        <v>0</v>
      </c>
      <c r="U81" s="20">
        <f>V!B76</f>
        <v>0</v>
      </c>
      <c r="V81" s="20">
        <f>W!B76</f>
        <v>0</v>
      </c>
      <c r="W81" s="20">
        <f>X!B76</f>
        <v>0</v>
      </c>
      <c r="X81" s="21">
        <f t="shared" si="139"/>
        <v>0</v>
      </c>
      <c r="Y81" s="22">
        <f t="shared" si="163"/>
        <v>0</v>
      </c>
      <c r="Z81" s="122">
        <f t="shared" si="46"/>
        <v>0</v>
      </c>
      <c r="AA81" s="17">
        <f t="shared" si="140"/>
        <v>0</v>
      </c>
      <c r="AB81">
        <f t="shared" si="141"/>
        <v>0</v>
      </c>
      <c r="AC81">
        <f t="shared" si="142"/>
        <v>0</v>
      </c>
      <c r="AD81">
        <f t="shared" si="143"/>
        <v>0</v>
      </c>
      <c r="AE81">
        <f t="shared" si="144"/>
        <v>0</v>
      </c>
      <c r="AF81">
        <f t="shared" si="145"/>
        <v>0</v>
      </c>
      <c r="AG81">
        <f t="shared" si="146"/>
        <v>0</v>
      </c>
      <c r="AH81">
        <f t="shared" si="147"/>
        <v>0</v>
      </c>
      <c r="AI81">
        <f t="shared" si="148"/>
        <v>0</v>
      </c>
      <c r="AJ81">
        <f t="shared" si="149"/>
        <v>0</v>
      </c>
      <c r="AK81">
        <f t="shared" si="150"/>
        <v>0</v>
      </c>
      <c r="AL81">
        <f t="shared" si="151"/>
        <v>0</v>
      </c>
      <c r="AM81">
        <f t="shared" si="152"/>
        <v>0</v>
      </c>
      <c r="AN81">
        <f t="shared" si="153"/>
        <v>0</v>
      </c>
      <c r="AO81">
        <f t="shared" si="154"/>
        <v>0</v>
      </c>
      <c r="AP81">
        <f t="shared" si="155"/>
        <v>0</v>
      </c>
      <c r="AQ81">
        <f t="shared" si="156"/>
        <v>0</v>
      </c>
      <c r="AR81">
        <f t="shared" si="157"/>
        <v>0</v>
      </c>
      <c r="AS81">
        <f t="shared" si="158"/>
        <v>0</v>
      </c>
      <c r="AT81">
        <f t="shared" si="159"/>
        <v>0</v>
      </c>
      <c r="AU81">
        <f t="shared" si="160"/>
        <v>0</v>
      </c>
      <c r="AV81">
        <f t="shared" si="161"/>
        <v>0</v>
      </c>
      <c r="AW81" s="23">
        <f t="shared" si="162"/>
        <v>0</v>
      </c>
      <c r="AX81" s="24">
        <f t="shared" si="164"/>
        <v>0</v>
      </c>
      <c r="AY81" s="121">
        <f t="shared" si="165"/>
        <v>0</v>
      </c>
      <c r="AZ81" s="124">
        <f t="shared" si="166"/>
        <v>0</v>
      </c>
      <c r="BA81" s="197">
        <v>0</v>
      </c>
      <c r="BB81" s="198">
        <v>0</v>
      </c>
      <c r="BC81" s="198">
        <v>0</v>
      </c>
      <c r="BD81" s="24"/>
      <c r="BE81" s="23"/>
      <c r="BF81" s="203"/>
      <c r="BG81" s="204"/>
    </row>
    <row r="82" spans="1:59" ht="15.75" thickBot="1">
      <c r="A82" s="17">
        <f>B!B268</f>
        <v>0</v>
      </c>
      <c r="B82" s="20">
        <f>'C'!B77</f>
        <v>0</v>
      </c>
      <c r="C82" s="20">
        <f>D!B77</f>
        <v>0</v>
      </c>
      <c r="D82" s="20">
        <f>E!B77</f>
        <v>0</v>
      </c>
      <c r="E82" s="20">
        <f>F!B77</f>
        <v>0</v>
      </c>
      <c r="F82" s="20">
        <f>G!B77</f>
        <v>0</v>
      </c>
      <c r="G82" s="20">
        <f>H!B77</f>
        <v>0</v>
      </c>
      <c r="H82" s="20">
        <f>I!B77</f>
        <v>0</v>
      </c>
      <c r="I82" s="20">
        <f>J!B77</f>
        <v>0</v>
      </c>
      <c r="J82" s="20">
        <f>K!B77</f>
        <v>0</v>
      </c>
      <c r="K82" s="20">
        <f>L!B77</f>
        <v>0</v>
      </c>
      <c r="L82" s="20">
        <f>M!B77</f>
        <v>0</v>
      </c>
      <c r="M82" s="20">
        <f>N!B77</f>
        <v>0</v>
      </c>
      <c r="N82" s="20">
        <f>O!B77</f>
        <v>0</v>
      </c>
      <c r="O82" s="20">
        <f>P!B77</f>
        <v>0</v>
      </c>
      <c r="P82" s="20">
        <f>Q!B77</f>
        <v>0</v>
      </c>
      <c r="Q82" s="20">
        <f>'R'!B77</f>
        <v>0</v>
      </c>
      <c r="R82" s="20">
        <f>S!B77</f>
        <v>0</v>
      </c>
      <c r="S82" s="20">
        <f>T!B77</f>
        <v>0</v>
      </c>
      <c r="T82" s="20">
        <f>U!B77</f>
        <v>0</v>
      </c>
      <c r="U82" s="20">
        <f>V!B77</f>
        <v>0</v>
      </c>
      <c r="V82" s="20">
        <f>W!B77</f>
        <v>0</v>
      </c>
      <c r="W82" s="20">
        <f>X!B77</f>
        <v>0</v>
      </c>
      <c r="X82" s="21">
        <f t="shared" si="139"/>
        <v>0</v>
      </c>
      <c r="Y82" s="22">
        <f t="shared" si="163"/>
        <v>0</v>
      </c>
      <c r="Z82" s="122">
        <f t="shared" si="46"/>
        <v>0</v>
      </c>
      <c r="AA82" s="17">
        <f t="shared" si="140"/>
        <v>0</v>
      </c>
      <c r="AB82">
        <f t="shared" si="141"/>
        <v>0</v>
      </c>
      <c r="AC82">
        <f t="shared" si="142"/>
        <v>0</v>
      </c>
      <c r="AD82">
        <f t="shared" si="143"/>
        <v>0</v>
      </c>
      <c r="AE82">
        <f t="shared" si="144"/>
        <v>0</v>
      </c>
      <c r="AF82">
        <f t="shared" si="145"/>
        <v>0</v>
      </c>
      <c r="AG82">
        <f t="shared" si="146"/>
        <v>0</v>
      </c>
      <c r="AH82">
        <f t="shared" si="147"/>
        <v>0</v>
      </c>
      <c r="AI82">
        <f t="shared" si="148"/>
        <v>0</v>
      </c>
      <c r="AJ82">
        <f t="shared" si="149"/>
        <v>0</v>
      </c>
      <c r="AK82">
        <f t="shared" si="150"/>
        <v>0</v>
      </c>
      <c r="AL82">
        <f t="shared" si="151"/>
        <v>0</v>
      </c>
      <c r="AM82">
        <f t="shared" si="152"/>
        <v>0</v>
      </c>
      <c r="AN82">
        <f t="shared" si="153"/>
        <v>0</v>
      </c>
      <c r="AO82">
        <f t="shared" si="154"/>
        <v>0</v>
      </c>
      <c r="AP82">
        <f t="shared" si="155"/>
        <v>0</v>
      </c>
      <c r="AQ82">
        <f t="shared" si="156"/>
        <v>0</v>
      </c>
      <c r="AR82">
        <f t="shared" si="157"/>
        <v>0</v>
      </c>
      <c r="AS82">
        <f t="shared" si="158"/>
        <v>0</v>
      </c>
      <c r="AT82">
        <f t="shared" si="159"/>
        <v>0</v>
      </c>
      <c r="AU82">
        <f t="shared" si="160"/>
        <v>0</v>
      </c>
      <c r="AV82">
        <f t="shared" si="161"/>
        <v>0</v>
      </c>
      <c r="AW82" s="23">
        <f t="shared" si="162"/>
        <v>0</v>
      </c>
      <c r="AX82" s="24">
        <f t="shared" si="164"/>
        <v>0</v>
      </c>
      <c r="AY82" s="121">
        <f t="shared" si="165"/>
        <v>0</v>
      </c>
      <c r="AZ82" s="124">
        <f t="shared" si="166"/>
        <v>0</v>
      </c>
      <c r="BA82" s="197">
        <v>0</v>
      </c>
      <c r="BB82" s="198">
        <v>0</v>
      </c>
      <c r="BC82" s="198">
        <v>0</v>
      </c>
      <c r="BD82" s="24"/>
      <c r="BE82" s="23"/>
      <c r="BF82" s="203"/>
      <c r="BG82" s="204"/>
    </row>
    <row r="83" spans="1:59" ht="15.75" thickTop="1">
      <c r="A83" s="133" t="s">
        <v>134</v>
      </c>
      <c r="B83" s="134">
        <f t="shared" ref="B83:W83" si="167">SUM(B75:B82)</f>
        <v>176</v>
      </c>
      <c r="C83" s="134">
        <f t="shared" si="167"/>
        <v>196</v>
      </c>
      <c r="D83" s="134">
        <f t="shared" si="167"/>
        <v>196</v>
      </c>
      <c r="E83" s="134">
        <f t="shared" si="167"/>
        <v>168</v>
      </c>
      <c r="F83" s="134">
        <f t="shared" si="167"/>
        <v>0</v>
      </c>
      <c r="G83" s="134">
        <f t="shared" si="167"/>
        <v>0</v>
      </c>
      <c r="H83" s="134">
        <f t="shared" si="167"/>
        <v>0</v>
      </c>
      <c r="I83" s="134">
        <f t="shared" si="167"/>
        <v>0</v>
      </c>
      <c r="J83" s="134">
        <f t="shared" si="167"/>
        <v>0</v>
      </c>
      <c r="K83" s="134">
        <f t="shared" si="167"/>
        <v>0</v>
      </c>
      <c r="L83" s="134">
        <f t="shared" si="167"/>
        <v>0</v>
      </c>
      <c r="M83" s="134">
        <f t="shared" si="167"/>
        <v>0</v>
      </c>
      <c r="N83" s="134">
        <f t="shared" si="167"/>
        <v>0</v>
      </c>
      <c r="O83" s="134">
        <f t="shared" si="167"/>
        <v>0</v>
      </c>
      <c r="P83" s="134">
        <f t="shared" si="167"/>
        <v>0</v>
      </c>
      <c r="Q83" s="134">
        <f t="shared" si="167"/>
        <v>0</v>
      </c>
      <c r="R83" s="134">
        <f t="shared" si="167"/>
        <v>0</v>
      </c>
      <c r="S83" s="134">
        <f t="shared" si="167"/>
        <v>0</v>
      </c>
      <c r="T83" s="134">
        <f t="shared" si="167"/>
        <v>0</v>
      </c>
      <c r="U83" s="134">
        <f t="shared" si="167"/>
        <v>0</v>
      </c>
      <c r="V83" s="134">
        <f t="shared" si="167"/>
        <v>0</v>
      </c>
      <c r="W83" s="134">
        <f t="shared" si="167"/>
        <v>0</v>
      </c>
      <c r="X83" s="135">
        <f t="shared" si="139"/>
        <v>736</v>
      </c>
      <c r="Y83" s="137">
        <f>IF(X83=0,0,X83/AW83)</f>
        <v>184</v>
      </c>
      <c r="Z83" s="122"/>
      <c r="AA83" s="138">
        <f t="shared" ref="AA83:AV83" si="168">SUM(AA75:AA82)</f>
        <v>5</v>
      </c>
      <c r="AB83" s="11">
        <f t="shared" si="168"/>
        <v>5</v>
      </c>
      <c r="AC83" s="11">
        <f t="shared" si="168"/>
        <v>5</v>
      </c>
      <c r="AD83" s="11">
        <f t="shared" si="168"/>
        <v>5</v>
      </c>
      <c r="AE83" s="11">
        <f t="shared" si="168"/>
        <v>0</v>
      </c>
      <c r="AF83" s="11">
        <f t="shared" si="168"/>
        <v>0</v>
      </c>
      <c r="AG83" s="11">
        <f t="shared" si="168"/>
        <v>0</v>
      </c>
      <c r="AH83" s="11">
        <f t="shared" si="168"/>
        <v>0</v>
      </c>
      <c r="AI83" s="11">
        <f t="shared" si="168"/>
        <v>0</v>
      </c>
      <c r="AJ83" s="11">
        <f t="shared" si="168"/>
        <v>0</v>
      </c>
      <c r="AK83" s="11">
        <f t="shared" si="168"/>
        <v>0</v>
      </c>
      <c r="AL83" s="11">
        <f t="shared" si="168"/>
        <v>0</v>
      </c>
      <c r="AM83" s="11">
        <f t="shared" si="168"/>
        <v>0</v>
      </c>
      <c r="AN83" s="11">
        <f t="shared" si="168"/>
        <v>0</v>
      </c>
      <c r="AO83" s="11">
        <f t="shared" si="168"/>
        <v>0</v>
      </c>
      <c r="AP83" s="11">
        <f t="shared" si="168"/>
        <v>0</v>
      </c>
      <c r="AQ83" s="11">
        <f t="shared" si="168"/>
        <v>0</v>
      </c>
      <c r="AR83" s="11">
        <f t="shared" si="168"/>
        <v>0</v>
      </c>
      <c r="AS83" s="11">
        <f t="shared" si="168"/>
        <v>0</v>
      </c>
      <c r="AT83" s="11">
        <f t="shared" si="168"/>
        <v>0</v>
      </c>
      <c r="AU83" s="11">
        <f t="shared" si="168"/>
        <v>0</v>
      </c>
      <c r="AV83" s="11">
        <f t="shared" si="168"/>
        <v>0</v>
      </c>
      <c r="AW83" s="12">
        <f>MAXA(AW75:AW82)</f>
        <v>4</v>
      </c>
      <c r="AX83" s="24"/>
      <c r="AZ83" s="124"/>
      <c r="BA83" s="197">
        <v>0</v>
      </c>
      <c r="BB83" s="198">
        <v>0</v>
      </c>
      <c r="BC83" s="198">
        <v>0</v>
      </c>
      <c r="BD83" s="24"/>
      <c r="BE83" s="23"/>
      <c r="BF83" s="203"/>
      <c r="BG83" s="204"/>
    </row>
    <row r="84" spans="1:59" ht="16.5" thickBot="1">
      <c r="A84" s="105" t="s">
        <v>189</v>
      </c>
      <c r="B84" s="20">
        <f>'C'!B78</f>
        <v>0</v>
      </c>
      <c r="C84" s="20">
        <f>D!B78</f>
        <v>15.3</v>
      </c>
      <c r="D84" s="20">
        <f>E!B78</f>
        <v>4.05</v>
      </c>
      <c r="E84" s="20">
        <f>F!B78</f>
        <v>3.6</v>
      </c>
      <c r="F84" s="20">
        <f>G!B78</f>
        <v>0</v>
      </c>
      <c r="G84" s="20">
        <f>H!B78</f>
        <v>0</v>
      </c>
      <c r="H84" s="20">
        <f>I!B78</f>
        <v>0</v>
      </c>
      <c r="I84" s="20">
        <f>J!B78</f>
        <v>0</v>
      </c>
      <c r="J84" s="20">
        <f>K!B78</f>
        <v>0</v>
      </c>
      <c r="K84" s="20">
        <f>L!B78</f>
        <v>0</v>
      </c>
      <c r="L84" s="20">
        <f>M!B78</f>
        <v>0</v>
      </c>
      <c r="M84" s="20">
        <f>N!B78</f>
        <v>0</v>
      </c>
      <c r="N84" s="20">
        <f>O!B78</f>
        <v>0</v>
      </c>
      <c r="O84" s="20">
        <f>P!B78</f>
        <v>0</v>
      </c>
      <c r="P84" s="20">
        <f>Q!B78</f>
        <v>0</v>
      </c>
      <c r="Q84" s="20">
        <f>'R'!B78</f>
        <v>0</v>
      </c>
      <c r="R84" s="20">
        <f>S!B78</f>
        <v>0</v>
      </c>
      <c r="S84" s="20">
        <f>T!B78</f>
        <v>0</v>
      </c>
      <c r="T84" s="20">
        <f>U!B78</f>
        <v>0</v>
      </c>
      <c r="U84" s="20">
        <f>V!B78</f>
        <v>0</v>
      </c>
      <c r="V84" s="20">
        <f>W!B78</f>
        <v>0</v>
      </c>
      <c r="W84" s="20">
        <f>X!B78</f>
        <v>0</v>
      </c>
      <c r="X84" s="21">
        <f t="shared" si="139"/>
        <v>22.950000000000003</v>
      </c>
      <c r="Y84" s="120"/>
      <c r="Z84" s="122"/>
      <c r="AA84" s="17"/>
      <c r="AW84" s="23"/>
      <c r="AX84" s="24"/>
      <c r="AZ84" s="124"/>
      <c r="BA84" s="197">
        <v>0</v>
      </c>
      <c r="BB84" s="198">
        <v>0</v>
      </c>
      <c r="BC84" s="198">
        <v>0</v>
      </c>
      <c r="BD84" s="24"/>
      <c r="BE84" s="23"/>
      <c r="BF84" s="203"/>
      <c r="BG84" s="204"/>
    </row>
    <row r="85" spans="1:59" ht="16.5" thickTop="1" thickBot="1">
      <c r="A85" s="100" t="s">
        <v>53</v>
      </c>
      <c r="B85" s="68">
        <f t="shared" ref="B85:W85" si="169">SUM(B83:B84)</f>
        <v>176</v>
      </c>
      <c r="C85" s="68">
        <f t="shared" si="169"/>
        <v>211.3</v>
      </c>
      <c r="D85" s="68">
        <f t="shared" si="169"/>
        <v>200.05</v>
      </c>
      <c r="E85" s="68">
        <f t="shared" si="169"/>
        <v>171.6</v>
      </c>
      <c r="F85" s="68">
        <f t="shared" si="169"/>
        <v>0</v>
      </c>
      <c r="G85" s="68">
        <f t="shared" si="169"/>
        <v>0</v>
      </c>
      <c r="H85" s="68">
        <f t="shared" si="169"/>
        <v>0</v>
      </c>
      <c r="I85" s="68">
        <f t="shared" si="169"/>
        <v>0</v>
      </c>
      <c r="J85" s="68">
        <f t="shared" si="169"/>
        <v>0</v>
      </c>
      <c r="K85" s="68">
        <f t="shared" si="169"/>
        <v>0</v>
      </c>
      <c r="L85" s="68">
        <f t="shared" si="169"/>
        <v>0</v>
      </c>
      <c r="M85" s="68">
        <f t="shared" si="169"/>
        <v>0</v>
      </c>
      <c r="N85" s="68">
        <f t="shared" si="169"/>
        <v>0</v>
      </c>
      <c r="O85" s="68">
        <f t="shared" si="169"/>
        <v>0</v>
      </c>
      <c r="P85" s="68">
        <f t="shared" si="169"/>
        <v>0</v>
      </c>
      <c r="Q85" s="68">
        <f t="shared" si="169"/>
        <v>0</v>
      </c>
      <c r="R85" s="68">
        <f t="shared" si="169"/>
        <v>0</v>
      </c>
      <c r="S85" s="68">
        <f t="shared" si="169"/>
        <v>0</v>
      </c>
      <c r="T85" s="68">
        <f t="shared" si="169"/>
        <v>0</v>
      </c>
      <c r="U85" s="68">
        <f t="shared" si="169"/>
        <v>0</v>
      </c>
      <c r="V85" s="68">
        <f t="shared" si="169"/>
        <v>0</v>
      </c>
      <c r="W85" s="68">
        <f t="shared" si="169"/>
        <v>0</v>
      </c>
      <c r="X85" s="28">
        <f t="shared" si="139"/>
        <v>758.95</v>
      </c>
      <c r="Y85" s="136"/>
      <c r="Z85" s="122"/>
      <c r="AA85" s="17"/>
      <c r="AW85" s="23"/>
      <c r="AX85" s="24"/>
      <c r="AZ85" s="124"/>
      <c r="BA85" s="197">
        <v>0</v>
      </c>
      <c r="BB85" s="198">
        <v>0</v>
      </c>
      <c r="BC85" s="198">
        <v>0</v>
      </c>
      <c r="BD85" s="24">
        <f>X85</f>
        <v>758.95</v>
      </c>
      <c r="BE85" s="23" t="str">
        <f>A74</f>
        <v>FFFFF TO THE 1OTH POWER</v>
      </c>
      <c r="BF85" s="203"/>
      <c r="BG85" s="204"/>
    </row>
    <row r="86" spans="1:59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22"/>
      <c r="AA86" s="17"/>
      <c r="AW86" s="23"/>
      <c r="AX86" s="24"/>
      <c r="AZ86" s="124"/>
      <c r="BA86" s="243">
        <v>0</v>
      </c>
      <c r="BB86" s="198">
        <v>0</v>
      </c>
      <c r="BC86" s="244">
        <v>0</v>
      </c>
      <c r="BD86" s="24"/>
      <c r="BE86" s="23"/>
      <c r="BF86" s="203"/>
      <c r="BG86" s="204"/>
    </row>
    <row r="87" spans="1:59" ht="15.75" thickBot="1">
      <c r="A87" s="7" t="s">
        <v>59</v>
      </c>
      <c r="B87" s="8" t="s">
        <v>27</v>
      </c>
      <c r="C87" s="8" t="s">
        <v>28</v>
      </c>
      <c r="D87" s="8" t="s">
        <v>29</v>
      </c>
      <c r="E87" s="8" t="s">
        <v>30</v>
      </c>
      <c r="F87" s="8" t="s">
        <v>31</v>
      </c>
      <c r="G87" s="8" t="s">
        <v>32</v>
      </c>
      <c r="H87" s="8" t="s">
        <v>33</v>
      </c>
      <c r="I87" s="8" t="s">
        <v>34</v>
      </c>
      <c r="J87" s="8" t="s">
        <v>35</v>
      </c>
      <c r="K87" s="8" t="s">
        <v>36</v>
      </c>
      <c r="L87" s="8" t="s">
        <v>37</v>
      </c>
      <c r="M87" s="8" t="s">
        <v>38</v>
      </c>
      <c r="N87" s="8" t="s">
        <v>39</v>
      </c>
      <c r="O87" s="8" t="s">
        <v>40</v>
      </c>
      <c r="P87" s="8" t="s">
        <v>41</v>
      </c>
      <c r="Q87" s="8" t="s">
        <v>42</v>
      </c>
      <c r="R87" s="8" t="s">
        <v>43</v>
      </c>
      <c r="S87" s="8" t="s">
        <v>44</v>
      </c>
      <c r="T87" s="8" t="s">
        <v>45</v>
      </c>
      <c r="U87" s="8" t="s">
        <v>46</v>
      </c>
      <c r="V87" s="8" t="s">
        <v>47</v>
      </c>
      <c r="W87" s="8" t="s">
        <v>48</v>
      </c>
      <c r="X87" s="1"/>
      <c r="Y87" s="1"/>
      <c r="Z87" s="3" t="str">
        <f>A87</f>
        <v>Team #7 Name:</v>
      </c>
      <c r="AA87" s="17"/>
      <c r="AW87" s="23"/>
      <c r="AX87" s="24"/>
      <c r="AZ87" s="124"/>
      <c r="BA87" s="243">
        <v>0</v>
      </c>
      <c r="BB87" s="198">
        <v>0</v>
      </c>
      <c r="BC87" s="244">
        <v>0</v>
      </c>
      <c r="BD87" s="24"/>
      <c r="BE87" s="23"/>
      <c r="BF87" s="203"/>
      <c r="BG87" s="204"/>
    </row>
    <row r="88" spans="1:59">
      <c r="A88" s="13" t="str">
        <f>B!B274</f>
        <v>YOUNG BLOODS</v>
      </c>
      <c r="B88" s="29" t="s">
        <v>50</v>
      </c>
      <c r="C88" s="29" t="s">
        <v>50</v>
      </c>
      <c r="D88" s="29" t="s">
        <v>50</v>
      </c>
      <c r="E88" s="29" t="s">
        <v>50</v>
      </c>
      <c r="F88" s="29" t="s">
        <v>50</v>
      </c>
      <c r="G88" s="29" t="s">
        <v>50</v>
      </c>
      <c r="H88" s="29" t="s">
        <v>50</v>
      </c>
      <c r="I88" s="29" t="s">
        <v>50</v>
      </c>
      <c r="J88" s="29" t="s">
        <v>50</v>
      </c>
      <c r="K88" s="29" t="s">
        <v>50</v>
      </c>
      <c r="L88" s="29" t="s">
        <v>50</v>
      </c>
      <c r="M88" s="29" t="s">
        <v>50</v>
      </c>
      <c r="N88" s="29" t="s">
        <v>50</v>
      </c>
      <c r="O88" s="29" t="s">
        <v>50</v>
      </c>
      <c r="P88" s="29" t="s">
        <v>50</v>
      </c>
      <c r="Q88" s="29" t="s">
        <v>50</v>
      </c>
      <c r="R88" s="29" t="s">
        <v>50</v>
      </c>
      <c r="S88" s="29" t="s">
        <v>50</v>
      </c>
      <c r="T88" s="29" t="s">
        <v>50</v>
      </c>
      <c r="U88" s="29" t="s">
        <v>50</v>
      </c>
      <c r="V88" s="29" t="s">
        <v>50</v>
      </c>
      <c r="W88" s="29" t="s">
        <v>50</v>
      </c>
      <c r="X88" s="15" t="s">
        <v>51</v>
      </c>
      <c r="Y88" s="16" t="s">
        <v>52</v>
      </c>
      <c r="Z88" s="123" t="str">
        <f>A88</f>
        <v>YOUNG BLOODS</v>
      </c>
      <c r="AA88" s="17"/>
      <c r="AW88" s="4" t="s">
        <v>97</v>
      </c>
      <c r="AX88" s="24"/>
      <c r="AZ88" s="124"/>
      <c r="BA88" s="243">
        <v>0</v>
      </c>
      <c r="BB88" s="198">
        <v>0</v>
      </c>
      <c r="BC88" s="244">
        <v>0</v>
      </c>
      <c r="BD88" s="24"/>
      <c r="BE88" s="23"/>
      <c r="BF88" s="203"/>
      <c r="BG88" s="204"/>
    </row>
    <row r="89" spans="1:59">
      <c r="A89" s="19" t="str">
        <f>B!B276</f>
        <v>GARY</v>
      </c>
      <c r="B89" s="20">
        <f>'C'!B83</f>
        <v>50</v>
      </c>
      <c r="C89" s="20">
        <f>D!B83</f>
        <v>42</v>
      </c>
      <c r="D89" s="20">
        <f>E!B83</f>
        <v>41</v>
      </c>
      <c r="E89" s="20">
        <f>F!B83</f>
        <v>43</v>
      </c>
      <c r="F89" s="20">
        <f>G!B83</f>
        <v>0</v>
      </c>
      <c r="G89" s="20">
        <f>H!B83</f>
        <v>0</v>
      </c>
      <c r="H89" s="20">
        <f>I!B83</f>
        <v>0</v>
      </c>
      <c r="I89" s="20">
        <f>J!B83</f>
        <v>0</v>
      </c>
      <c r="J89" s="20">
        <f>K!B83</f>
        <v>0</v>
      </c>
      <c r="K89" s="20">
        <f>L!B83</f>
        <v>0</v>
      </c>
      <c r="L89" s="20">
        <f>M!B83</f>
        <v>0</v>
      </c>
      <c r="M89" s="20">
        <f>N!B83</f>
        <v>0</v>
      </c>
      <c r="N89" s="20">
        <f>O!B83</f>
        <v>0</v>
      </c>
      <c r="O89" s="20">
        <f>P!B83</f>
        <v>0</v>
      </c>
      <c r="P89" s="20">
        <f>Q!B83</f>
        <v>0</v>
      </c>
      <c r="Q89" s="20">
        <f>'R'!B83</f>
        <v>0</v>
      </c>
      <c r="R89" s="20">
        <f>S!B83</f>
        <v>0</v>
      </c>
      <c r="S89" s="20">
        <f>T!B83</f>
        <v>0</v>
      </c>
      <c r="T89" s="20">
        <f>U!B83</f>
        <v>0</v>
      </c>
      <c r="U89" s="20">
        <f>V!B83</f>
        <v>0</v>
      </c>
      <c r="V89" s="20">
        <f>W!B83</f>
        <v>0</v>
      </c>
      <c r="W89" s="20">
        <f>X!B83</f>
        <v>0</v>
      </c>
      <c r="X89" s="21">
        <f t="shared" ref="X89:X99" si="170">SUM(B89:W89)</f>
        <v>176</v>
      </c>
      <c r="Y89" s="22">
        <f>IF(AW89=0,0,X89/AW89)</f>
        <v>44</v>
      </c>
      <c r="Z89" s="122" t="str">
        <f t="shared" si="46"/>
        <v>GARY</v>
      </c>
      <c r="AA89" s="17">
        <f t="shared" ref="AA89:AA96" si="171">IF(B89=0,0,1)</f>
        <v>1</v>
      </c>
      <c r="AB89">
        <f t="shared" ref="AB89:AB96" si="172">IF(C89=0,0,1)</f>
        <v>1</v>
      </c>
      <c r="AC89">
        <f t="shared" ref="AC89:AC96" si="173">IF(D89=0,0,1)</f>
        <v>1</v>
      </c>
      <c r="AD89">
        <f t="shared" ref="AD89:AD96" si="174">IF(E89=0,0,1)</f>
        <v>1</v>
      </c>
      <c r="AE89">
        <f t="shared" ref="AE89:AE96" si="175">IF(F89=0,0,1)</f>
        <v>0</v>
      </c>
      <c r="AF89">
        <f t="shared" ref="AF89:AF96" si="176">IF(G89=0,0,1)</f>
        <v>0</v>
      </c>
      <c r="AG89">
        <f t="shared" ref="AG89:AG96" si="177">IF(H89=0,0,1)</f>
        <v>0</v>
      </c>
      <c r="AH89">
        <f t="shared" ref="AH89:AH96" si="178">IF(I89=0,0,1)</f>
        <v>0</v>
      </c>
      <c r="AI89">
        <f t="shared" ref="AI89:AI96" si="179">IF(J89=0,0,1)</f>
        <v>0</v>
      </c>
      <c r="AJ89">
        <f t="shared" ref="AJ89:AJ96" si="180">IF(K89=0,0,1)</f>
        <v>0</v>
      </c>
      <c r="AK89">
        <f t="shared" ref="AK89:AK96" si="181">IF(L89=0,0,1)</f>
        <v>0</v>
      </c>
      <c r="AL89">
        <f t="shared" ref="AL89:AL96" si="182">IF(M89=0,0,1)</f>
        <v>0</v>
      </c>
      <c r="AM89">
        <f t="shared" ref="AM89:AM96" si="183">IF(N89=0,0,1)</f>
        <v>0</v>
      </c>
      <c r="AN89">
        <f t="shared" ref="AN89:AN96" si="184">IF(O89=0,0,1)</f>
        <v>0</v>
      </c>
      <c r="AO89">
        <f t="shared" ref="AO89:AO96" si="185">IF(P89=0,0,1)</f>
        <v>0</v>
      </c>
      <c r="AP89">
        <f t="shared" ref="AP89:AP96" si="186">IF(Q89=0,0,1)</f>
        <v>0</v>
      </c>
      <c r="AQ89">
        <f t="shared" ref="AQ89:AQ96" si="187">IF(R89=0,0,1)</f>
        <v>0</v>
      </c>
      <c r="AR89">
        <f t="shared" ref="AR89:AR96" si="188">IF(S89=0,0,1)</f>
        <v>0</v>
      </c>
      <c r="AS89">
        <f t="shared" ref="AS89:AS96" si="189">IF(T89=0,0,1)</f>
        <v>0</v>
      </c>
      <c r="AT89">
        <f t="shared" ref="AT89:AT96" si="190">IF(U89=0,0,1)</f>
        <v>0</v>
      </c>
      <c r="AU89">
        <f t="shared" ref="AU89:AU96" si="191">IF(V89=0,0,1)</f>
        <v>0</v>
      </c>
      <c r="AV89">
        <f t="shared" ref="AV89:AV96" si="192">IF(W89=0,0,1)</f>
        <v>0</v>
      </c>
      <c r="AW89" s="23">
        <f t="shared" ref="AW89:AW96" si="193">SUM(AA89:AV89)</f>
        <v>4</v>
      </c>
      <c r="AX89" s="24">
        <f>IF(X89=0,0,X89)</f>
        <v>176</v>
      </c>
      <c r="AY89" s="121" t="str">
        <f>IF(X89=0,0,A89)</f>
        <v>GARY</v>
      </c>
      <c r="AZ89" s="124" t="str">
        <f>IF(AX89=0,0,A$88)</f>
        <v>YOUNG BLOODS</v>
      </c>
      <c r="BA89" s="243">
        <v>0</v>
      </c>
      <c r="BB89" s="198">
        <v>0</v>
      </c>
      <c r="BC89" s="244">
        <v>0</v>
      </c>
      <c r="BD89" s="24"/>
      <c r="BE89" s="23"/>
      <c r="BF89" s="203"/>
      <c r="BG89" s="204"/>
    </row>
    <row r="90" spans="1:59">
      <c r="A90" s="19" t="str">
        <f>B!B281</f>
        <v>RICH</v>
      </c>
      <c r="B90" s="20">
        <f>'C'!B84</f>
        <v>34</v>
      </c>
      <c r="C90" s="20">
        <f>D!B84</f>
        <v>19</v>
      </c>
      <c r="D90" s="20">
        <f>E!B84</f>
        <v>40</v>
      </c>
      <c r="E90" s="20">
        <f>F!B84</f>
        <v>35</v>
      </c>
      <c r="F90" s="20">
        <f>G!B84</f>
        <v>0</v>
      </c>
      <c r="G90" s="20">
        <f>H!B84</f>
        <v>0</v>
      </c>
      <c r="H90" s="20">
        <f>I!B84</f>
        <v>0</v>
      </c>
      <c r="I90" s="20">
        <f>J!B84</f>
        <v>0</v>
      </c>
      <c r="J90" s="20">
        <f>K!B84</f>
        <v>0</v>
      </c>
      <c r="K90" s="20">
        <f>L!B84</f>
        <v>0</v>
      </c>
      <c r="L90" s="20">
        <f>M!B84</f>
        <v>0</v>
      </c>
      <c r="M90" s="20">
        <f>N!B84</f>
        <v>0</v>
      </c>
      <c r="N90" s="20">
        <f>O!B84</f>
        <v>0</v>
      </c>
      <c r="O90" s="20">
        <f>P!B84</f>
        <v>0</v>
      </c>
      <c r="P90" s="20">
        <f>Q!B84</f>
        <v>0</v>
      </c>
      <c r="Q90" s="20">
        <f>'R'!B84</f>
        <v>0</v>
      </c>
      <c r="R90" s="20">
        <f>S!B84</f>
        <v>0</v>
      </c>
      <c r="S90" s="20">
        <f>T!B84</f>
        <v>0</v>
      </c>
      <c r="T90" s="20">
        <f>U!B84</f>
        <v>0</v>
      </c>
      <c r="U90" s="20">
        <f>V!B84</f>
        <v>0</v>
      </c>
      <c r="V90" s="20">
        <f>W!B84</f>
        <v>0</v>
      </c>
      <c r="W90" s="20">
        <f>X!B84</f>
        <v>0</v>
      </c>
      <c r="X90" s="21">
        <f t="shared" si="170"/>
        <v>128</v>
      </c>
      <c r="Y90" s="22">
        <f t="shared" ref="Y90:Y96" si="194">IF(AW90=0,0,X90/AW90)</f>
        <v>32</v>
      </c>
      <c r="Z90" s="122" t="str">
        <f t="shared" si="46"/>
        <v>RICH</v>
      </c>
      <c r="AA90" s="17">
        <f t="shared" si="171"/>
        <v>1</v>
      </c>
      <c r="AB90">
        <f t="shared" si="172"/>
        <v>1</v>
      </c>
      <c r="AC90">
        <f t="shared" si="173"/>
        <v>1</v>
      </c>
      <c r="AD90">
        <f t="shared" si="174"/>
        <v>1</v>
      </c>
      <c r="AE90">
        <f t="shared" si="175"/>
        <v>0</v>
      </c>
      <c r="AF90">
        <f t="shared" si="176"/>
        <v>0</v>
      </c>
      <c r="AG90">
        <f t="shared" si="177"/>
        <v>0</v>
      </c>
      <c r="AH90">
        <f t="shared" si="178"/>
        <v>0</v>
      </c>
      <c r="AI90">
        <f t="shared" si="179"/>
        <v>0</v>
      </c>
      <c r="AJ90">
        <f t="shared" si="180"/>
        <v>0</v>
      </c>
      <c r="AK90">
        <f t="shared" si="181"/>
        <v>0</v>
      </c>
      <c r="AL90">
        <f t="shared" si="182"/>
        <v>0</v>
      </c>
      <c r="AM90">
        <f t="shared" si="183"/>
        <v>0</v>
      </c>
      <c r="AN90">
        <f t="shared" si="184"/>
        <v>0</v>
      </c>
      <c r="AO90">
        <f t="shared" si="185"/>
        <v>0</v>
      </c>
      <c r="AP90">
        <f t="shared" si="186"/>
        <v>0</v>
      </c>
      <c r="AQ90">
        <f t="shared" si="187"/>
        <v>0</v>
      </c>
      <c r="AR90">
        <f t="shared" si="188"/>
        <v>0</v>
      </c>
      <c r="AS90">
        <f t="shared" si="189"/>
        <v>0</v>
      </c>
      <c r="AT90">
        <f t="shared" si="190"/>
        <v>0</v>
      </c>
      <c r="AU90">
        <f t="shared" si="191"/>
        <v>0</v>
      </c>
      <c r="AV90">
        <f t="shared" si="192"/>
        <v>0</v>
      </c>
      <c r="AW90" s="23">
        <f t="shared" si="193"/>
        <v>4</v>
      </c>
      <c r="AX90" s="24">
        <f t="shared" ref="AX90:AX96" si="195">IF(X90=0,0,X90)</f>
        <v>128</v>
      </c>
      <c r="AY90" s="121" t="str">
        <f t="shared" ref="AY90:AY96" si="196">IF(X90=0,0,A90)</f>
        <v>RICH</v>
      </c>
      <c r="AZ90" s="124" t="str">
        <f t="shared" ref="AZ90:AZ96" si="197">IF(AX90=0,0,A$88)</f>
        <v>YOUNG BLOODS</v>
      </c>
      <c r="BA90" s="243">
        <v>0</v>
      </c>
      <c r="BB90" s="198">
        <v>0</v>
      </c>
      <c r="BC90" s="244">
        <v>0</v>
      </c>
      <c r="BD90" s="24"/>
      <c r="BE90" s="23"/>
      <c r="BF90" s="203"/>
      <c r="BG90" s="204"/>
    </row>
    <row r="91" spans="1:59">
      <c r="A91" s="19" t="str">
        <f>B!B286</f>
        <v>VIC</v>
      </c>
      <c r="B91" s="20">
        <f>'C'!B85</f>
        <v>46</v>
      </c>
      <c r="C91" s="20">
        <f>D!B85</f>
        <v>36</v>
      </c>
      <c r="D91" s="20">
        <f>E!B85</f>
        <v>40</v>
      </c>
      <c r="E91" s="20">
        <f>F!B85</f>
        <v>47</v>
      </c>
      <c r="F91" s="20">
        <f>G!B85</f>
        <v>0</v>
      </c>
      <c r="G91" s="20">
        <f>H!B85</f>
        <v>0</v>
      </c>
      <c r="H91" s="20">
        <f>I!B85</f>
        <v>0</v>
      </c>
      <c r="I91" s="20">
        <f>J!B85</f>
        <v>0</v>
      </c>
      <c r="J91" s="20">
        <f>K!B85</f>
        <v>0</v>
      </c>
      <c r="K91" s="20">
        <f>L!B85</f>
        <v>0</v>
      </c>
      <c r="L91" s="20">
        <f>M!B85</f>
        <v>0</v>
      </c>
      <c r="M91" s="20">
        <f>N!B85</f>
        <v>0</v>
      </c>
      <c r="N91" s="20">
        <f>O!B85</f>
        <v>0</v>
      </c>
      <c r="O91" s="20">
        <f>P!B85</f>
        <v>0</v>
      </c>
      <c r="P91" s="20">
        <f>Q!B85</f>
        <v>0</v>
      </c>
      <c r="Q91" s="20">
        <f>'R'!B85</f>
        <v>0</v>
      </c>
      <c r="R91" s="20">
        <f>S!B85</f>
        <v>0</v>
      </c>
      <c r="S91" s="20">
        <f>T!B85</f>
        <v>0</v>
      </c>
      <c r="T91" s="20">
        <f>U!B85</f>
        <v>0</v>
      </c>
      <c r="U91" s="20">
        <f>V!B85</f>
        <v>0</v>
      </c>
      <c r="V91" s="20">
        <f>W!B85</f>
        <v>0</v>
      </c>
      <c r="W91" s="20">
        <f>X!B85</f>
        <v>0</v>
      </c>
      <c r="X91" s="21">
        <f t="shared" si="170"/>
        <v>169</v>
      </c>
      <c r="Y91" s="22">
        <f t="shared" si="194"/>
        <v>42.25</v>
      </c>
      <c r="Z91" s="122" t="str">
        <f t="shared" si="46"/>
        <v>VIC</v>
      </c>
      <c r="AA91" s="17">
        <f t="shared" si="171"/>
        <v>1</v>
      </c>
      <c r="AB91">
        <f t="shared" si="172"/>
        <v>1</v>
      </c>
      <c r="AC91">
        <f t="shared" si="173"/>
        <v>1</v>
      </c>
      <c r="AD91">
        <f t="shared" si="174"/>
        <v>1</v>
      </c>
      <c r="AE91">
        <f t="shared" si="175"/>
        <v>0</v>
      </c>
      <c r="AF91">
        <f t="shared" si="176"/>
        <v>0</v>
      </c>
      <c r="AG91">
        <f t="shared" si="177"/>
        <v>0</v>
      </c>
      <c r="AH91">
        <f t="shared" si="178"/>
        <v>0</v>
      </c>
      <c r="AI91">
        <f t="shared" si="179"/>
        <v>0</v>
      </c>
      <c r="AJ91">
        <f t="shared" si="180"/>
        <v>0</v>
      </c>
      <c r="AK91">
        <f t="shared" si="181"/>
        <v>0</v>
      </c>
      <c r="AL91">
        <f t="shared" si="182"/>
        <v>0</v>
      </c>
      <c r="AM91">
        <f t="shared" si="183"/>
        <v>0</v>
      </c>
      <c r="AN91">
        <f t="shared" si="184"/>
        <v>0</v>
      </c>
      <c r="AO91">
        <f t="shared" si="185"/>
        <v>0</v>
      </c>
      <c r="AP91">
        <f t="shared" si="186"/>
        <v>0</v>
      </c>
      <c r="AQ91">
        <f t="shared" si="187"/>
        <v>0</v>
      </c>
      <c r="AR91">
        <f t="shared" si="188"/>
        <v>0</v>
      </c>
      <c r="AS91">
        <f t="shared" si="189"/>
        <v>0</v>
      </c>
      <c r="AT91">
        <f t="shared" si="190"/>
        <v>0</v>
      </c>
      <c r="AU91">
        <f t="shared" si="191"/>
        <v>0</v>
      </c>
      <c r="AV91">
        <f t="shared" si="192"/>
        <v>0</v>
      </c>
      <c r="AW91" s="23">
        <f t="shared" si="193"/>
        <v>4</v>
      </c>
      <c r="AX91" s="24">
        <f t="shared" si="195"/>
        <v>169</v>
      </c>
      <c r="AY91" s="121" t="str">
        <f t="shared" si="196"/>
        <v>VIC</v>
      </c>
      <c r="AZ91" s="124" t="str">
        <f t="shared" si="197"/>
        <v>YOUNG BLOODS</v>
      </c>
      <c r="BA91" s="243">
        <v>0</v>
      </c>
      <c r="BB91" s="198">
        <v>0</v>
      </c>
      <c r="BC91" s="244">
        <v>0</v>
      </c>
      <c r="BD91" s="24"/>
      <c r="BE91" s="23"/>
      <c r="BF91" s="203"/>
      <c r="BG91" s="204"/>
    </row>
    <row r="92" spans="1:59">
      <c r="A92" s="19" t="str">
        <f>B!B291</f>
        <v>JIM</v>
      </c>
      <c r="B92" s="20">
        <f>'C'!B86</f>
        <v>39</v>
      </c>
      <c r="C92" s="20">
        <f>D!B86</f>
        <v>41</v>
      </c>
      <c r="D92" s="20">
        <f>E!B86</f>
        <v>30</v>
      </c>
      <c r="E92" s="20">
        <f>F!B86</f>
        <v>40</v>
      </c>
      <c r="F92" s="20">
        <f>G!B86</f>
        <v>0</v>
      </c>
      <c r="G92" s="20">
        <f>H!B86</f>
        <v>0</v>
      </c>
      <c r="H92" s="20">
        <f>I!B86</f>
        <v>0</v>
      </c>
      <c r="I92" s="20">
        <f>J!B86</f>
        <v>0</v>
      </c>
      <c r="J92" s="20">
        <f>K!B86</f>
        <v>0</v>
      </c>
      <c r="K92" s="20">
        <f>L!B86</f>
        <v>0</v>
      </c>
      <c r="L92" s="20">
        <f>M!B86</f>
        <v>0</v>
      </c>
      <c r="M92" s="20">
        <f>N!B86</f>
        <v>0</v>
      </c>
      <c r="N92" s="20">
        <f>O!B86</f>
        <v>0</v>
      </c>
      <c r="O92" s="20">
        <f>P!B86</f>
        <v>0</v>
      </c>
      <c r="P92" s="20">
        <f>Q!B86</f>
        <v>0</v>
      </c>
      <c r="Q92" s="20">
        <f>'R'!B86</f>
        <v>0</v>
      </c>
      <c r="R92" s="20">
        <f>S!B86</f>
        <v>0</v>
      </c>
      <c r="S92" s="20">
        <f>T!B86</f>
        <v>0</v>
      </c>
      <c r="T92" s="20">
        <f>U!B86</f>
        <v>0</v>
      </c>
      <c r="U92" s="20">
        <f>V!B86</f>
        <v>0</v>
      </c>
      <c r="V92" s="20">
        <f>W!B86</f>
        <v>0</v>
      </c>
      <c r="W92" s="20">
        <f>X!B86</f>
        <v>0</v>
      </c>
      <c r="X92" s="21">
        <f t="shared" si="170"/>
        <v>150</v>
      </c>
      <c r="Y92" s="22">
        <f t="shared" si="194"/>
        <v>37.5</v>
      </c>
      <c r="Z92" s="122" t="str">
        <f t="shared" si="46"/>
        <v>JIM</v>
      </c>
      <c r="AA92" s="17">
        <f t="shared" si="171"/>
        <v>1</v>
      </c>
      <c r="AB92">
        <f t="shared" si="172"/>
        <v>1</v>
      </c>
      <c r="AC92">
        <f t="shared" si="173"/>
        <v>1</v>
      </c>
      <c r="AD92">
        <f t="shared" si="174"/>
        <v>1</v>
      </c>
      <c r="AE92">
        <f t="shared" si="175"/>
        <v>0</v>
      </c>
      <c r="AF92">
        <f t="shared" si="176"/>
        <v>0</v>
      </c>
      <c r="AG92">
        <f t="shared" si="177"/>
        <v>0</v>
      </c>
      <c r="AH92">
        <f t="shared" si="178"/>
        <v>0</v>
      </c>
      <c r="AI92">
        <f t="shared" si="179"/>
        <v>0</v>
      </c>
      <c r="AJ92">
        <f t="shared" si="180"/>
        <v>0</v>
      </c>
      <c r="AK92">
        <f t="shared" si="181"/>
        <v>0</v>
      </c>
      <c r="AL92">
        <f t="shared" si="182"/>
        <v>0</v>
      </c>
      <c r="AM92">
        <f t="shared" si="183"/>
        <v>0</v>
      </c>
      <c r="AN92">
        <f t="shared" si="184"/>
        <v>0</v>
      </c>
      <c r="AO92">
        <f t="shared" si="185"/>
        <v>0</v>
      </c>
      <c r="AP92">
        <f t="shared" si="186"/>
        <v>0</v>
      </c>
      <c r="AQ92">
        <f t="shared" si="187"/>
        <v>0</v>
      </c>
      <c r="AR92">
        <f t="shared" si="188"/>
        <v>0</v>
      </c>
      <c r="AS92">
        <f t="shared" si="189"/>
        <v>0</v>
      </c>
      <c r="AT92">
        <f t="shared" si="190"/>
        <v>0</v>
      </c>
      <c r="AU92">
        <f t="shared" si="191"/>
        <v>0</v>
      </c>
      <c r="AV92">
        <f t="shared" si="192"/>
        <v>0</v>
      </c>
      <c r="AW92" s="23">
        <f t="shared" si="193"/>
        <v>4</v>
      </c>
      <c r="AX92" s="24">
        <f t="shared" si="195"/>
        <v>150</v>
      </c>
      <c r="AY92" s="121" t="str">
        <f t="shared" si="196"/>
        <v>JIM</v>
      </c>
      <c r="AZ92" s="124" t="str">
        <f t="shared" si="197"/>
        <v>YOUNG BLOODS</v>
      </c>
      <c r="BA92" s="243">
        <v>0</v>
      </c>
      <c r="BB92" s="198">
        <v>0</v>
      </c>
      <c r="BC92" s="244">
        <v>0</v>
      </c>
      <c r="BD92" s="24"/>
      <c r="BE92" s="23"/>
      <c r="BF92" s="203"/>
      <c r="BG92" s="204"/>
    </row>
    <row r="93" spans="1:59">
      <c r="A93" s="19" t="str">
        <f>B!B296</f>
        <v>PAM</v>
      </c>
      <c r="B93" s="20">
        <f>'C'!B87</f>
        <v>41</v>
      </c>
      <c r="C93" s="20">
        <f>D!B87</f>
        <v>38</v>
      </c>
      <c r="D93" s="20">
        <f>E!B87</f>
        <v>45</v>
      </c>
      <c r="E93" s="20">
        <f>F!B87</f>
        <v>42</v>
      </c>
      <c r="F93" s="20">
        <f>G!B87</f>
        <v>0</v>
      </c>
      <c r="G93" s="20">
        <f>H!B87</f>
        <v>0</v>
      </c>
      <c r="H93" s="20">
        <f>I!B87</f>
        <v>0</v>
      </c>
      <c r="I93" s="20">
        <f>J!B87</f>
        <v>0</v>
      </c>
      <c r="J93" s="20">
        <f>K!B87</f>
        <v>0</v>
      </c>
      <c r="K93" s="20">
        <f>L!B87</f>
        <v>0</v>
      </c>
      <c r="L93" s="20">
        <f>M!B87</f>
        <v>0</v>
      </c>
      <c r="M93" s="20">
        <f>N!B87</f>
        <v>0</v>
      </c>
      <c r="N93" s="20">
        <f>O!B87</f>
        <v>0</v>
      </c>
      <c r="O93" s="20">
        <f>P!B87</f>
        <v>0</v>
      </c>
      <c r="P93" s="20">
        <f>Q!B87</f>
        <v>0</v>
      </c>
      <c r="Q93" s="20">
        <f>'R'!B87</f>
        <v>0</v>
      </c>
      <c r="R93" s="20">
        <f>S!B87</f>
        <v>0</v>
      </c>
      <c r="S93" s="20">
        <f>T!B87</f>
        <v>0</v>
      </c>
      <c r="T93" s="20">
        <f>U!B87</f>
        <v>0</v>
      </c>
      <c r="U93" s="20">
        <f>V!B87</f>
        <v>0</v>
      </c>
      <c r="V93" s="20">
        <f>W!B87</f>
        <v>0</v>
      </c>
      <c r="W93" s="20">
        <f>X!B87</f>
        <v>0</v>
      </c>
      <c r="X93" s="21">
        <f t="shared" si="170"/>
        <v>166</v>
      </c>
      <c r="Y93" s="22">
        <f t="shared" si="194"/>
        <v>41.5</v>
      </c>
      <c r="Z93" s="122" t="str">
        <f t="shared" si="46"/>
        <v>PAM</v>
      </c>
      <c r="AA93" s="17">
        <f t="shared" si="171"/>
        <v>1</v>
      </c>
      <c r="AB93">
        <f t="shared" si="172"/>
        <v>1</v>
      </c>
      <c r="AC93">
        <f t="shared" si="173"/>
        <v>1</v>
      </c>
      <c r="AD93">
        <f t="shared" si="174"/>
        <v>1</v>
      </c>
      <c r="AE93">
        <f t="shared" si="175"/>
        <v>0</v>
      </c>
      <c r="AF93">
        <f t="shared" si="176"/>
        <v>0</v>
      </c>
      <c r="AG93">
        <f t="shared" si="177"/>
        <v>0</v>
      </c>
      <c r="AH93">
        <f t="shared" si="178"/>
        <v>0</v>
      </c>
      <c r="AI93">
        <f t="shared" si="179"/>
        <v>0</v>
      </c>
      <c r="AJ93">
        <f t="shared" si="180"/>
        <v>0</v>
      </c>
      <c r="AK93">
        <f t="shared" si="181"/>
        <v>0</v>
      </c>
      <c r="AL93">
        <f t="shared" si="182"/>
        <v>0</v>
      </c>
      <c r="AM93">
        <f t="shared" si="183"/>
        <v>0</v>
      </c>
      <c r="AN93">
        <f t="shared" si="184"/>
        <v>0</v>
      </c>
      <c r="AO93">
        <f t="shared" si="185"/>
        <v>0</v>
      </c>
      <c r="AP93">
        <f t="shared" si="186"/>
        <v>0</v>
      </c>
      <c r="AQ93">
        <f t="shared" si="187"/>
        <v>0</v>
      </c>
      <c r="AR93">
        <f t="shared" si="188"/>
        <v>0</v>
      </c>
      <c r="AS93">
        <f t="shared" si="189"/>
        <v>0</v>
      </c>
      <c r="AT93">
        <f t="shared" si="190"/>
        <v>0</v>
      </c>
      <c r="AU93">
        <f t="shared" si="191"/>
        <v>0</v>
      </c>
      <c r="AV93">
        <f t="shared" si="192"/>
        <v>0</v>
      </c>
      <c r="AW93" s="23">
        <f t="shared" si="193"/>
        <v>4</v>
      </c>
      <c r="AX93" s="24">
        <f t="shared" si="195"/>
        <v>166</v>
      </c>
      <c r="AY93" s="121" t="str">
        <f t="shared" si="196"/>
        <v>PAM</v>
      </c>
      <c r="AZ93" s="124" t="str">
        <f t="shared" si="197"/>
        <v>YOUNG BLOODS</v>
      </c>
      <c r="BA93" s="243">
        <v>0</v>
      </c>
      <c r="BB93" s="198">
        <v>0</v>
      </c>
      <c r="BC93" s="244">
        <v>0</v>
      </c>
      <c r="BD93" s="24"/>
      <c r="BE93" s="23"/>
      <c r="BF93" s="203"/>
      <c r="BG93" s="204"/>
    </row>
    <row r="94" spans="1:59">
      <c r="A94" s="19">
        <f>B!B301</f>
        <v>0</v>
      </c>
      <c r="B94" s="20">
        <f>'C'!B88</f>
        <v>0</v>
      </c>
      <c r="C94" s="20">
        <f>D!B88</f>
        <v>0</v>
      </c>
      <c r="D94" s="20">
        <f>E!B88</f>
        <v>0</v>
      </c>
      <c r="E94" s="20">
        <f>F!B88</f>
        <v>0</v>
      </c>
      <c r="F94" s="20">
        <f>G!B88</f>
        <v>0</v>
      </c>
      <c r="G94" s="20">
        <f>H!B88</f>
        <v>0</v>
      </c>
      <c r="H94" s="20">
        <f>I!B88</f>
        <v>0</v>
      </c>
      <c r="I94" s="20">
        <f>J!B88</f>
        <v>0</v>
      </c>
      <c r="J94" s="20">
        <f>K!B88</f>
        <v>0</v>
      </c>
      <c r="K94" s="20">
        <f>L!B88</f>
        <v>0</v>
      </c>
      <c r="L94" s="20">
        <f>M!B88</f>
        <v>0</v>
      </c>
      <c r="M94" s="20">
        <f>N!B88</f>
        <v>0</v>
      </c>
      <c r="N94" s="20">
        <f>O!B88</f>
        <v>0</v>
      </c>
      <c r="O94" s="20">
        <f>P!B88</f>
        <v>0</v>
      </c>
      <c r="P94" s="20">
        <f>Q!B88</f>
        <v>0</v>
      </c>
      <c r="Q94" s="20">
        <f>'R'!B88</f>
        <v>0</v>
      </c>
      <c r="R94" s="20">
        <f>S!B88</f>
        <v>0</v>
      </c>
      <c r="S94" s="20">
        <f>T!B88</f>
        <v>0</v>
      </c>
      <c r="T94" s="20">
        <f>U!B88</f>
        <v>0</v>
      </c>
      <c r="U94" s="20">
        <f>V!B88</f>
        <v>0</v>
      </c>
      <c r="V94" s="20">
        <f>W!B88</f>
        <v>0</v>
      </c>
      <c r="W94" s="20">
        <f>X!B88</f>
        <v>0</v>
      </c>
      <c r="X94" s="21">
        <f t="shared" si="170"/>
        <v>0</v>
      </c>
      <c r="Y94" s="22">
        <f t="shared" si="194"/>
        <v>0</v>
      </c>
      <c r="Z94" s="122">
        <f t="shared" si="46"/>
        <v>0</v>
      </c>
      <c r="AA94" s="17">
        <f t="shared" si="171"/>
        <v>0</v>
      </c>
      <c r="AB94">
        <f t="shared" si="172"/>
        <v>0</v>
      </c>
      <c r="AC94">
        <f t="shared" si="173"/>
        <v>0</v>
      </c>
      <c r="AD94">
        <f t="shared" si="174"/>
        <v>0</v>
      </c>
      <c r="AE94">
        <f t="shared" si="175"/>
        <v>0</v>
      </c>
      <c r="AF94">
        <f t="shared" si="176"/>
        <v>0</v>
      </c>
      <c r="AG94">
        <f t="shared" si="177"/>
        <v>0</v>
      </c>
      <c r="AH94">
        <f t="shared" si="178"/>
        <v>0</v>
      </c>
      <c r="AI94">
        <f t="shared" si="179"/>
        <v>0</v>
      </c>
      <c r="AJ94">
        <f t="shared" si="180"/>
        <v>0</v>
      </c>
      <c r="AK94">
        <f t="shared" si="181"/>
        <v>0</v>
      </c>
      <c r="AL94">
        <f t="shared" si="182"/>
        <v>0</v>
      </c>
      <c r="AM94">
        <f t="shared" si="183"/>
        <v>0</v>
      </c>
      <c r="AN94">
        <f t="shared" si="184"/>
        <v>0</v>
      </c>
      <c r="AO94">
        <f t="shared" si="185"/>
        <v>0</v>
      </c>
      <c r="AP94">
        <f t="shared" si="186"/>
        <v>0</v>
      </c>
      <c r="AQ94">
        <f t="shared" si="187"/>
        <v>0</v>
      </c>
      <c r="AR94">
        <f t="shared" si="188"/>
        <v>0</v>
      </c>
      <c r="AS94">
        <f t="shared" si="189"/>
        <v>0</v>
      </c>
      <c r="AT94">
        <f t="shared" si="190"/>
        <v>0</v>
      </c>
      <c r="AU94">
        <f t="shared" si="191"/>
        <v>0</v>
      </c>
      <c r="AV94">
        <f t="shared" si="192"/>
        <v>0</v>
      </c>
      <c r="AW94" s="23">
        <f t="shared" si="193"/>
        <v>0</v>
      </c>
      <c r="AX94" s="24">
        <f t="shared" si="195"/>
        <v>0</v>
      </c>
      <c r="AY94" s="121">
        <f t="shared" si="196"/>
        <v>0</v>
      </c>
      <c r="AZ94" s="124">
        <f t="shared" si="197"/>
        <v>0</v>
      </c>
      <c r="BA94" s="243">
        <v>0</v>
      </c>
      <c r="BB94" s="198">
        <v>0</v>
      </c>
      <c r="BC94" s="244">
        <v>0</v>
      </c>
      <c r="BD94" s="24"/>
      <c r="BE94" s="23"/>
      <c r="BF94" s="203"/>
      <c r="BG94" s="204"/>
    </row>
    <row r="95" spans="1:59">
      <c r="A95" s="19">
        <f>B!B306</f>
        <v>0</v>
      </c>
      <c r="B95" s="20">
        <f>'C'!B89</f>
        <v>0</v>
      </c>
      <c r="C95" s="20">
        <f>D!B89</f>
        <v>0</v>
      </c>
      <c r="D95" s="20">
        <f>E!B89</f>
        <v>0</v>
      </c>
      <c r="E95" s="20">
        <f>F!B89</f>
        <v>0</v>
      </c>
      <c r="F95" s="20">
        <f>G!B89</f>
        <v>0</v>
      </c>
      <c r="G95" s="20">
        <f>H!B89</f>
        <v>0</v>
      </c>
      <c r="H95" s="20">
        <f>I!B89</f>
        <v>0</v>
      </c>
      <c r="I95" s="20">
        <f>J!B89</f>
        <v>0</v>
      </c>
      <c r="J95" s="20">
        <f>K!B89</f>
        <v>0</v>
      </c>
      <c r="K95" s="20">
        <f>L!B89</f>
        <v>0</v>
      </c>
      <c r="L95" s="20">
        <f>M!B89</f>
        <v>0</v>
      </c>
      <c r="M95" s="20">
        <f>N!B89</f>
        <v>0</v>
      </c>
      <c r="N95" s="20">
        <f>O!B89</f>
        <v>0</v>
      </c>
      <c r="O95" s="20">
        <f>P!B89</f>
        <v>0</v>
      </c>
      <c r="P95" s="20">
        <f>Q!B89</f>
        <v>0</v>
      </c>
      <c r="Q95" s="20">
        <f>'R'!B89</f>
        <v>0</v>
      </c>
      <c r="R95" s="20">
        <f>S!B89</f>
        <v>0</v>
      </c>
      <c r="S95" s="20">
        <f>T!B89</f>
        <v>0</v>
      </c>
      <c r="T95" s="20">
        <f>U!B89</f>
        <v>0</v>
      </c>
      <c r="U95" s="20">
        <f>V!B89</f>
        <v>0</v>
      </c>
      <c r="V95" s="20">
        <f>W!B89</f>
        <v>0</v>
      </c>
      <c r="W95" s="20">
        <f>X!B89</f>
        <v>0</v>
      </c>
      <c r="X95" s="21">
        <f t="shared" si="170"/>
        <v>0</v>
      </c>
      <c r="Y95" s="22">
        <f t="shared" si="194"/>
        <v>0</v>
      </c>
      <c r="Z95" s="122">
        <f t="shared" si="46"/>
        <v>0</v>
      </c>
      <c r="AA95" s="17">
        <f t="shared" si="171"/>
        <v>0</v>
      </c>
      <c r="AB95">
        <f t="shared" si="172"/>
        <v>0</v>
      </c>
      <c r="AC95">
        <f t="shared" si="173"/>
        <v>0</v>
      </c>
      <c r="AD95">
        <f t="shared" si="174"/>
        <v>0</v>
      </c>
      <c r="AE95">
        <f t="shared" si="175"/>
        <v>0</v>
      </c>
      <c r="AF95">
        <f t="shared" si="176"/>
        <v>0</v>
      </c>
      <c r="AG95">
        <f t="shared" si="177"/>
        <v>0</v>
      </c>
      <c r="AH95">
        <f t="shared" si="178"/>
        <v>0</v>
      </c>
      <c r="AI95">
        <f t="shared" si="179"/>
        <v>0</v>
      </c>
      <c r="AJ95">
        <f t="shared" si="180"/>
        <v>0</v>
      </c>
      <c r="AK95">
        <f t="shared" si="181"/>
        <v>0</v>
      </c>
      <c r="AL95">
        <f t="shared" si="182"/>
        <v>0</v>
      </c>
      <c r="AM95">
        <f t="shared" si="183"/>
        <v>0</v>
      </c>
      <c r="AN95">
        <f t="shared" si="184"/>
        <v>0</v>
      </c>
      <c r="AO95">
        <f t="shared" si="185"/>
        <v>0</v>
      </c>
      <c r="AP95">
        <f t="shared" si="186"/>
        <v>0</v>
      </c>
      <c r="AQ95">
        <f t="shared" si="187"/>
        <v>0</v>
      </c>
      <c r="AR95">
        <f t="shared" si="188"/>
        <v>0</v>
      </c>
      <c r="AS95">
        <f t="shared" si="189"/>
        <v>0</v>
      </c>
      <c r="AT95">
        <f t="shared" si="190"/>
        <v>0</v>
      </c>
      <c r="AU95">
        <f t="shared" si="191"/>
        <v>0</v>
      </c>
      <c r="AV95">
        <f t="shared" si="192"/>
        <v>0</v>
      </c>
      <c r="AW95" s="23">
        <f t="shared" si="193"/>
        <v>0</v>
      </c>
      <c r="AX95" s="24">
        <f t="shared" si="195"/>
        <v>0</v>
      </c>
      <c r="AY95" s="121">
        <f t="shared" si="196"/>
        <v>0</v>
      </c>
      <c r="AZ95" s="124">
        <f t="shared" si="197"/>
        <v>0</v>
      </c>
      <c r="BA95" s="243">
        <v>0</v>
      </c>
      <c r="BB95" s="198">
        <v>0</v>
      </c>
      <c r="BC95" s="244">
        <v>0</v>
      </c>
      <c r="BD95" s="24"/>
      <c r="BE95" s="23"/>
      <c r="BF95" s="203"/>
      <c r="BG95" s="204"/>
    </row>
    <row r="96" spans="1:59" ht="15.75" thickBot="1">
      <c r="A96" s="17">
        <f>B!B311</f>
        <v>0</v>
      </c>
      <c r="B96" s="20">
        <f>'C'!B90</f>
        <v>0</v>
      </c>
      <c r="C96" s="20">
        <f>D!B90</f>
        <v>0</v>
      </c>
      <c r="D96" s="20">
        <f>E!B90</f>
        <v>0</v>
      </c>
      <c r="E96" s="20">
        <f>F!B90</f>
        <v>0</v>
      </c>
      <c r="F96" s="20">
        <f>G!B90</f>
        <v>0</v>
      </c>
      <c r="G96" s="20">
        <f>H!B90</f>
        <v>0</v>
      </c>
      <c r="H96" s="20">
        <f>I!B90</f>
        <v>0</v>
      </c>
      <c r="I96" s="20">
        <f>J!B90</f>
        <v>0</v>
      </c>
      <c r="J96" s="20">
        <f>K!B90</f>
        <v>0</v>
      </c>
      <c r="K96" s="20">
        <f>L!B90</f>
        <v>0</v>
      </c>
      <c r="L96" s="20">
        <f>M!B90</f>
        <v>0</v>
      </c>
      <c r="M96" s="20">
        <f>N!B90</f>
        <v>0</v>
      </c>
      <c r="N96" s="20">
        <f>O!B90</f>
        <v>0</v>
      </c>
      <c r="O96" s="20">
        <f>P!B90</f>
        <v>0</v>
      </c>
      <c r="P96" s="20">
        <f>Q!B90</f>
        <v>0</v>
      </c>
      <c r="Q96" s="20">
        <f>'R'!B90</f>
        <v>0</v>
      </c>
      <c r="R96" s="20">
        <f>S!B90</f>
        <v>0</v>
      </c>
      <c r="S96" s="20">
        <f>T!B90</f>
        <v>0</v>
      </c>
      <c r="T96" s="20">
        <f>U!B90</f>
        <v>0</v>
      </c>
      <c r="U96" s="20">
        <f>V!B90</f>
        <v>0</v>
      </c>
      <c r="V96" s="20">
        <f>W!B90</f>
        <v>0</v>
      </c>
      <c r="W96" s="20">
        <f>X!B90</f>
        <v>0</v>
      </c>
      <c r="X96" s="21">
        <f t="shared" si="170"/>
        <v>0</v>
      </c>
      <c r="Y96" s="22">
        <f t="shared" si="194"/>
        <v>0</v>
      </c>
      <c r="Z96" s="122">
        <f t="shared" si="46"/>
        <v>0</v>
      </c>
      <c r="AA96" s="17">
        <f t="shared" si="171"/>
        <v>0</v>
      </c>
      <c r="AB96">
        <f t="shared" si="172"/>
        <v>0</v>
      </c>
      <c r="AC96">
        <f t="shared" si="173"/>
        <v>0</v>
      </c>
      <c r="AD96">
        <f t="shared" si="174"/>
        <v>0</v>
      </c>
      <c r="AE96">
        <f t="shared" si="175"/>
        <v>0</v>
      </c>
      <c r="AF96">
        <f t="shared" si="176"/>
        <v>0</v>
      </c>
      <c r="AG96">
        <f t="shared" si="177"/>
        <v>0</v>
      </c>
      <c r="AH96">
        <f t="shared" si="178"/>
        <v>0</v>
      </c>
      <c r="AI96">
        <f t="shared" si="179"/>
        <v>0</v>
      </c>
      <c r="AJ96">
        <f t="shared" si="180"/>
        <v>0</v>
      </c>
      <c r="AK96">
        <f t="shared" si="181"/>
        <v>0</v>
      </c>
      <c r="AL96">
        <f t="shared" si="182"/>
        <v>0</v>
      </c>
      <c r="AM96">
        <f t="shared" si="183"/>
        <v>0</v>
      </c>
      <c r="AN96">
        <f t="shared" si="184"/>
        <v>0</v>
      </c>
      <c r="AO96">
        <f t="shared" si="185"/>
        <v>0</v>
      </c>
      <c r="AP96">
        <f t="shared" si="186"/>
        <v>0</v>
      </c>
      <c r="AQ96">
        <f t="shared" si="187"/>
        <v>0</v>
      </c>
      <c r="AR96">
        <f t="shared" si="188"/>
        <v>0</v>
      </c>
      <c r="AS96">
        <f t="shared" si="189"/>
        <v>0</v>
      </c>
      <c r="AT96">
        <f t="shared" si="190"/>
        <v>0</v>
      </c>
      <c r="AU96">
        <f t="shared" si="191"/>
        <v>0</v>
      </c>
      <c r="AV96">
        <f t="shared" si="192"/>
        <v>0</v>
      </c>
      <c r="AW96" s="23">
        <f t="shared" si="193"/>
        <v>0</v>
      </c>
      <c r="AX96" s="24">
        <f t="shared" si="195"/>
        <v>0</v>
      </c>
      <c r="AY96" s="121">
        <f t="shared" si="196"/>
        <v>0</v>
      </c>
      <c r="AZ96" s="124">
        <f t="shared" si="197"/>
        <v>0</v>
      </c>
      <c r="BA96" s="243">
        <v>0</v>
      </c>
      <c r="BB96" s="198">
        <v>0</v>
      </c>
      <c r="BC96" s="244">
        <v>0</v>
      </c>
      <c r="BD96" s="24"/>
      <c r="BE96" s="23"/>
      <c r="BF96" s="203"/>
      <c r="BG96" s="204"/>
    </row>
    <row r="97" spans="1:59" ht="15.75" thickTop="1">
      <c r="A97" s="133" t="s">
        <v>134</v>
      </c>
      <c r="B97" s="134">
        <f t="shared" ref="B97:W97" si="198">SUM(B89:B96)</f>
        <v>210</v>
      </c>
      <c r="C97" s="134">
        <f t="shared" si="198"/>
        <v>176</v>
      </c>
      <c r="D97" s="134">
        <f t="shared" si="198"/>
        <v>196</v>
      </c>
      <c r="E97" s="134">
        <f t="shared" si="198"/>
        <v>207</v>
      </c>
      <c r="F97" s="134">
        <f t="shared" si="198"/>
        <v>0</v>
      </c>
      <c r="G97" s="134">
        <f t="shared" si="198"/>
        <v>0</v>
      </c>
      <c r="H97" s="134">
        <f t="shared" si="198"/>
        <v>0</v>
      </c>
      <c r="I97" s="134">
        <f t="shared" si="198"/>
        <v>0</v>
      </c>
      <c r="J97" s="134">
        <f t="shared" si="198"/>
        <v>0</v>
      </c>
      <c r="K97" s="134">
        <f t="shared" si="198"/>
        <v>0</v>
      </c>
      <c r="L97" s="134">
        <f t="shared" si="198"/>
        <v>0</v>
      </c>
      <c r="M97" s="134">
        <f t="shared" si="198"/>
        <v>0</v>
      </c>
      <c r="N97" s="134">
        <f t="shared" si="198"/>
        <v>0</v>
      </c>
      <c r="O97" s="134">
        <f t="shared" si="198"/>
        <v>0</v>
      </c>
      <c r="P97" s="134">
        <f t="shared" si="198"/>
        <v>0</v>
      </c>
      <c r="Q97" s="134">
        <f t="shared" si="198"/>
        <v>0</v>
      </c>
      <c r="R97" s="134">
        <f t="shared" si="198"/>
        <v>0</v>
      </c>
      <c r="S97" s="134">
        <f t="shared" si="198"/>
        <v>0</v>
      </c>
      <c r="T97" s="134">
        <f t="shared" si="198"/>
        <v>0</v>
      </c>
      <c r="U97" s="134">
        <f t="shared" si="198"/>
        <v>0</v>
      </c>
      <c r="V97" s="134">
        <f t="shared" si="198"/>
        <v>0</v>
      </c>
      <c r="W97" s="134">
        <f t="shared" si="198"/>
        <v>0</v>
      </c>
      <c r="X97" s="135">
        <f t="shared" si="170"/>
        <v>789</v>
      </c>
      <c r="Y97" s="137">
        <f>IF(X97=0,0,X97/AW97)</f>
        <v>197.25</v>
      </c>
      <c r="Z97" s="122"/>
      <c r="AA97" s="138">
        <f t="shared" ref="AA97:AV97" si="199">SUM(AA89:AA96)</f>
        <v>5</v>
      </c>
      <c r="AB97" s="11">
        <f t="shared" si="199"/>
        <v>5</v>
      </c>
      <c r="AC97" s="11">
        <f t="shared" si="199"/>
        <v>5</v>
      </c>
      <c r="AD97" s="11">
        <f t="shared" si="199"/>
        <v>5</v>
      </c>
      <c r="AE97" s="11">
        <f t="shared" si="199"/>
        <v>0</v>
      </c>
      <c r="AF97" s="11">
        <f t="shared" si="199"/>
        <v>0</v>
      </c>
      <c r="AG97" s="11">
        <f t="shared" si="199"/>
        <v>0</v>
      </c>
      <c r="AH97" s="11">
        <f t="shared" si="199"/>
        <v>0</v>
      </c>
      <c r="AI97" s="11">
        <f t="shared" si="199"/>
        <v>0</v>
      </c>
      <c r="AJ97" s="11">
        <f t="shared" si="199"/>
        <v>0</v>
      </c>
      <c r="AK97" s="11">
        <f t="shared" si="199"/>
        <v>0</v>
      </c>
      <c r="AL97" s="11">
        <f t="shared" si="199"/>
        <v>0</v>
      </c>
      <c r="AM97" s="11">
        <f t="shared" si="199"/>
        <v>0</v>
      </c>
      <c r="AN97" s="11">
        <f t="shared" si="199"/>
        <v>0</v>
      </c>
      <c r="AO97" s="11">
        <f t="shared" si="199"/>
        <v>0</v>
      </c>
      <c r="AP97" s="11">
        <f t="shared" si="199"/>
        <v>0</v>
      </c>
      <c r="AQ97" s="11">
        <f t="shared" si="199"/>
        <v>0</v>
      </c>
      <c r="AR97" s="11">
        <f t="shared" si="199"/>
        <v>0</v>
      </c>
      <c r="AS97" s="11">
        <f t="shared" si="199"/>
        <v>0</v>
      </c>
      <c r="AT97" s="11">
        <f t="shared" si="199"/>
        <v>0</v>
      </c>
      <c r="AU97" s="11">
        <f t="shared" si="199"/>
        <v>0</v>
      </c>
      <c r="AV97" s="11">
        <f t="shared" si="199"/>
        <v>0</v>
      </c>
      <c r="AW97" s="12">
        <f>MAXA(AW89:AW96)</f>
        <v>4</v>
      </c>
      <c r="AX97" s="24"/>
      <c r="AZ97" s="124"/>
      <c r="BA97" s="243">
        <v>0</v>
      </c>
      <c r="BB97" s="198">
        <v>0</v>
      </c>
      <c r="BC97" s="244">
        <v>0</v>
      </c>
      <c r="BD97" s="24"/>
      <c r="BE97" s="23"/>
      <c r="BF97" s="203"/>
      <c r="BG97" s="204"/>
    </row>
    <row r="98" spans="1:59" ht="16.5" thickBot="1">
      <c r="A98" s="105" t="s">
        <v>189</v>
      </c>
      <c r="B98" s="20">
        <f>'C'!B91</f>
        <v>0</v>
      </c>
      <c r="C98" s="20">
        <f>D!B91</f>
        <v>0</v>
      </c>
      <c r="D98" s="20">
        <f>E!B91</f>
        <v>0</v>
      </c>
      <c r="E98" s="20">
        <f>F!B91</f>
        <v>8.4</v>
      </c>
      <c r="F98" s="20">
        <f>G!B91</f>
        <v>0</v>
      </c>
      <c r="G98" s="20">
        <f>H!B91</f>
        <v>0</v>
      </c>
      <c r="H98" s="20">
        <f>I!B91</f>
        <v>0</v>
      </c>
      <c r="I98" s="20">
        <f>J!B91</f>
        <v>0</v>
      </c>
      <c r="J98" s="20">
        <f>K!B91</f>
        <v>0</v>
      </c>
      <c r="K98" s="20">
        <f>L!B91</f>
        <v>0</v>
      </c>
      <c r="L98" s="20">
        <f>M!B91</f>
        <v>0</v>
      </c>
      <c r="M98" s="20">
        <f>N!B91</f>
        <v>0</v>
      </c>
      <c r="N98" s="20">
        <f>O!B91</f>
        <v>0</v>
      </c>
      <c r="O98" s="20">
        <f>P!B91</f>
        <v>0</v>
      </c>
      <c r="P98" s="20">
        <f>Q!B91</f>
        <v>0</v>
      </c>
      <c r="Q98" s="20">
        <f>'R'!B91</f>
        <v>0</v>
      </c>
      <c r="R98" s="20">
        <f>S!B91</f>
        <v>0</v>
      </c>
      <c r="S98" s="20">
        <f>T!B91</f>
        <v>0</v>
      </c>
      <c r="T98" s="20">
        <f>U!B91</f>
        <v>0</v>
      </c>
      <c r="U98" s="20">
        <f>V!B91</f>
        <v>0</v>
      </c>
      <c r="V98" s="20">
        <f>W!B91</f>
        <v>0</v>
      </c>
      <c r="W98" s="20">
        <f>X!B91</f>
        <v>0</v>
      </c>
      <c r="X98" s="21">
        <f t="shared" si="170"/>
        <v>8.4</v>
      </c>
      <c r="Y98" s="120"/>
      <c r="Z98" s="122"/>
      <c r="AA98" s="17"/>
      <c r="AW98" s="23"/>
      <c r="AX98" s="24"/>
      <c r="AZ98" s="124"/>
      <c r="BA98" s="243">
        <v>0</v>
      </c>
      <c r="BB98" s="198">
        <v>0</v>
      </c>
      <c r="BC98" s="244">
        <v>0</v>
      </c>
      <c r="BD98" s="24"/>
      <c r="BE98" s="23"/>
      <c r="BF98" s="203"/>
      <c r="BG98" s="204"/>
    </row>
    <row r="99" spans="1:59" ht="16.5" thickTop="1" thickBot="1">
      <c r="A99" s="100" t="s">
        <v>53</v>
      </c>
      <c r="B99" s="68">
        <f t="shared" ref="B99:W99" si="200">SUM(B97:B98)</f>
        <v>210</v>
      </c>
      <c r="C99" s="68">
        <f t="shared" si="200"/>
        <v>176</v>
      </c>
      <c r="D99" s="68">
        <f t="shared" si="200"/>
        <v>196</v>
      </c>
      <c r="E99" s="68">
        <f t="shared" si="200"/>
        <v>215.4</v>
      </c>
      <c r="F99" s="68">
        <f t="shared" si="200"/>
        <v>0</v>
      </c>
      <c r="G99" s="68">
        <f t="shared" si="200"/>
        <v>0</v>
      </c>
      <c r="H99" s="68">
        <f t="shared" si="200"/>
        <v>0</v>
      </c>
      <c r="I99" s="68">
        <f t="shared" si="200"/>
        <v>0</v>
      </c>
      <c r="J99" s="68">
        <f t="shared" si="200"/>
        <v>0</v>
      </c>
      <c r="K99" s="68">
        <f t="shared" si="200"/>
        <v>0</v>
      </c>
      <c r="L99" s="68">
        <f t="shared" si="200"/>
        <v>0</v>
      </c>
      <c r="M99" s="68">
        <f t="shared" si="200"/>
        <v>0</v>
      </c>
      <c r="N99" s="68">
        <f t="shared" si="200"/>
        <v>0</v>
      </c>
      <c r="O99" s="68">
        <f t="shared" si="200"/>
        <v>0</v>
      </c>
      <c r="P99" s="68">
        <f t="shared" si="200"/>
        <v>0</v>
      </c>
      <c r="Q99" s="68">
        <f t="shared" si="200"/>
        <v>0</v>
      </c>
      <c r="R99" s="68">
        <f t="shared" si="200"/>
        <v>0</v>
      </c>
      <c r="S99" s="68">
        <f t="shared" si="200"/>
        <v>0</v>
      </c>
      <c r="T99" s="68">
        <f t="shared" si="200"/>
        <v>0</v>
      </c>
      <c r="U99" s="68">
        <f t="shared" si="200"/>
        <v>0</v>
      </c>
      <c r="V99" s="68">
        <f t="shared" si="200"/>
        <v>0</v>
      </c>
      <c r="W99" s="68">
        <f t="shared" si="200"/>
        <v>0</v>
      </c>
      <c r="X99" s="28">
        <f t="shared" si="170"/>
        <v>797.4</v>
      </c>
      <c r="Y99" s="136"/>
      <c r="Z99" s="122"/>
      <c r="AA99" s="17"/>
      <c r="AW99" s="23"/>
      <c r="AX99" s="24"/>
      <c r="AZ99" s="124"/>
      <c r="BA99" s="243">
        <v>0</v>
      </c>
      <c r="BB99" s="198">
        <v>0</v>
      </c>
      <c r="BC99" s="244">
        <v>0</v>
      </c>
      <c r="BD99" s="24">
        <f>X99</f>
        <v>797.4</v>
      </c>
      <c r="BE99" s="23" t="str">
        <f>A88</f>
        <v>YOUNG BLOODS</v>
      </c>
      <c r="BF99" s="203"/>
      <c r="BG99" s="204"/>
    </row>
    <row r="100" spans="1:59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22"/>
      <c r="AA100" s="17"/>
      <c r="AW100" s="23"/>
      <c r="AX100" s="24"/>
      <c r="AZ100" s="124"/>
      <c r="BA100" s="243">
        <v>0</v>
      </c>
      <c r="BB100" s="198">
        <v>0</v>
      </c>
      <c r="BC100" s="244">
        <v>0</v>
      </c>
      <c r="BD100" s="24"/>
      <c r="BE100" s="23"/>
      <c r="BF100" s="203"/>
      <c r="BG100" s="204"/>
    </row>
    <row r="101" spans="1:59" ht="15.75" thickBot="1">
      <c r="A101" s="7" t="s">
        <v>60</v>
      </c>
      <c r="B101" s="8" t="s">
        <v>27</v>
      </c>
      <c r="C101" s="8" t="s">
        <v>28</v>
      </c>
      <c r="D101" s="8" t="s">
        <v>29</v>
      </c>
      <c r="E101" s="8" t="s">
        <v>30</v>
      </c>
      <c r="F101" s="8" t="s">
        <v>31</v>
      </c>
      <c r="G101" s="8" t="s">
        <v>32</v>
      </c>
      <c r="H101" s="8" t="s">
        <v>33</v>
      </c>
      <c r="I101" s="8" t="s">
        <v>34</v>
      </c>
      <c r="J101" s="8" t="s">
        <v>35</v>
      </c>
      <c r="K101" s="8" t="s">
        <v>36</v>
      </c>
      <c r="L101" s="8" t="s">
        <v>37</v>
      </c>
      <c r="M101" s="8" t="s">
        <v>38</v>
      </c>
      <c r="N101" s="8" t="s">
        <v>39</v>
      </c>
      <c r="O101" s="8" t="s">
        <v>40</v>
      </c>
      <c r="P101" s="8" t="s">
        <v>41</v>
      </c>
      <c r="Q101" s="8" t="s">
        <v>42</v>
      </c>
      <c r="R101" s="8" t="s">
        <v>43</v>
      </c>
      <c r="S101" s="8" t="s">
        <v>44</v>
      </c>
      <c r="T101" s="8" t="s">
        <v>45</v>
      </c>
      <c r="U101" s="8" t="s">
        <v>46</v>
      </c>
      <c r="V101" s="8" t="s">
        <v>47</v>
      </c>
      <c r="W101" s="8" t="s">
        <v>48</v>
      </c>
      <c r="X101" s="1"/>
      <c r="Y101" s="1"/>
      <c r="Z101" s="3" t="str">
        <f>A101</f>
        <v>Team #8 Name:</v>
      </c>
      <c r="AA101" s="17"/>
      <c r="AW101" s="23"/>
      <c r="AX101" s="24"/>
      <c r="AZ101" s="124"/>
      <c r="BA101" s="243">
        <v>0</v>
      </c>
      <c r="BB101" s="198">
        <v>0</v>
      </c>
      <c r="BC101" s="244">
        <v>0</v>
      </c>
      <c r="BD101" s="24"/>
      <c r="BE101" s="23"/>
      <c r="BF101" s="203"/>
      <c r="BG101" s="204"/>
    </row>
    <row r="102" spans="1:59">
      <c r="A102" s="13" t="str">
        <f>B!B317</f>
        <v>THE BOYS</v>
      </c>
      <c r="B102" s="29" t="s">
        <v>50</v>
      </c>
      <c r="C102" s="29" t="s">
        <v>50</v>
      </c>
      <c r="D102" s="29" t="s">
        <v>50</v>
      </c>
      <c r="E102" s="29" t="s">
        <v>50</v>
      </c>
      <c r="F102" s="29" t="s">
        <v>50</v>
      </c>
      <c r="G102" s="29" t="s">
        <v>50</v>
      </c>
      <c r="H102" s="29" t="s">
        <v>50</v>
      </c>
      <c r="I102" s="29" t="s">
        <v>50</v>
      </c>
      <c r="J102" s="29" t="s">
        <v>50</v>
      </c>
      <c r="K102" s="29" t="s">
        <v>50</v>
      </c>
      <c r="L102" s="29" t="s">
        <v>50</v>
      </c>
      <c r="M102" s="29" t="s">
        <v>50</v>
      </c>
      <c r="N102" s="29" t="s">
        <v>50</v>
      </c>
      <c r="O102" s="29" t="s">
        <v>50</v>
      </c>
      <c r="P102" s="29" t="s">
        <v>50</v>
      </c>
      <c r="Q102" s="29" t="s">
        <v>50</v>
      </c>
      <c r="R102" s="29" t="s">
        <v>50</v>
      </c>
      <c r="S102" s="29" t="s">
        <v>50</v>
      </c>
      <c r="T102" s="29" t="s">
        <v>50</v>
      </c>
      <c r="U102" s="29" t="s">
        <v>50</v>
      </c>
      <c r="V102" s="29" t="s">
        <v>50</v>
      </c>
      <c r="W102" s="29" t="s">
        <v>50</v>
      </c>
      <c r="X102" s="15" t="s">
        <v>51</v>
      </c>
      <c r="Y102" s="16" t="s">
        <v>52</v>
      </c>
      <c r="Z102" s="123" t="str">
        <f>A102</f>
        <v>THE BOYS</v>
      </c>
      <c r="AA102" s="17"/>
      <c r="AW102" s="4" t="s">
        <v>97</v>
      </c>
      <c r="AX102" s="24"/>
      <c r="AZ102" s="124"/>
      <c r="BA102" s="243">
        <v>0</v>
      </c>
      <c r="BB102" s="198">
        <v>0</v>
      </c>
      <c r="BC102" s="244">
        <v>0</v>
      </c>
      <c r="BD102" s="24"/>
      <c r="BE102" s="23"/>
      <c r="BF102" s="203"/>
      <c r="BG102" s="204"/>
    </row>
    <row r="103" spans="1:59">
      <c r="A103" s="19" t="str">
        <f>B!B319</f>
        <v>JOHN A</v>
      </c>
      <c r="B103" s="20">
        <f>'C'!B96</f>
        <v>45</v>
      </c>
      <c r="C103" s="20">
        <f>D!B96</f>
        <v>34</v>
      </c>
      <c r="D103" s="20">
        <f>E!B96</f>
        <v>40</v>
      </c>
      <c r="E103" s="20">
        <f>F!B96</f>
        <v>47</v>
      </c>
      <c r="F103" s="20">
        <f>G!B96</f>
        <v>0</v>
      </c>
      <c r="G103" s="20">
        <f>H!B96</f>
        <v>0</v>
      </c>
      <c r="H103" s="20">
        <f>I!B96</f>
        <v>0</v>
      </c>
      <c r="I103" s="20">
        <f>J!B96</f>
        <v>0</v>
      </c>
      <c r="J103" s="20">
        <f>K!B96</f>
        <v>0</v>
      </c>
      <c r="K103" s="20">
        <f>L!B96</f>
        <v>0</v>
      </c>
      <c r="L103" s="20">
        <f>M!B96</f>
        <v>0</v>
      </c>
      <c r="M103" s="20">
        <f>N!B96</f>
        <v>0</v>
      </c>
      <c r="N103" s="20">
        <f>O!B96</f>
        <v>0</v>
      </c>
      <c r="O103" s="20">
        <f>P!B96</f>
        <v>0</v>
      </c>
      <c r="P103" s="20">
        <f>Q!B96</f>
        <v>0</v>
      </c>
      <c r="Q103" s="20">
        <f>'R'!B96</f>
        <v>0</v>
      </c>
      <c r="R103" s="20">
        <f>S!B96</f>
        <v>0</v>
      </c>
      <c r="S103" s="20">
        <f>T!B96</f>
        <v>0</v>
      </c>
      <c r="T103" s="20">
        <f>U!B96</f>
        <v>0</v>
      </c>
      <c r="U103" s="20">
        <f>V!B96</f>
        <v>0</v>
      </c>
      <c r="V103" s="20">
        <f>W!B96</f>
        <v>0</v>
      </c>
      <c r="W103" s="20">
        <f>X!B96</f>
        <v>0</v>
      </c>
      <c r="X103" s="21">
        <f t="shared" ref="X103:X113" si="201">SUM(B103:W103)</f>
        <v>166</v>
      </c>
      <c r="Y103" s="22">
        <f>IF(AW103=0,0,X103/AW103)</f>
        <v>41.5</v>
      </c>
      <c r="Z103" s="122" t="str">
        <f t="shared" ref="Z103:Z166" si="202">A103</f>
        <v>JOHN A</v>
      </c>
      <c r="AA103" s="17">
        <f t="shared" ref="AA103:AA110" si="203">IF(B103=0,0,1)</f>
        <v>1</v>
      </c>
      <c r="AB103">
        <f t="shared" ref="AB103:AB110" si="204">IF(C103=0,0,1)</f>
        <v>1</v>
      </c>
      <c r="AC103">
        <f t="shared" ref="AC103:AC110" si="205">IF(D103=0,0,1)</f>
        <v>1</v>
      </c>
      <c r="AD103">
        <f t="shared" ref="AD103:AD110" si="206">IF(E103=0,0,1)</f>
        <v>1</v>
      </c>
      <c r="AE103">
        <f t="shared" ref="AE103:AE110" si="207">IF(F103=0,0,1)</f>
        <v>0</v>
      </c>
      <c r="AF103">
        <f t="shared" ref="AF103:AF110" si="208">IF(G103=0,0,1)</f>
        <v>0</v>
      </c>
      <c r="AG103">
        <f t="shared" ref="AG103:AG110" si="209">IF(H103=0,0,1)</f>
        <v>0</v>
      </c>
      <c r="AH103">
        <f t="shared" ref="AH103:AH110" si="210">IF(I103=0,0,1)</f>
        <v>0</v>
      </c>
      <c r="AI103">
        <f t="shared" ref="AI103:AI110" si="211">IF(J103=0,0,1)</f>
        <v>0</v>
      </c>
      <c r="AJ103">
        <f t="shared" ref="AJ103:AJ110" si="212">IF(K103=0,0,1)</f>
        <v>0</v>
      </c>
      <c r="AK103">
        <f t="shared" ref="AK103:AK110" si="213">IF(L103=0,0,1)</f>
        <v>0</v>
      </c>
      <c r="AL103">
        <f t="shared" ref="AL103:AL110" si="214">IF(M103=0,0,1)</f>
        <v>0</v>
      </c>
      <c r="AM103">
        <f t="shared" ref="AM103:AM110" si="215">IF(N103=0,0,1)</f>
        <v>0</v>
      </c>
      <c r="AN103">
        <f t="shared" ref="AN103:AN110" si="216">IF(O103=0,0,1)</f>
        <v>0</v>
      </c>
      <c r="AO103">
        <f t="shared" ref="AO103:AO110" si="217">IF(P103=0,0,1)</f>
        <v>0</v>
      </c>
      <c r="AP103">
        <f t="shared" ref="AP103:AP110" si="218">IF(Q103=0,0,1)</f>
        <v>0</v>
      </c>
      <c r="AQ103">
        <f t="shared" ref="AQ103:AQ110" si="219">IF(R103=0,0,1)</f>
        <v>0</v>
      </c>
      <c r="AR103">
        <f t="shared" ref="AR103:AR110" si="220">IF(S103=0,0,1)</f>
        <v>0</v>
      </c>
      <c r="AS103">
        <f t="shared" ref="AS103:AS110" si="221">IF(T103=0,0,1)</f>
        <v>0</v>
      </c>
      <c r="AT103">
        <f t="shared" ref="AT103:AT110" si="222">IF(U103=0,0,1)</f>
        <v>0</v>
      </c>
      <c r="AU103">
        <f t="shared" ref="AU103:AU110" si="223">IF(V103=0,0,1)</f>
        <v>0</v>
      </c>
      <c r="AV103">
        <f t="shared" ref="AV103:AV110" si="224">IF(W103=0,0,1)</f>
        <v>0</v>
      </c>
      <c r="AW103" s="23">
        <f t="shared" ref="AW103:AW110" si="225">SUM(AA103:AV103)</f>
        <v>4</v>
      </c>
      <c r="AX103" s="24">
        <f>IF(X103=0,0,X103)</f>
        <v>166</v>
      </c>
      <c r="AY103" s="121" t="str">
        <f>IF(X103=0,0,A103)</f>
        <v>JOHN A</v>
      </c>
      <c r="AZ103" s="124" t="str">
        <f>IF(AX103=0,0,A$102)</f>
        <v>THE BOYS</v>
      </c>
      <c r="BA103" s="243">
        <v>0</v>
      </c>
      <c r="BB103" s="198">
        <v>0</v>
      </c>
      <c r="BC103" s="244">
        <v>0</v>
      </c>
      <c r="BD103" s="24"/>
      <c r="BE103" s="23"/>
      <c r="BF103" s="203"/>
      <c r="BG103" s="204"/>
    </row>
    <row r="104" spans="1:59">
      <c r="A104" s="19" t="str">
        <f>B!B324</f>
        <v>BOBBY</v>
      </c>
      <c r="B104" s="20">
        <f>'C'!B97</f>
        <v>40</v>
      </c>
      <c r="C104" s="20">
        <f>D!B97</f>
        <v>35</v>
      </c>
      <c r="D104" s="20">
        <f>E!B97</f>
        <v>46</v>
      </c>
      <c r="E104" s="20">
        <f>F!B97</f>
        <v>33</v>
      </c>
      <c r="F104" s="20">
        <f>G!B97</f>
        <v>0</v>
      </c>
      <c r="G104" s="20">
        <f>H!B97</f>
        <v>0</v>
      </c>
      <c r="H104" s="20">
        <f>I!B97</f>
        <v>0</v>
      </c>
      <c r="I104" s="20">
        <f>J!B97</f>
        <v>0</v>
      </c>
      <c r="J104" s="20">
        <f>K!B97</f>
        <v>0</v>
      </c>
      <c r="K104" s="20">
        <f>L!B97</f>
        <v>0</v>
      </c>
      <c r="L104" s="20">
        <f>M!B97</f>
        <v>0</v>
      </c>
      <c r="M104" s="20">
        <f>N!B97</f>
        <v>0</v>
      </c>
      <c r="N104" s="20">
        <f>O!B97</f>
        <v>0</v>
      </c>
      <c r="O104" s="20">
        <f>P!B97</f>
        <v>0</v>
      </c>
      <c r="P104" s="20">
        <f>Q!B97</f>
        <v>0</v>
      </c>
      <c r="Q104" s="20">
        <f>'R'!B97</f>
        <v>0</v>
      </c>
      <c r="R104" s="20">
        <f>S!B97</f>
        <v>0</v>
      </c>
      <c r="S104" s="20">
        <f>T!B97</f>
        <v>0</v>
      </c>
      <c r="T104" s="20">
        <f>U!B97</f>
        <v>0</v>
      </c>
      <c r="U104" s="20">
        <f>V!B97</f>
        <v>0</v>
      </c>
      <c r="V104" s="20">
        <f>W!B97</f>
        <v>0</v>
      </c>
      <c r="W104" s="20">
        <f>X!B97</f>
        <v>0</v>
      </c>
      <c r="X104" s="21">
        <f t="shared" si="201"/>
        <v>154</v>
      </c>
      <c r="Y104" s="22">
        <f t="shared" ref="Y104:Y110" si="226">IF(AW104=0,0,X104/AW104)</f>
        <v>38.5</v>
      </c>
      <c r="Z104" s="122" t="str">
        <f t="shared" si="202"/>
        <v>BOBBY</v>
      </c>
      <c r="AA104" s="17">
        <f t="shared" si="203"/>
        <v>1</v>
      </c>
      <c r="AB104">
        <f t="shared" si="204"/>
        <v>1</v>
      </c>
      <c r="AC104">
        <f t="shared" si="205"/>
        <v>1</v>
      </c>
      <c r="AD104">
        <f t="shared" si="206"/>
        <v>1</v>
      </c>
      <c r="AE104">
        <f t="shared" si="207"/>
        <v>0</v>
      </c>
      <c r="AF104">
        <f t="shared" si="208"/>
        <v>0</v>
      </c>
      <c r="AG104">
        <f t="shared" si="209"/>
        <v>0</v>
      </c>
      <c r="AH104">
        <f t="shared" si="210"/>
        <v>0</v>
      </c>
      <c r="AI104">
        <f t="shared" si="211"/>
        <v>0</v>
      </c>
      <c r="AJ104">
        <f t="shared" si="212"/>
        <v>0</v>
      </c>
      <c r="AK104">
        <f t="shared" si="213"/>
        <v>0</v>
      </c>
      <c r="AL104">
        <f t="shared" si="214"/>
        <v>0</v>
      </c>
      <c r="AM104">
        <f t="shared" si="215"/>
        <v>0</v>
      </c>
      <c r="AN104">
        <f t="shared" si="216"/>
        <v>0</v>
      </c>
      <c r="AO104">
        <f t="shared" si="217"/>
        <v>0</v>
      </c>
      <c r="AP104">
        <f t="shared" si="218"/>
        <v>0</v>
      </c>
      <c r="AQ104">
        <f t="shared" si="219"/>
        <v>0</v>
      </c>
      <c r="AR104">
        <f t="shared" si="220"/>
        <v>0</v>
      </c>
      <c r="AS104">
        <f t="shared" si="221"/>
        <v>0</v>
      </c>
      <c r="AT104">
        <f t="shared" si="222"/>
        <v>0</v>
      </c>
      <c r="AU104">
        <f t="shared" si="223"/>
        <v>0</v>
      </c>
      <c r="AV104">
        <f t="shared" si="224"/>
        <v>0</v>
      </c>
      <c r="AW104" s="23">
        <f t="shared" si="225"/>
        <v>4</v>
      </c>
      <c r="AX104" s="24">
        <f t="shared" ref="AX104:AX110" si="227">IF(X104=0,0,X104)</f>
        <v>154</v>
      </c>
      <c r="AY104" s="121" t="str">
        <f t="shared" ref="AY104:AY110" si="228">IF(X104=0,0,A104)</f>
        <v>BOBBY</v>
      </c>
      <c r="AZ104" s="124" t="str">
        <f t="shared" ref="AZ104:AZ110" si="229">IF(AX104=0,0,A$102)</f>
        <v>THE BOYS</v>
      </c>
      <c r="BA104" s="243">
        <v>0</v>
      </c>
      <c r="BB104" s="198">
        <v>0</v>
      </c>
      <c r="BC104" s="244">
        <v>0</v>
      </c>
      <c r="BD104" s="24"/>
      <c r="BE104" s="23"/>
      <c r="BF104" s="203"/>
      <c r="BG104" s="204"/>
    </row>
    <row r="105" spans="1:59">
      <c r="A105" s="19" t="str">
        <f>B!B329</f>
        <v>MIKE</v>
      </c>
      <c r="B105" s="20">
        <f>'C'!B98</f>
        <v>37</v>
      </c>
      <c r="C105" s="20">
        <f>D!B98</f>
        <v>47</v>
      </c>
      <c r="D105" s="20">
        <f>E!B98</f>
        <v>41</v>
      </c>
      <c r="E105" s="20">
        <f>F!B98</f>
        <v>44</v>
      </c>
      <c r="F105" s="20">
        <f>G!B98</f>
        <v>0</v>
      </c>
      <c r="G105" s="20">
        <f>H!B98</f>
        <v>0</v>
      </c>
      <c r="H105" s="20">
        <f>I!B98</f>
        <v>0</v>
      </c>
      <c r="I105" s="20">
        <f>J!B98</f>
        <v>0</v>
      </c>
      <c r="J105" s="20">
        <f>K!B98</f>
        <v>0</v>
      </c>
      <c r="K105" s="20">
        <f>L!B98</f>
        <v>0</v>
      </c>
      <c r="L105" s="20">
        <f>M!B98</f>
        <v>0</v>
      </c>
      <c r="M105" s="20">
        <f>N!B98</f>
        <v>0</v>
      </c>
      <c r="N105" s="20">
        <f>O!B98</f>
        <v>0</v>
      </c>
      <c r="O105" s="20">
        <f>P!B98</f>
        <v>0</v>
      </c>
      <c r="P105" s="20">
        <f>Q!B98</f>
        <v>0</v>
      </c>
      <c r="Q105" s="20">
        <f>'R'!B98</f>
        <v>0</v>
      </c>
      <c r="R105" s="20">
        <f>S!B98</f>
        <v>0</v>
      </c>
      <c r="S105" s="20">
        <f>T!B98</f>
        <v>0</v>
      </c>
      <c r="T105" s="20">
        <f>U!B98</f>
        <v>0</v>
      </c>
      <c r="U105" s="20">
        <f>V!B98</f>
        <v>0</v>
      </c>
      <c r="V105" s="20">
        <f>W!B98</f>
        <v>0</v>
      </c>
      <c r="W105" s="20">
        <f>X!B98</f>
        <v>0</v>
      </c>
      <c r="X105" s="21">
        <f t="shared" si="201"/>
        <v>169</v>
      </c>
      <c r="Y105" s="22">
        <f t="shared" si="226"/>
        <v>42.25</v>
      </c>
      <c r="Z105" s="122" t="str">
        <f t="shared" si="202"/>
        <v>MIKE</v>
      </c>
      <c r="AA105" s="17">
        <f t="shared" si="203"/>
        <v>1</v>
      </c>
      <c r="AB105">
        <f t="shared" si="204"/>
        <v>1</v>
      </c>
      <c r="AC105">
        <f t="shared" si="205"/>
        <v>1</v>
      </c>
      <c r="AD105">
        <f t="shared" si="206"/>
        <v>1</v>
      </c>
      <c r="AE105">
        <f t="shared" si="207"/>
        <v>0</v>
      </c>
      <c r="AF105">
        <f t="shared" si="208"/>
        <v>0</v>
      </c>
      <c r="AG105">
        <f t="shared" si="209"/>
        <v>0</v>
      </c>
      <c r="AH105">
        <f t="shared" si="210"/>
        <v>0</v>
      </c>
      <c r="AI105">
        <f t="shared" si="211"/>
        <v>0</v>
      </c>
      <c r="AJ105">
        <f t="shared" si="212"/>
        <v>0</v>
      </c>
      <c r="AK105">
        <f t="shared" si="213"/>
        <v>0</v>
      </c>
      <c r="AL105">
        <f t="shared" si="214"/>
        <v>0</v>
      </c>
      <c r="AM105">
        <f t="shared" si="215"/>
        <v>0</v>
      </c>
      <c r="AN105">
        <f t="shared" si="216"/>
        <v>0</v>
      </c>
      <c r="AO105">
        <f t="shared" si="217"/>
        <v>0</v>
      </c>
      <c r="AP105">
        <f t="shared" si="218"/>
        <v>0</v>
      </c>
      <c r="AQ105">
        <f t="shared" si="219"/>
        <v>0</v>
      </c>
      <c r="AR105">
        <f t="shared" si="220"/>
        <v>0</v>
      </c>
      <c r="AS105">
        <f t="shared" si="221"/>
        <v>0</v>
      </c>
      <c r="AT105">
        <f t="shared" si="222"/>
        <v>0</v>
      </c>
      <c r="AU105">
        <f t="shared" si="223"/>
        <v>0</v>
      </c>
      <c r="AV105">
        <f t="shared" si="224"/>
        <v>0</v>
      </c>
      <c r="AW105" s="23">
        <f t="shared" si="225"/>
        <v>4</v>
      </c>
      <c r="AX105" s="24">
        <f t="shared" si="227"/>
        <v>169</v>
      </c>
      <c r="AY105" s="121" t="str">
        <f t="shared" si="228"/>
        <v>MIKE</v>
      </c>
      <c r="AZ105" s="124" t="str">
        <f t="shared" si="229"/>
        <v>THE BOYS</v>
      </c>
      <c r="BA105" s="199">
        <v>0</v>
      </c>
      <c r="BB105" s="198">
        <v>0</v>
      </c>
      <c r="BC105" s="200">
        <v>0</v>
      </c>
      <c r="BD105" s="24"/>
      <c r="BE105" s="23"/>
      <c r="BF105" s="203"/>
      <c r="BG105" s="204"/>
    </row>
    <row r="106" spans="1:59">
      <c r="A106" s="19" t="str">
        <f>B!B334</f>
        <v>ROGER</v>
      </c>
      <c r="B106" s="20">
        <f>'C'!B99</f>
        <v>39</v>
      </c>
      <c r="C106" s="20">
        <f>D!B99</f>
        <v>34</v>
      </c>
      <c r="D106" s="20">
        <f>E!B99</f>
        <v>26</v>
      </c>
      <c r="E106" s="20">
        <f>F!B99</f>
        <v>42</v>
      </c>
      <c r="F106" s="20">
        <f>G!B99</f>
        <v>0</v>
      </c>
      <c r="G106" s="20">
        <f>H!B99</f>
        <v>0</v>
      </c>
      <c r="H106" s="20">
        <f>I!B99</f>
        <v>0</v>
      </c>
      <c r="I106" s="20">
        <f>J!B99</f>
        <v>0</v>
      </c>
      <c r="J106" s="20">
        <f>K!B99</f>
        <v>0</v>
      </c>
      <c r="K106" s="20">
        <f>L!B99</f>
        <v>0</v>
      </c>
      <c r="L106" s="20">
        <f>M!B99</f>
        <v>0</v>
      </c>
      <c r="M106" s="20">
        <f>N!B99</f>
        <v>0</v>
      </c>
      <c r="N106" s="20">
        <f>O!B99</f>
        <v>0</v>
      </c>
      <c r="O106" s="20">
        <f>P!B99</f>
        <v>0</v>
      </c>
      <c r="P106" s="20">
        <f>Q!B99</f>
        <v>0</v>
      </c>
      <c r="Q106" s="20">
        <f>'R'!B99</f>
        <v>0</v>
      </c>
      <c r="R106" s="20">
        <f>S!B99</f>
        <v>0</v>
      </c>
      <c r="S106" s="20">
        <f>T!B99</f>
        <v>0</v>
      </c>
      <c r="T106" s="20">
        <f>U!B99</f>
        <v>0</v>
      </c>
      <c r="U106" s="20">
        <f>V!B99</f>
        <v>0</v>
      </c>
      <c r="V106" s="20">
        <f>W!B99</f>
        <v>0</v>
      </c>
      <c r="W106" s="20">
        <f>X!B99</f>
        <v>0</v>
      </c>
      <c r="X106" s="21">
        <f t="shared" si="201"/>
        <v>141</v>
      </c>
      <c r="Y106" s="22">
        <f t="shared" si="226"/>
        <v>35.25</v>
      </c>
      <c r="Z106" s="122" t="str">
        <f t="shared" si="202"/>
        <v>ROGER</v>
      </c>
      <c r="AA106" s="17">
        <f t="shared" si="203"/>
        <v>1</v>
      </c>
      <c r="AB106">
        <f t="shared" si="204"/>
        <v>1</v>
      </c>
      <c r="AC106">
        <f t="shared" si="205"/>
        <v>1</v>
      </c>
      <c r="AD106">
        <f t="shared" si="206"/>
        <v>1</v>
      </c>
      <c r="AE106">
        <f t="shared" si="207"/>
        <v>0</v>
      </c>
      <c r="AF106">
        <f t="shared" si="208"/>
        <v>0</v>
      </c>
      <c r="AG106">
        <f t="shared" si="209"/>
        <v>0</v>
      </c>
      <c r="AH106">
        <f t="shared" si="210"/>
        <v>0</v>
      </c>
      <c r="AI106">
        <f t="shared" si="211"/>
        <v>0</v>
      </c>
      <c r="AJ106">
        <f t="shared" si="212"/>
        <v>0</v>
      </c>
      <c r="AK106">
        <f t="shared" si="213"/>
        <v>0</v>
      </c>
      <c r="AL106">
        <f t="shared" si="214"/>
        <v>0</v>
      </c>
      <c r="AM106">
        <f t="shared" si="215"/>
        <v>0</v>
      </c>
      <c r="AN106">
        <f t="shared" si="216"/>
        <v>0</v>
      </c>
      <c r="AO106">
        <f t="shared" si="217"/>
        <v>0</v>
      </c>
      <c r="AP106">
        <f t="shared" si="218"/>
        <v>0</v>
      </c>
      <c r="AQ106">
        <f t="shared" si="219"/>
        <v>0</v>
      </c>
      <c r="AR106">
        <f t="shared" si="220"/>
        <v>0</v>
      </c>
      <c r="AS106">
        <f t="shared" si="221"/>
        <v>0</v>
      </c>
      <c r="AT106">
        <f t="shared" si="222"/>
        <v>0</v>
      </c>
      <c r="AU106">
        <f t="shared" si="223"/>
        <v>0</v>
      </c>
      <c r="AV106">
        <f t="shared" si="224"/>
        <v>0</v>
      </c>
      <c r="AW106" s="23">
        <f t="shared" si="225"/>
        <v>4</v>
      </c>
      <c r="AX106" s="24">
        <f t="shared" si="227"/>
        <v>141</v>
      </c>
      <c r="AY106" s="121" t="str">
        <f t="shared" si="228"/>
        <v>ROGER</v>
      </c>
      <c r="AZ106" s="124" t="str">
        <f t="shared" si="229"/>
        <v>THE BOYS</v>
      </c>
      <c r="BA106" s="199">
        <v>0</v>
      </c>
      <c r="BB106" s="198">
        <v>0</v>
      </c>
      <c r="BC106" s="200">
        <v>0</v>
      </c>
      <c r="BD106" s="24"/>
      <c r="BE106" s="23"/>
      <c r="BF106" s="203"/>
      <c r="BG106" s="204"/>
    </row>
    <row r="107" spans="1:59">
      <c r="A107" s="19" t="str">
        <f>B!B339</f>
        <v>JOHN B.</v>
      </c>
      <c r="B107" s="20">
        <f>'C'!B100</f>
        <v>44</v>
      </c>
      <c r="C107" s="20">
        <f>D!B100</f>
        <v>33</v>
      </c>
      <c r="D107" s="20">
        <f>E!B100</f>
        <v>39</v>
      </c>
      <c r="E107" s="20">
        <f>F!B100</f>
        <v>42</v>
      </c>
      <c r="F107" s="20">
        <f>G!B100</f>
        <v>0</v>
      </c>
      <c r="G107" s="20">
        <f>H!B100</f>
        <v>0</v>
      </c>
      <c r="H107" s="20">
        <f>I!B100</f>
        <v>0</v>
      </c>
      <c r="I107" s="20">
        <f>J!B100</f>
        <v>0</v>
      </c>
      <c r="J107" s="20">
        <f>K!B100</f>
        <v>0</v>
      </c>
      <c r="K107" s="20">
        <f>L!B100</f>
        <v>0</v>
      </c>
      <c r="L107" s="20">
        <f>M!B100</f>
        <v>0</v>
      </c>
      <c r="M107" s="20">
        <f>N!B100</f>
        <v>0</v>
      </c>
      <c r="N107" s="20">
        <f>O!B100</f>
        <v>0</v>
      </c>
      <c r="O107" s="20">
        <f>P!B100</f>
        <v>0</v>
      </c>
      <c r="P107" s="20">
        <f>Q!B100</f>
        <v>0</v>
      </c>
      <c r="Q107" s="20">
        <f>'R'!B100</f>
        <v>0</v>
      </c>
      <c r="R107" s="20">
        <f>S!B100</f>
        <v>0</v>
      </c>
      <c r="S107" s="20">
        <f>T!B100</f>
        <v>0</v>
      </c>
      <c r="T107" s="20">
        <f>U!B100</f>
        <v>0</v>
      </c>
      <c r="U107" s="20">
        <f>V!B100</f>
        <v>0</v>
      </c>
      <c r="V107" s="20">
        <f>W!B100</f>
        <v>0</v>
      </c>
      <c r="W107" s="20">
        <f>X!B100</f>
        <v>0</v>
      </c>
      <c r="X107" s="21">
        <f t="shared" si="201"/>
        <v>158</v>
      </c>
      <c r="Y107" s="22">
        <f t="shared" si="226"/>
        <v>39.5</v>
      </c>
      <c r="Z107" s="122" t="str">
        <f t="shared" si="202"/>
        <v>JOHN B.</v>
      </c>
      <c r="AA107" s="17">
        <f t="shared" si="203"/>
        <v>1</v>
      </c>
      <c r="AB107">
        <f t="shared" si="204"/>
        <v>1</v>
      </c>
      <c r="AC107">
        <f t="shared" si="205"/>
        <v>1</v>
      </c>
      <c r="AD107">
        <f t="shared" si="206"/>
        <v>1</v>
      </c>
      <c r="AE107">
        <f t="shared" si="207"/>
        <v>0</v>
      </c>
      <c r="AF107">
        <f t="shared" si="208"/>
        <v>0</v>
      </c>
      <c r="AG107">
        <f t="shared" si="209"/>
        <v>0</v>
      </c>
      <c r="AH107">
        <f t="shared" si="210"/>
        <v>0</v>
      </c>
      <c r="AI107">
        <f t="shared" si="211"/>
        <v>0</v>
      </c>
      <c r="AJ107">
        <f t="shared" si="212"/>
        <v>0</v>
      </c>
      <c r="AK107">
        <f t="shared" si="213"/>
        <v>0</v>
      </c>
      <c r="AL107">
        <f t="shared" si="214"/>
        <v>0</v>
      </c>
      <c r="AM107">
        <f t="shared" si="215"/>
        <v>0</v>
      </c>
      <c r="AN107">
        <f t="shared" si="216"/>
        <v>0</v>
      </c>
      <c r="AO107">
        <f t="shared" si="217"/>
        <v>0</v>
      </c>
      <c r="AP107">
        <f t="shared" si="218"/>
        <v>0</v>
      </c>
      <c r="AQ107">
        <f t="shared" si="219"/>
        <v>0</v>
      </c>
      <c r="AR107">
        <f t="shared" si="220"/>
        <v>0</v>
      </c>
      <c r="AS107">
        <f t="shared" si="221"/>
        <v>0</v>
      </c>
      <c r="AT107">
        <f t="shared" si="222"/>
        <v>0</v>
      </c>
      <c r="AU107">
        <f t="shared" si="223"/>
        <v>0</v>
      </c>
      <c r="AV107">
        <f t="shared" si="224"/>
        <v>0</v>
      </c>
      <c r="AW107" s="23">
        <f t="shared" si="225"/>
        <v>4</v>
      </c>
      <c r="AX107" s="24">
        <f t="shared" si="227"/>
        <v>158</v>
      </c>
      <c r="AY107" s="121" t="str">
        <f t="shared" si="228"/>
        <v>JOHN B.</v>
      </c>
      <c r="AZ107" s="124" t="str">
        <f t="shared" si="229"/>
        <v>THE BOYS</v>
      </c>
      <c r="BA107" s="199">
        <v>0</v>
      </c>
      <c r="BB107" s="198">
        <v>0</v>
      </c>
      <c r="BC107" s="200">
        <v>0</v>
      </c>
      <c r="BD107" s="24"/>
      <c r="BE107" s="23"/>
      <c r="BF107" s="203"/>
      <c r="BG107" s="204"/>
    </row>
    <row r="108" spans="1:59">
      <c r="A108" s="19">
        <f>B!B344</f>
        <v>0</v>
      </c>
      <c r="B108" s="20">
        <f>'C'!B101</f>
        <v>0</v>
      </c>
      <c r="C108" s="20">
        <f>D!B101</f>
        <v>0</v>
      </c>
      <c r="D108" s="20">
        <f>E!B101</f>
        <v>0</v>
      </c>
      <c r="E108" s="20">
        <f>F!B101</f>
        <v>0</v>
      </c>
      <c r="F108" s="20">
        <f>G!B101</f>
        <v>0</v>
      </c>
      <c r="G108" s="20">
        <f>H!B101</f>
        <v>0</v>
      </c>
      <c r="H108" s="20">
        <f>I!B101</f>
        <v>0</v>
      </c>
      <c r="I108" s="20">
        <f>J!B101</f>
        <v>0</v>
      </c>
      <c r="J108" s="20">
        <f>K!B101</f>
        <v>0</v>
      </c>
      <c r="K108" s="20">
        <f>L!B101</f>
        <v>0</v>
      </c>
      <c r="L108" s="20">
        <f>M!B101</f>
        <v>0</v>
      </c>
      <c r="M108" s="20">
        <f>N!B101</f>
        <v>0</v>
      </c>
      <c r="N108" s="20">
        <f>O!B101</f>
        <v>0</v>
      </c>
      <c r="O108" s="20">
        <f>P!B101</f>
        <v>0</v>
      </c>
      <c r="P108" s="20">
        <f>Q!B101</f>
        <v>0</v>
      </c>
      <c r="Q108" s="20">
        <f>'R'!B101</f>
        <v>0</v>
      </c>
      <c r="R108" s="20">
        <f>S!B101</f>
        <v>0</v>
      </c>
      <c r="S108" s="20">
        <f>T!B101</f>
        <v>0</v>
      </c>
      <c r="T108" s="20">
        <f>U!B101</f>
        <v>0</v>
      </c>
      <c r="U108" s="20">
        <f>V!B101</f>
        <v>0</v>
      </c>
      <c r="V108" s="20">
        <f>W!B101</f>
        <v>0</v>
      </c>
      <c r="W108" s="20">
        <f>X!B101</f>
        <v>0</v>
      </c>
      <c r="X108" s="21">
        <f t="shared" si="201"/>
        <v>0</v>
      </c>
      <c r="Y108" s="22">
        <f t="shared" si="226"/>
        <v>0</v>
      </c>
      <c r="Z108" s="122">
        <f t="shared" si="202"/>
        <v>0</v>
      </c>
      <c r="AA108" s="17">
        <f t="shared" si="203"/>
        <v>0</v>
      </c>
      <c r="AB108">
        <f t="shared" si="204"/>
        <v>0</v>
      </c>
      <c r="AC108">
        <f t="shared" si="205"/>
        <v>0</v>
      </c>
      <c r="AD108">
        <f t="shared" si="206"/>
        <v>0</v>
      </c>
      <c r="AE108">
        <f t="shared" si="207"/>
        <v>0</v>
      </c>
      <c r="AF108">
        <f t="shared" si="208"/>
        <v>0</v>
      </c>
      <c r="AG108">
        <f t="shared" si="209"/>
        <v>0</v>
      </c>
      <c r="AH108">
        <f t="shared" si="210"/>
        <v>0</v>
      </c>
      <c r="AI108">
        <f t="shared" si="211"/>
        <v>0</v>
      </c>
      <c r="AJ108">
        <f t="shared" si="212"/>
        <v>0</v>
      </c>
      <c r="AK108">
        <f t="shared" si="213"/>
        <v>0</v>
      </c>
      <c r="AL108">
        <f t="shared" si="214"/>
        <v>0</v>
      </c>
      <c r="AM108">
        <f t="shared" si="215"/>
        <v>0</v>
      </c>
      <c r="AN108">
        <f t="shared" si="216"/>
        <v>0</v>
      </c>
      <c r="AO108">
        <f t="shared" si="217"/>
        <v>0</v>
      </c>
      <c r="AP108">
        <f t="shared" si="218"/>
        <v>0</v>
      </c>
      <c r="AQ108">
        <f t="shared" si="219"/>
        <v>0</v>
      </c>
      <c r="AR108">
        <f t="shared" si="220"/>
        <v>0</v>
      </c>
      <c r="AS108">
        <f t="shared" si="221"/>
        <v>0</v>
      </c>
      <c r="AT108">
        <f t="shared" si="222"/>
        <v>0</v>
      </c>
      <c r="AU108">
        <f t="shared" si="223"/>
        <v>0</v>
      </c>
      <c r="AV108">
        <f t="shared" si="224"/>
        <v>0</v>
      </c>
      <c r="AW108" s="23">
        <f t="shared" si="225"/>
        <v>0</v>
      </c>
      <c r="AX108" s="24">
        <f t="shared" si="227"/>
        <v>0</v>
      </c>
      <c r="AY108" s="121">
        <f t="shared" si="228"/>
        <v>0</v>
      </c>
      <c r="AZ108" s="124">
        <f t="shared" si="229"/>
        <v>0</v>
      </c>
      <c r="BA108" s="199">
        <v>0</v>
      </c>
      <c r="BB108" s="198">
        <v>0</v>
      </c>
      <c r="BC108" s="200">
        <v>0</v>
      </c>
      <c r="BD108" s="24"/>
      <c r="BE108" s="23"/>
      <c r="BF108" s="203"/>
      <c r="BG108" s="204"/>
    </row>
    <row r="109" spans="1:59">
      <c r="A109" s="19">
        <f>B!B349</f>
        <v>0</v>
      </c>
      <c r="B109" s="20">
        <f>'C'!B102</f>
        <v>0</v>
      </c>
      <c r="C109" s="20">
        <f>D!B102</f>
        <v>0</v>
      </c>
      <c r="D109" s="20">
        <f>E!B102</f>
        <v>0</v>
      </c>
      <c r="E109" s="20">
        <f>F!B102</f>
        <v>0</v>
      </c>
      <c r="F109" s="20">
        <f>G!B102</f>
        <v>0</v>
      </c>
      <c r="G109" s="20">
        <f>H!B102</f>
        <v>0</v>
      </c>
      <c r="H109" s="20">
        <f>I!B102</f>
        <v>0</v>
      </c>
      <c r="I109" s="20">
        <f>J!B102</f>
        <v>0</v>
      </c>
      <c r="J109" s="20">
        <f>K!B102</f>
        <v>0</v>
      </c>
      <c r="K109" s="20">
        <f>L!B102</f>
        <v>0</v>
      </c>
      <c r="L109" s="20">
        <f>M!B102</f>
        <v>0</v>
      </c>
      <c r="M109" s="20">
        <f>N!B102</f>
        <v>0</v>
      </c>
      <c r="N109" s="20">
        <f>O!B102</f>
        <v>0</v>
      </c>
      <c r="O109" s="20">
        <f>P!B102</f>
        <v>0</v>
      </c>
      <c r="P109" s="20">
        <f>Q!B102</f>
        <v>0</v>
      </c>
      <c r="Q109" s="20">
        <f>'R'!B102</f>
        <v>0</v>
      </c>
      <c r="R109" s="20">
        <f>S!B102</f>
        <v>0</v>
      </c>
      <c r="S109" s="20">
        <f>T!B102</f>
        <v>0</v>
      </c>
      <c r="T109" s="20">
        <f>U!B102</f>
        <v>0</v>
      </c>
      <c r="U109" s="20">
        <f>V!B102</f>
        <v>0</v>
      </c>
      <c r="V109" s="20">
        <f>W!B102</f>
        <v>0</v>
      </c>
      <c r="W109" s="20">
        <f>X!B102</f>
        <v>0</v>
      </c>
      <c r="X109" s="21">
        <f t="shared" si="201"/>
        <v>0</v>
      </c>
      <c r="Y109" s="22">
        <f t="shared" si="226"/>
        <v>0</v>
      </c>
      <c r="Z109" s="122">
        <f t="shared" si="202"/>
        <v>0</v>
      </c>
      <c r="AA109" s="17">
        <f t="shared" si="203"/>
        <v>0</v>
      </c>
      <c r="AB109">
        <f t="shared" si="204"/>
        <v>0</v>
      </c>
      <c r="AC109">
        <f t="shared" si="205"/>
        <v>0</v>
      </c>
      <c r="AD109">
        <f t="shared" si="206"/>
        <v>0</v>
      </c>
      <c r="AE109">
        <f t="shared" si="207"/>
        <v>0</v>
      </c>
      <c r="AF109">
        <f t="shared" si="208"/>
        <v>0</v>
      </c>
      <c r="AG109">
        <f t="shared" si="209"/>
        <v>0</v>
      </c>
      <c r="AH109">
        <f t="shared" si="210"/>
        <v>0</v>
      </c>
      <c r="AI109">
        <f t="shared" si="211"/>
        <v>0</v>
      </c>
      <c r="AJ109">
        <f t="shared" si="212"/>
        <v>0</v>
      </c>
      <c r="AK109">
        <f t="shared" si="213"/>
        <v>0</v>
      </c>
      <c r="AL109">
        <f t="shared" si="214"/>
        <v>0</v>
      </c>
      <c r="AM109">
        <f t="shared" si="215"/>
        <v>0</v>
      </c>
      <c r="AN109">
        <f t="shared" si="216"/>
        <v>0</v>
      </c>
      <c r="AO109">
        <f t="shared" si="217"/>
        <v>0</v>
      </c>
      <c r="AP109">
        <f t="shared" si="218"/>
        <v>0</v>
      </c>
      <c r="AQ109">
        <f t="shared" si="219"/>
        <v>0</v>
      </c>
      <c r="AR109">
        <f t="shared" si="220"/>
        <v>0</v>
      </c>
      <c r="AS109">
        <f t="shared" si="221"/>
        <v>0</v>
      </c>
      <c r="AT109">
        <f t="shared" si="222"/>
        <v>0</v>
      </c>
      <c r="AU109">
        <f t="shared" si="223"/>
        <v>0</v>
      </c>
      <c r="AV109">
        <f t="shared" si="224"/>
        <v>0</v>
      </c>
      <c r="AW109" s="23">
        <f t="shared" si="225"/>
        <v>0</v>
      </c>
      <c r="AX109" s="24">
        <f t="shared" si="227"/>
        <v>0</v>
      </c>
      <c r="AY109" s="121">
        <f t="shared" si="228"/>
        <v>0</v>
      </c>
      <c r="AZ109" s="124">
        <f t="shared" si="229"/>
        <v>0</v>
      </c>
      <c r="BA109" s="199">
        <v>0</v>
      </c>
      <c r="BB109" s="198">
        <v>0</v>
      </c>
      <c r="BC109" s="200">
        <v>0</v>
      </c>
      <c r="BD109" s="24"/>
      <c r="BE109" s="23"/>
      <c r="BF109" s="203"/>
      <c r="BG109" s="204"/>
    </row>
    <row r="110" spans="1:59" ht="15.75" thickBot="1">
      <c r="A110" s="17">
        <f>B!B354</f>
        <v>0</v>
      </c>
      <c r="B110" s="20">
        <f>'C'!B103</f>
        <v>0</v>
      </c>
      <c r="C110" s="20">
        <f>D!B103</f>
        <v>0</v>
      </c>
      <c r="D110" s="20">
        <f>E!B103</f>
        <v>0</v>
      </c>
      <c r="E110" s="20">
        <f>F!B103</f>
        <v>0</v>
      </c>
      <c r="F110" s="20">
        <f>G!B103</f>
        <v>0</v>
      </c>
      <c r="G110" s="20">
        <f>H!B103</f>
        <v>0</v>
      </c>
      <c r="H110" s="20">
        <f>I!B103</f>
        <v>0</v>
      </c>
      <c r="I110" s="20">
        <f>J!B103</f>
        <v>0</v>
      </c>
      <c r="J110" s="20">
        <f>K!B103</f>
        <v>0</v>
      </c>
      <c r="K110" s="20">
        <f>L!B103</f>
        <v>0</v>
      </c>
      <c r="L110" s="20">
        <f>M!B103</f>
        <v>0</v>
      </c>
      <c r="M110" s="20">
        <f>N!B103</f>
        <v>0</v>
      </c>
      <c r="N110" s="20">
        <f>O!B103</f>
        <v>0</v>
      </c>
      <c r="O110" s="20">
        <f>P!B103</f>
        <v>0</v>
      </c>
      <c r="P110" s="20">
        <f>Q!B103</f>
        <v>0</v>
      </c>
      <c r="Q110" s="20">
        <f>'R'!B103</f>
        <v>0</v>
      </c>
      <c r="R110" s="20">
        <f>S!B103</f>
        <v>0</v>
      </c>
      <c r="S110" s="20">
        <f>T!B103</f>
        <v>0</v>
      </c>
      <c r="T110" s="20">
        <f>U!B103</f>
        <v>0</v>
      </c>
      <c r="U110" s="20">
        <f>V!B103</f>
        <v>0</v>
      </c>
      <c r="V110" s="20">
        <f>W!B103</f>
        <v>0</v>
      </c>
      <c r="W110" s="20">
        <f>X!B103</f>
        <v>0</v>
      </c>
      <c r="X110" s="21">
        <f t="shared" si="201"/>
        <v>0</v>
      </c>
      <c r="Y110" s="22">
        <f t="shared" si="226"/>
        <v>0</v>
      </c>
      <c r="Z110" s="122">
        <f t="shared" si="202"/>
        <v>0</v>
      </c>
      <c r="AA110" s="17">
        <f t="shared" si="203"/>
        <v>0</v>
      </c>
      <c r="AB110">
        <f t="shared" si="204"/>
        <v>0</v>
      </c>
      <c r="AC110">
        <f t="shared" si="205"/>
        <v>0</v>
      </c>
      <c r="AD110">
        <f t="shared" si="206"/>
        <v>0</v>
      </c>
      <c r="AE110">
        <f t="shared" si="207"/>
        <v>0</v>
      </c>
      <c r="AF110">
        <f t="shared" si="208"/>
        <v>0</v>
      </c>
      <c r="AG110">
        <f t="shared" si="209"/>
        <v>0</v>
      </c>
      <c r="AH110">
        <f t="shared" si="210"/>
        <v>0</v>
      </c>
      <c r="AI110">
        <f t="shared" si="211"/>
        <v>0</v>
      </c>
      <c r="AJ110">
        <f t="shared" si="212"/>
        <v>0</v>
      </c>
      <c r="AK110">
        <f t="shared" si="213"/>
        <v>0</v>
      </c>
      <c r="AL110">
        <f t="shared" si="214"/>
        <v>0</v>
      </c>
      <c r="AM110">
        <f t="shared" si="215"/>
        <v>0</v>
      </c>
      <c r="AN110">
        <f t="shared" si="216"/>
        <v>0</v>
      </c>
      <c r="AO110">
        <f t="shared" si="217"/>
        <v>0</v>
      </c>
      <c r="AP110">
        <f t="shared" si="218"/>
        <v>0</v>
      </c>
      <c r="AQ110">
        <f t="shared" si="219"/>
        <v>0</v>
      </c>
      <c r="AR110">
        <f t="shared" si="220"/>
        <v>0</v>
      </c>
      <c r="AS110">
        <f t="shared" si="221"/>
        <v>0</v>
      </c>
      <c r="AT110">
        <f t="shared" si="222"/>
        <v>0</v>
      </c>
      <c r="AU110">
        <f t="shared" si="223"/>
        <v>0</v>
      </c>
      <c r="AV110">
        <f t="shared" si="224"/>
        <v>0</v>
      </c>
      <c r="AW110" s="23">
        <f t="shared" si="225"/>
        <v>0</v>
      </c>
      <c r="AX110" s="24">
        <f t="shared" si="227"/>
        <v>0</v>
      </c>
      <c r="AY110" s="121">
        <f t="shared" si="228"/>
        <v>0</v>
      </c>
      <c r="AZ110" s="124">
        <f t="shared" si="229"/>
        <v>0</v>
      </c>
      <c r="BA110" s="199">
        <v>0</v>
      </c>
      <c r="BB110" s="198">
        <v>0</v>
      </c>
      <c r="BC110" s="200">
        <v>0</v>
      </c>
      <c r="BD110" s="24"/>
      <c r="BE110" s="23"/>
      <c r="BF110" s="203"/>
      <c r="BG110" s="204"/>
    </row>
    <row r="111" spans="1:59" ht="15.75" thickTop="1">
      <c r="A111" s="133" t="s">
        <v>134</v>
      </c>
      <c r="B111" s="134">
        <f t="shared" ref="B111:W111" si="230">SUM(B103:B110)</f>
        <v>205</v>
      </c>
      <c r="C111" s="134">
        <f t="shared" si="230"/>
        <v>183</v>
      </c>
      <c r="D111" s="134">
        <f t="shared" si="230"/>
        <v>192</v>
      </c>
      <c r="E111" s="134">
        <f t="shared" si="230"/>
        <v>208</v>
      </c>
      <c r="F111" s="134">
        <f t="shared" si="230"/>
        <v>0</v>
      </c>
      <c r="G111" s="134">
        <f t="shared" si="230"/>
        <v>0</v>
      </c>
      <c r="H111" s="134">
        <f t="shared" si="230"/>
        <v>0</v>
      </c>
      <c r="I111" s="134">
        <f t="shared" si="230"/>
        <v>0</v>
      </c>
      <c r="J111" s="134">
        <f t="shared" si="230"/>
        <v>0</v>
      </c>
      <c r="K111" s="134">
        <f t="shared" si="230"/>
        <v>0</v>
      </c>
      <c r="L111" s="134">
        <f t="shared" si="230"/>
        <v>0</v>
      </c>
      <c r="M111" s="134">
        <f t="shared" si="230"/>
        <v>0</v>
      </c>
      <c r="N111" s="134">
        <f t="shared" si="230"/>
        <v>0</v>
      </c>
      <c r="O111" s="134">
        <f t="shared" si="230"/>
        <v>0</v>
      </c>
      <c r="P111" s="134">
        <f t="shared" si="230"/>
        <v>0</v>
      </c>
      <c r="Q111" s="134">
        <f t="shared" si="230"/>
        <v>0</v>
      </c>
      <c r="R111" s="134">
        <f t="shared" si="230"/>
        <v>0</v>
      </c>
      <c r="S111" s="134">
        <f t="shared" si="230"/>
        <v>0</v>
      </c>
      <c r="T111" s="134">
        <f t="shared" si="230"/>
        <v>0</v>
      </c>
      <c r="U111" s="134">
        <f t="shared" si="230"/>
        <v>0</v>
      </c>
      <c r="V111" s="134">
        <f t="shared" si="230"/>
        <v>0</v>
      </c>
      <c r="W111" s="134">
        <f t="shared" si="230"/>
        <v>0</v>
      </c>
      <c r="X111" s="135">
        <f t="shared" si="201"/>
        <v>788</v>
      </c>
      <c r="Y111" s="137">
        <f>IF(X111=0,0,X111/AW111)</f>
        <v>197</v>
      </c>
      <c r="Z111" s="122"/>
      <c r="AA111" s="138">
        <f t="shared" ref="AA111:AV111" si="231">SUM(AA103:AA110)</f>
        <v>5</v>
      </c>
      <c r="AB111" s="11">
        <f t="shared" si="231"/>
        <v>5</v>
      </c>
      <c r="AC111" s="11">
        <f t="shared" si="231"/>
        <v>5</v>
      </c>
      <c r="AD111" s="11">
        <f t="shared" si="231"/>
        <v>5</v>
      </c>
      <c r="AE111" s="11">
        <f t="shared" si="231"/>
        <v>0</v>
      </c>
      <c r="AF111" s="11">
        <f t="shared" si="231"/>
        <v>0</v>
      </c>
      <c r="AG111" s="11">
        <f t="shared" si="231"/>
        <v>0</v>
      </c>
      <c r="AH111" s="11">
        <f t="shared" si="231"/>
        <v>0</v>
      </c>
      <c r="AI111" s="11">
        <f t="shared" si="231"/>
        <v>0</v>
      </c>
      <c r="AJ111" s="11">
        <f t="shared" si="231"/>
        <v>0</v>
      </c>
      <c r="AK111" s="11">
        <f t="shared" si="231"/>
        <v>0</v>
      </c>
      <c r="AL111" s="11">
        <f t="shared" si="231"/>
        <v>0</v>
      </c>
      <c r="AM111" s="11">
        <f t="shared" si="231"/>
        <v>0</v>
      </c>
      <c r="AN111" s="11">
        <f t="shared" si="231"/>
        <v>0</v>
      </c>
      <c r="AO111" s="11">
        <f t="shared" si="231"/>
        <v>0</v>
      </c>
      <c r="AP111" s="11">
        <f t="shared" si="231"/>
        <v>0</v>
      </c>
      <c r="AQ111" s="11">
        <f t="shared" si="231"/>
        <v>0</v>
      </c>
      <c r="AR111" s="11">
        <f t="shared" si="231"/>
        <v>0</v>
      </c>
      <c r="AS111" s="11">
        <f t="shared" si="231"/>
        <v>0</v>
      </c>
      <c r="AT111" s="11">
        <f t="shared" si="231"/>
        <v>0</v>
      </c>
      <c r="AU111" s="11">
        <f t="shared" si="231"/>
        <v>0</v>
      </c>
      <c r="AV111" s="11">
        <f t="shared" si="231"/>
        <v>0</v>
      </c>
      <c r="AW111" s="12">
        <f>MAXA(AW103:AW110)</f>
        <v>4</v>
      </c>
      <c r="AX111" s="24"/>
      <c r="AZ111" s="124"/>
      <c r="BA111" s="199">
        <v>0</v>
      </c>
      <c r="BB111" s="198">
        <v>0</v>
      </c>
      <c r="BC111" s="200">
        <v>0</v>
      </c>
      <c r="BD111" s="24"/>
      <c r="BE111" s="23"/>
      <c r="BF111" s="203"/>
      <c r="BG111" s="204"/>
    </row>
    <row r="112" spans="1:59" ht="16.5" thickBot="1">
      <c r="A112" s="105" t="s">
        <v>189</v>
      </c>
      <c r="B112" s="20">
        <f>'C'!B104</f>
        <v>0</v>
      </c>
      <c r="C112" s="20">
        <f>D!B104</f>
        <v>0</v>
      </c>
      <c r="D112" s="20">
        <f>E!B104</f>
        <v>4.95</v>
      </c>
      <c r="E112" s="20">
        <f>F!B104</f>
        <v>0</v>
      </c>
      <c r="F112" s="20">
        <f>G!B104</f>
        <v>0</v>
      </c>
      <c r="G112" s="20">
        <f>H!B104</f>
        <v>0</v>
      </c>
      <c r="H112" s="20">
        <f>I!B104</f>
        <v>0</v>
      </c>
      <c r="I112" s="20">
        <f>J!B104</f>
        <v>0</v>
      </c>
      <c r="J112" s="20">
        <f>K!B104</f>
        <v>0</v>
      </c>
      <c r="K112" s="20">
        <f>L!B104</f>
        <v>0</v>
      </c>
      <c r="L112" s="20">
        <f>M!B104</f>
        <v>0</v>
      </c>
      <c r="M112" s="20">
        <f>N!B104</f>
        <v>0</v>
      </c>
      <c r="N112" s="20">
        <f>O!B104</f>
        <v>0</v>
      </c>
      <c r="O112" s="20">
        <f>P!B104</f>
        <v>0</v>
      </c>
      <c r="P112" s="20">
        <f>Q!B104</f>
        <v>0</v>
      </c>
      <c r="Q112" s="20">
        <f>'R'!B104</f>
        <v>0</v>
      </c>
      <c r="R112" s="20">
        <f>S!B104</f>
        <v>0</v>
      </c>
      <c r="S112" s="20">
        <f>T!B104</f>
        <v>0</v>
      </c>
      <c r="T112" s="20">
        <f>U!B104</f>
        <v>0</v>
      </c>
      <c r="U112" s="20">
        <f>V!B104</f>
        <v>0</v>
      </c>
      <c r="V112" s="20">
        <f>W!B104</f>
        <v>0</v>
      </c>
      <c r="W112" s="20">
        <f>X!B104</f>
        <v>0</v>
      </c>
      <c r="X112" s="21">
        <f t="shared" si="201"/>
        <v>4.95</v>
      </c>
      <c r="Y112" s="120"/>
      <c r="Z112" s="122"/>
      <c r="AA112" s="17"/>
      <c r="AW112" s="23"/>
      <c r="AX112" s="24"/>
      <c r="AZ112" s="124"/>
      <c r="BA112" s="199">
        <v>0</v>
      </c>
      <c r="BB112" s="198">
        <v>0</v>
      </c>
      <c r="BC112" s="200">
        <v>0</v>
      </c>
      <c r="BD112" s="24"/>
      <c r="BE112" s="23"/>
      <c r="BF112" s="203"/>
      <c r="BG112" s="204"/>
    </row>
    <row r="113" spans="1:59" ht="16.5" thickTop="1" thickBot="1">
      <c r="A113" s="100" t="s">
        <v>53</v>
      </c>
      <c r="B113" s="68">
        <f t="shared" ref="B113:W113" si="232">SUM(B111:B112)</f>
        <v>205</v>
      </c>
      <c r="C113" s="68">
        <f t="shared" si="232"/>
        <v>183</v>
      </c>
      <c r="D113" s="68">
        <f t="shared" si="232"/>
        <v>196.95</v>
      </c>
      <c r="E113" s="68">
        <f t="shared" si="232"/>
        <v>208</v>
      </c>
      <c r="F113" s="68">
        <f t="shared" si="232"/>
        <v>0</v>
      </c>
      <c r="G113" s="68">
        <f t="shared" si="232"/>
        <v>0</v>
      </c>
      <c r="H113" s="68">
        <f t="shared" si="232"/>
        <v>0</v>
      </c>
      <c r="I113" s="68">
        <f t="shared" si="232"/>
        <v>0</v>
      </c>
      <c r="J113" s="68">
        <f t="shared" si="232"/>
        <v>0</v>
      </c>
      <c r="K113" s="68">
        <f t="shared" si="232"/>
        <v>0</v>
      </c>
      <c r="L113" s="68">
        <f t="shared" si="232"/>
        <v>0</v>
      </c>
      <c r="M113" s="68">
        <f t="shared" si="232"/>
        <v>0</v>
      </c>
      <c r="N113" s="68">
        <f t="shared" si="232"/>
        <v>0</v>
      </c>
      <c r="O113" s="68">
        <f t="shared" si="232"/>
        <v>0</v>
      </c>
      <c r="P113" s="68">
        <f t="shared" si="232"/>
        <v>0</v>
      </c>
      <c r="Q113" s="68">
        <f t="shared" si="232"/>
        <v>0</v>
      </c>
      <c r="R113" s="68">
        <f t="shared" si="232"/>
        <v>0</v>
      </c>
      <c r="S113" s="68">
        <f t="shared" si="232"/>
        <v>0</v>
      </c>
      <c r="T113" s="68">
        <f t="shared" si="232"/>
        <v>0</v>
      </c>
      <c r="U113" s="68">
        <f t="shared" si="232"/>
        <v>0</v>
      </c>
      <c r="V113" s="68">
        <f t="shared" si="232"/>
        <v>0</v>
      </c>
      <c r="W113" s="68">
        <f t="shared" si="232"/>
        <v>0</v>
      </c>
      <c r="X113" s="28">
        <f t="shared" si="201"/>
        <v>792.95</v>
      </c>
      <c r="Y113" s="136"/>
      <c r="Z113" s="122"/>
      <c r="AA113" s="17"/>
      <c r="AW113" s="23"/>
      <c r="AX113" s="24"/>
      <c r="AZ113" s="124"/>
      <c r="BA113" s="199">
        <v>0</v>
      </c>
      <c r="BB113" s="198">
        <v>0</v>
      </c>
      <c r="BC113" s="200">
        <v>0</v>
      </c>
      <c r="BD113" s="24">
        <f>X113</f>
        <v>792.95</v>
      </c>
      <c r="BE113" s="23" t="str">
        <f>A102</f>
        <v>THE BOYS</v>
      </c>
      <c r="BF113" s="203"/>
      <c r="BG113" s="204"/>
    </row>
    <row r="114" spans="1:59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22"/>
      <c r="AA114" s="17"/>
      <c r="AW114" s="23"/>
      <c r="AX114" s="24"/>
      <c r="AZ114" s="124"/>
      <c r="BA114" s="199">
        <v>0</v>
      </c>
      <c r="BB114" s="198">
        <v>0</v>
      </c>
      <c r="BC114" s="200">
        <v>0</v>
      </c>
      <c r="BD114" s="24"/>
      <c r="BE114" s="23"/>
      <c r="BF114" s="203"/>
      <c r="BG114" s="204"/>
    </row>
    <row r="115" spans="1:59" ht="15.75" thickBot="1">
      <c r="A115" s="7" t="s">
        <v>61</v>
      </c>
      <c r="B115" s="8" t="s">
        <v>27</v>
      </c>
      <c r="C115" s="8" t="s">
        <v>28</v>
      </c>
      <c r="D115" s="8" t="s">
        <v>29</v>
      </c>
      <c r="E115" s="8" t="s">
        <v>30</v>
      </c>
      <c r="F115" s="8" t="s">
        <v>31</v>
      </c>
      <c r="G115" s="8" t="s">
        <v>32</v>
      </c>
      <c r="H115" s="8" t="s">
        <v>33</v>
      </c>
      <c r="I115" s="8" t="s">
        <v>34</v>
      </c>
      <c r="J115" s="8" t="s">
        <v>35</v>
      </c>
      <c r="K115" s="8" t="s">
        <v>36</v>
      </c>
      <c r="L115" s="8" t="s">
        <v>37</v>
      </c>
      <c r="M115" s="8" t="s">
        <v>38</v>
      </c>
      <c r="N115" s="8" t="s">
        <v>39</v>
      </c>
      <c r="O115" s="8" t="s">
        <v>40</v>
      </c>
      <c r="P115" s="8" t="s">
        <v>41</v>
      </c>
      <c r="Q115" s="8" t="s">
        <v>42</v>
      </c>
      <c r="R115" s="8" t="s">
        <v>43</v>
      </c>
      <c r="S115" s="8" t="s">
        <v>44</v>
      </c>
      <c r="T115" s="8" t="s">
        <v>45</v>
      </c>
      <c r="U115" s="8" t="s">
        <v>46</v>
      </c>
      <c r="V115" s="8" t="s">
        <v>47</v>
      </c>
      <c r="W115" s="8" t="s">
        <v>48</v>
      </c>
      <c r="X115" s="1"/>
      <c r="Y115" s="1"/>
      <c r="Z115" s="3" t="str">
        <f>A115</f>
        <v>Team #9 Name:</v>
      </c>
      <c r="AA115" s="17"/>
      <c r="AW115" s="23"/>
      <c r="AX115" s="24"/>
      <c r="AZ115" s="124"/>
      <c r="BA115" s="199">
        <v>0</v>
      </c>
      <c r="BB115" s="198">
        <v>0</v>
      </c>
      <c r="BC115" s="200">
        <v>0</v>
      </c>
      <c r="BD115" s="24"/>
      <c r="BE115" s="23"/>
      <c r="BF115" s="203"/>
      <c r="BG115" s="204"/>
    </row>
    <row r="116" spans="1:59">
      <c r="A116" s="13" t="str">
        <f>B!B360</f>
        <v>THE DOUGERNAUTS</v>
      </c>
      <c r="B116" s="29" t="s">
        <v>50</v>
      </c>
      <c r="C116" s="29" t="s">
        <v>50</v>
      </c>
      <c r="D116" s="29" t="s">
        <v>50</v>
      </c>
      <c r="E116" s="29" t="s">
        <v>50</v>
      </c>
      <c r="F116" s="29" t="s">
        <v>50</v>
      </c>
      <c r="G116" s="29" t="s">
        <v>50</v>
      </c>
      <c r="H116" s="29" t="s">
        <v>50</v>
      </c>
      <c r="I116" s="29" t="s">
        <v>50</v>
      </c>
      <c r="J116" s="29" t="s">
        <v>50</v>
      </c>
      <c r="K116" s="29" t="s">
        <v>50</v>
      </c>
      <c r="L116" s="29" t="s">
        <v>50</v>
      </c>
      <c r="M116" s="29" t="s">
        <v>50</v>
      </c>
      <c r="N116" s="29" t="s">
        <v>50</v>
      </c>
      <c r="O116" s="29" t="s">
        <v>50</v>
      </c>
      <c r="P116" s="29" t="s">
        <v>50</v>
      </c>
      <c r="Q116" s="29" t="s">
        <v>50</v>
      </c>
      <c r="R116" s="29" t="s">
        <v>50</v>
      </c>
      <c r="S116" s="29" t="s">
        <v>50</v>
      </c>
      <c r="T116" s="29" t="s">
        <v>50</v>
      </c>
      <c r="U116" s="29" t="s">
        <v>50</v>
      </c>
      <c r="V116" s="29" t="s">
        <v>50</v>
      </c>
      <c r="W116" s="29" t="s">
        <v>50</v>
      </c>
      <c r="X116" s="15" t="s">
        <v>51</v>
      </c>
      <c r="Y116" s="16" t="s">
        <v>52</v>
      </c>
      <c r="Z116" s="123" t="str">
        <f>A116</f>
        <v>THE DOUGERNAUTS</v>
      </c>
      <c r="AA116" s="17"/>
      <c r="AW116" s="4" t="s">
        <v>97</v>
      </c>
      <c r="AX116" s="24"/>
      <c r="AZ116" s="124"/>
      <c r="BA116" s="199">
        <v>0</v>
      </c>
      <c r="BB116" s="198">
        <v>0</v>
      </c>
      <c r="BC116" s="200">
        <v>0</v>
      </c>
      <c r="BD116" s="24"/>
      <c r="BE116" s="23"/>
      <c r="BF116" s="203"/>
      <c r="BG116" s="204"/>
    </row>
    <row r="117" spans="1:59">
      <c r="A117" s="19" t="str">
        <f>B!B362</f>
        <v>MICHAEL</v>
      </c>
      <c r="B117" s="20">
        <f>'C'!B109</f>
        <v>47</v>
      </c>
      <c r="C117" s="20">
        <f>D!B109</f>
        <v>27</v>
      </c>
      <c r="D117" s="20">
        <f>E!B109</f>
        <v>40</v>
      </c>
      <c r="E117" s="20">
        <f>F!B109</f>
        <v>37</v>
      </c>
      <c r="F117" s="20">
        <f>G!B109</f>
        <v>0</v>
      </c>
      <c r="G117" s="20">
        <f>H!B109</f>
        <v>0</v>
      </c>
      <c r="H117" s="20">
        <f>I!B109</f>
        <v>0</v>
      </c>
      <c r="I117" s="20">
        <f>J!B109</f>
        <v>0</v>
      </c>
      <c r="J117" s="20">
        <f>K!B109</f>
        <v>0</v>
      </c>
      <c r="K117" s="20">
        <f>L!B109</f>
        <v>0</v>
      </c>
      <c r="L117" s="20">
        <f>M!B109</f>
        <v>0</v>
      </c>
      <c r="M117" s="20">
        <f>N!B109</f>
        <v>0</v>
      </c>
      <c r="N117" s="20">
        <f>O!B109</f>
        <v>0</v>
      </c>
      <c r="O117" s="20">
        <f>P!B109</f>
        <v>0</v>
      </c>
      <c r="P117" s="20">
        <f>Q!B109</f>
        <v>0</v>
      </c>
      <c r="Q117" s="20">
        <f>'R'!B109</f>
        <v>0</v>
      </c>
      <c r="R117" s="20">
        <f>S!B109</f>
        <v>0</v>
      </c>
      <c r="S117" s="20">
        <f>T!B109</f>
        <v>0</v>
      </c>
      <c r="T117" s="20">
        <f>U!B109</f>
        <v>0</v>
      </c>
      <c r="U117" s="20">
        <f>V!B109</f>
        <v>0</v>
      </c>
      <c r="V117" s="20">
        <f>W!B109</f>
        <v>0</v>
      </c>
      <c r="W117" s="20">
        <f>X!B109</f>
        <v>0</v>
      </c>
      <c r="X117" s="21">
        <f t="shared" ref="X117:X127" si="233">SUM(B117:W117)</f>
        <v>151</v>
      </c>
      <c r="Y117" s="22">
        <f>IF(AW117=0,0,X117/AW117)</f>
        <v>37.75</v>
      </c>
      <c r="Z117" s="122" t="str">
        <f t="shared" si="202"/>
        <v>MICHAEL</v>
      </c>
      <c r="AA117" s="17">
        <f t="shared" ref="AA117:AA124" si="234">IF(B117=0,0,1)</f>
        <v>1</v>
      </c>
      <c r="AB117">
        <f t="shared" ref="AB117:AB124" si="235">IF(C117=0,0,1)</f>
        <v>1</v>
      </c>
      <c r="AC117">
        <f t="shared" ref="AC117:AC124" si="236">IF(D117=0,0,1)</f>
        <v>1</v>
      </c>
      <c r="AD117">
        <f t="shared" ref="AD117:AD124" si="237">IF(E117=0,0,1)</f>
        <v>1</v>
      </c>
      <c r="AE117">
        <f t="shared" ref="AE117:AE124" si="238">IF(F117=0,0,1)</f>
        <v>0</v>
      </c>
      <c r="AF117">
        <f t="shared" ref="AF117:AF124" si="239">IF(G117=0,0,1)</f>
        <v>0</v>
      </c>
      <c r="AG117">
        <f t="shared" ref="AG117:AG124" si="240">IF(H117=0,0,1)</f>
        <v>0</v>
      </c>
      <c r="AH117">
        <f t="shared" ref="AH117:AH124" si="241">IF(I117=0,0,1)</f>
        <v>0</v>
      </c>
      <c r="AI117">
        <f t="shared" ref="AI117:AI124" si="242">IF(J117=0,0,1)</f>
        <v>0</v>
      </c>
      <c r="AJ117">
        <f t="shared" ref="AJ117:AJ124" si="243">IF(K117=0,0,1)</f>
        <v>0</v>
      </c>
      <c r="AK117">
        <f t="shared" ref="AK117:AK124" si="244">IF(L117=0,0,1)</f>
        <v>0</v>
      </c>
      <c r="AL117">
        <f t="shared" ref="AL117:AL124" si="245">IF(M117=0,0,1)</f>
        <v>0</v>
      </c>
      <c r="AM117">
        <f t="shared" ref="AM117:AM124" si="246">IF(N117=0,0,1)</f>
        <v>0</v>
      </c>
      <c r="AN117">
        <f t="shared" ref="AN117:AN124" si="247">IF(O117=0,0,1)</f>
        <v>0</v>
      </c>
      <c r="AO117">
        <f t="shared" ref="AO117:AO124" si="248">IF(P117=0,0,1)</f>
        <v>0</v>
      </c>
      <c r="AP117">
        <f t="shared" ref="AP117:AP124" si="249">IF(Q117=0,0,1)</f>
        <v>0</v>
      </c>
      <c r="AQ117">
        <f t="shared" ref="AQ117:AQ124" si="250">IF(R117=0,0,1)</f>
        <v>0</v>
      </c>
      <c r="AR117">
        <f t="shared" ref="AR117:AR124" si="251">IF(S117=0,0,1)</f>
        <v>0</v>
      </c>
      <c r="AS117">
        <f t="shared" ref="AS117:AS124" si="252">IF(T117=0,0,1)</f>
        <v>0</v>
      </c>
      <c r="AT117">
        <f t="shared" ref="AT117:AT124" si="253">IF(U117=0,0,1)</f>
        <v>0</v>
      </c>
      <c r="AU117">
        <f t="shared" ref="AU117:AU124" si="254">IF(V117=0,0,1)</f>
        <v>0</v>
      </c>
      <c r="AV117">
        <f t="shared" ref="AV117:AV124" si="255">IF(W117=0,0,1)</f>
        <v>0</v>
      </c>
      <c r="AW117" s="23">
        <f t="shared" ref="AW117:AW124" si="256">SUM(AA117:AV117)</f>
        <v>4</v>
      </c>
      <c r="AX117" s="24">
        <f>IF(X117=0,0,X117)</f>
        <v>151</v>
      </c>
      <c r="AY117" s="121" t="str">
        <f>IF(X117=0,0,A117)</f>
        <v>MICHAEL</v>
      </c>
      <c r="AZ117" s="124" t="str">
        <f>IF(AX117=0,0,A$116)</f>
        <v>THE DOUGERNAUTS</v>
      </c>
      <c r="BA117" s="199">
        <v>0</v>
      </c>
      <c r="BB117" s="198">
        <v>0</v>
      </c>
      <c r="BC117" s="200">
        <v>0</v>
      </c>
      <c r="BD117" s="24"/>
      <c r="BE117" s="23"/>
      <c r="BF117" s="203"/>
      <c r="BG117" s="204"/>
    </row>
    <row r="118" spans="1:59">
      <c r="A118" s="19" t="str">
        <f>B!B367</f>
        <v>JIM</v>
      </c>
      <c r="B118" s="20">
        <f>'C'!B110</f>
        <v>34</v>
      </c>
      <c r="C118" s="20">
        <f>D!B110</f>
        <v>41</v>
      </c>
      <c r="D118" s="20">
        <f>E!B110</f>
        <v>40</v>
      </c>
      <c r="E118" s="20">
        <f>F!B110</f>
        <v>26</v>
      </c>
      <c r="F118" s="20">
        <f>G!B110</f>
        <v>0</v>
      </c>
      <c r="G118" s="20">
        <f>H!B110</f>
        <v>0</v>
      </c>
      <c r="H118" s="20">
        <f>I!B110</f>
        <v>0</v>
      </c>
      <c r="I118" s="20">
        <f>J!B110</f>
        <v>0</v>
      </c>
      <c r="J118" s="20">
        <f>K!B110</f>
        <v>0</v>
      </c>
      <c r="K118" s="20">
        <f>L!B110</f>
        <v>0</v>
      </c>
      <c r="L118" s="20">
        <f>M!B110</f>
        <v>0</v>
      </c>
      <c r="M118" s="20">
        <f>N!B110</f>
        <v>0</v>
      </c>
      <c r="N118" s="20">
        <f>O!B110</f>
        <v>0</v>
      </c>
      <c r="O118" s="20">
        <f>P!B110</f>
        <v>0</v>
      </c>
      <c r="P118" s="20">
        <f>Q!B110</f>
        <v>0</v>
      </c>
      <c r="Q118" s="20">
        <f>'R'!B110</f>
        <v>0</v>
      </c>
      <c r="R118" s="20">
        <f>S!B110</f>
        <v>0</v>
      </c>
      <c r="S118" s="20">
        <f>T!B110</f>
        <v>0</v>
      </c>
      <c r="T118" s="20">
        <f>U!B110</f>
        <v>0</v>
      </c>
      <c r="U118" s="20">
        <f>V!B110</f>
        <v>0</v>
      </c>
      <c r="V118" s="20">
        <f>W!B110</f>
        <v>0</v>
      </c>
      <c r="W118" s="20">
        <f>X!B110</f>
        <v>0</v>
      </c>
      <c r="X118" s="21">
        <f t="shared" si="233"/>
        <v>141</v>
      </c>
      <c r="Y118" s="22">
        <f t="shared" ref="Y118:Y124" si="257">IF(AW118=0,0,X118/AW118)</f>
        <v>35.25</v>
      </c>
      <c r="Z118" s="122" t="str">
        <f t="shared" si="202"/>
        <v>JIM</v>
      </c>
      <c r="AA118" s="17">
        <f t="shared" si="234"/>
        <v>1</v>
      </c>
      <c r="AB118">
        <f t="shared" si="235"/>
        <v>1</v>
      </c>
      <c r="AC118">
        <f t="shared" si="236"/>
        <v>1</v>
      </c>
      <c r="AD118">
        <f t="shared" si="237"/>
        <v>1</v>
      </c>
      <c r="AE118">
        <f t="shared" si="238"/>
        <v>0</v>
      </c>
      <c r="AF118">
        <f t="shared" si="239"/>
        <v>0</v>
      </c>
      <c r="AG118">
        <f t="shared" si="240"/>
        <v>0</v>
      </c>
      <c r="AH118">
        <f t="shared" si="241"/>
        <v>0</v>
      </c>
      <c r="AI118">
        <f t="shared" si="242"/>
        <v>0</v>
      </c>
      <c r="AJ118">
        <f t="shared" si="243"/>
        <v>0</v>
      </c>
      <c r="AK118">
        <f t="shared" si="244"/>
        <v>0</v>
      </c>
      <c r="AL118">
        <f t="shared" si="245"/>
        <v>0</v>
      </c>
      <c r="AM118">
        <f t="shared" si="246"/>
        <v>0</v>
      </c>
      <c r="AN118">
        <f t="shared" si="247"/>
        <v>0</v>
      </c>
      <c r="AO118">
        <f t="shared" si="248"/>
        <v>0</v>
      </c>
      <c r="AP118">
        <f t="shared" si="249"/>
        <v>0</v>
      </c>
      <c r="AQ118">
        <f t="shared" si="250"/>
        <v>0</v>
      </c>
      <c r="AR118">
        <f t="shared" si="251"/>
        <v>0</v>
      </c>
      <c r="AS118">
        <f t="shared" si="252"/>
        <v>0</v>
      </c>
      <c r="AT118">
        <f t="shared" si="253"/>
        <v>0</v>
      </c>
      <c r="AU118">
        <f t="shared" si="254"/>
        <v>0</v>
      </c>
      <c r="AV118">
        <f t="shared" si="255"/>
        <v>0</v>
      </c>
      <c r="AW118" s="23">
        <f t="shared" si="256"/>
        <v>4</v>
      </c>
      <c r="AX118" s="24">
        <f t="shared" ref="AX118:AX124" si="258">IF(X118=0,0,X118)</f>
        <v>141</v>
      </c>
      <c r="AY118" s="121" t="str">
        <f t="shared" ref="AY118:AY124" si="259">IF(X118=0,0,A118)</f>
        <v>JIM</v>
      </c>
      <c r="AZ118" s="124" t="str">
        <f t="shared" ref="AZ118:AZ124" si="260">IF(AX118=0,0,A$116)</f>
        <v>THE DOUGERNAUTS</v>
      </c>
      <c r="BA118" s="199">
        <v>0</v>
      </c>
      <c r="BB118" s="198">
        <v>0</v>
      </c>
      <c r="BC118" s="200">
        <v>0</v>
      </c>
      <c r="BD118" s="24"/>
      <c r="BE118" s="23"/>
      <c r="BF118" s="203"/>
      <c r="BG118" s="204"/>
    </row>
    <row r="119" spans="1:59">
      <c r="A119" s="19" t="str">
        <f>B!B372</f>
        <v>DOUG</v>
      </c>
      <c r="B119" s="20">
        <f>'C'!B111</f>
        <v>29</v>
      </c>
      <c r="C119" s="20">
        <f>D!B111</f>
        <v>29</v>
      </c>
      <c r="D119" s="20">
        <f>E!B111</f>
        <v>40</v>
      </c>
      <c r="E119" s="20">
        <f>F!B111</f>
        <v>34</v>
      </c>
      <c r="F119" s="20">
        <f>G!B111</f>
        <v>0</v>
      </c>
      <c r="G119" s="20">
        <f>H!B111</f>
        <v>0</v>
      </c>
      <c r="H119" s="20">
        <f>I!B111</f>
        <v>0</v>
      </c>
      <c r="I119" s="20">
        <f>J!B111</f>
        <v>0</v>
      </c>
      <c r="J119" s="20">
        <f>K!B111</f>
        <v>0</v>
      </c>
      <c r="K119" s="20">
        <f>L!B111</f>
        <v>0</v>
      </c>
      <c r="L119" s="20">
        <f>M!B111</f>
        <v>0</v>
      </c>
      <c r="M119" s="20">
        <f>N!B111</f>
        <v>0</v>
      </c>
      <c r="N119" s="20">
        <f>O!B111</f>
        <v>0</v>
      </c>
      <c r="O119" s="20">
        <f>P!B111</f>
        <v>0</v>
      </c>
      <c r="P119" s="20">
        <f>Q!B111</f>
        <v>0</v>
      </c>
      <c r="Q119" s="20">
        <f>'R'!B111</f>
        <v>0</v>
      </c>
      <c r="R119" s="20">
        <f>S!B111</f>
        <v>0</v>
      </c>
      <c r="S119" s="20">
        <f>T!B111</f>
        <v>0</v>
      </c>
      <c r="T119" s="20">
        <f>U!B111</f>
        <v>0</v>
      </c>
      <c r="U119" s="20">
        <f>V!B111</f>
        <v>0</v>
      </c>
      <c r="V119" s="20">
        <f>W!B111</f>
        <v>0</v>
      </c>
      <c r="W119" s="20">
        <f>X!B111</f>
        <v>0</v>
      </c>
      <c r="X119" s="21">
        <f t="shared" si="233"/>
        <v>132</v>
      </c>
      <c r="Y119" s="22">
        <f t="shared" si="257"/>
        <v>33</v>
      </c>
      <c r="Z119" s="122" t="str">
        <f t="shared" si="202"/>
        <v>DOUG</v>
      </c>
      <c r="AA119" s="17">
        <f t="shared" si="234"/>
        <v>1</v>
      </c>
      <c r="AB119">
        <f t="shared" si="235"/>
        <v>1</v>
      </c>
      <c r="AC119">
        <f t="shared" si="236"/>
        <v>1</v>
      </c>
      <c r="AD119">
        <f t="shared" si="237"/>
        <v>1</v>
      </c>
      <c r="AE119">
        <f t="shared" si="238"/>
        <v>0</v>
      </c>
      <c r="AF119">
        <f t="shared" si="239"/>
        <v>0</v>
      </c>
      <c r="AG119">
        <f t="shared" si="240"/>
        <v>0</v>
      </c>
      <c r="AH119">
        <f t="shared" si="241"/>
        <v>0</v>
      </c>
      <c r="AI119">
        <f t="shared" si="242"/>
        <v>0</v>
      </c>
      <c r="AJ119">
        <f t="shared" si="243"/>
        <v>0</v>
      </c>
      <c r="AK119">
        <f t="shared" si="244"/>
        <v>0</v>
      </c>
      <c r="AL119">
        <f t="shared" si="245"/>
        <v>0</v>
      </c>
      <c r="AM119">
        <f t="shared" si="246"/>
        <v>0</v>
      </c>
      <c r="AN119">
        <f t="shared" si="247"/>
        <v>0</v>
      </c>
      <c r="AO119">
        <f t="shared" si="248"/>
        <v>0</v>
      </c>
      <c r="AP119">
        <f t="shared" si="249"/>
        <v>0</v>
      </c>
      <c r="AQ119">
        <f t="shared" si="250"/>
        <v>0</v>
      </c>
      <c r="AR119">
        <f t="shared" si="251"/>
        <v>0</v>
      </c>
      <c r="AS119">
        <f t="shared" si="252"/>
        <v>0</v>
      </c>
      <c r="AT119">
        <f t="shared" si="253"/>
        <v>0</v>
      </c>
      <c r="AU119">
        <f t="shared" si="254"/>
        <v>0</v>
      </c>
      <c r="AV119">
        <f t="shared" si="255"/>
        <v>0</v>
      </c>
      <c r="AW119" s="23">
        <f t="shared" si="256"/>
        <v>4</v>
      </c>
      <c r="AX119" s="24">
        <f t="shared" si="258"/>
        <v>132</v>
      </c>
      <c r="AY119" s="121" t="str">
        <f t="shared" si="259"/>
        <v>DOUG</v>
      </c>
      <c r="AZ119" s="124" t="str">
        <f t="shared" si="260"/>
        <v>THE DOUGERNAUTS</v>
      </c>
      <c r="BA119" s="199">
        <v>0</v>
      </c>
      <c r="BB119" s="198">
        <v>0</v>
      </c>
      <c r="BC119" s="200">
        <v>0</v>
      </c>
      <c r="BD119" s="24"/>
      <c r="BE119" s="23"/>
      <c r="BF119" s="203"/>
      <c r="BG119" s="204"/>
    </row>
    <row r="120" spans="1:59">
      <c r="A120" s="19" t="str">
        <f>B!B377</f>
        <v>SARAH</v>
      </c>
      <c r="B120" s="20">
        <f>'C'!B112</f>
        <v>34</v>
      </c>
      <c r="C120" s="20">
        <f>D!B112</f>
        <v>34</v>
      </c>
      <c r="D120" s="20">
        <f>E!B112</f>
        <v>40</v>
      </c>
      <c r="E120" s="20">
        <f>F!B112</f>
        <v>39</v>
      </c>
      <c r="F120" s="20">
        <f>G!B112</f>
        <v>0</v>
      </c>
      <c r="G120" s="20">
        <f>H!B112</f>
        <v>0</v>
      </c>
      <c r="H120" s="20">
        <f>I!B112</f>
        <v>0</v>
      </c>
      <c r="I120" s="20">
        <f>J!B112</f>
        <v>0</v>
      </c>
      <c r="J120" s="20">
        <f>K!B112</f>
        <v>0</v>
      </c>
      <c r="K120" s="20">
        <f>L!B112</f>
        <v>0</v>
      </c>
      <c r="L120" s="20">
        <f>M!B112</f>
        <v>0</v>
      </c>
      <c r="M120" s="20">
        <f>N!B112</f>
        <v>0</v>
      </c>
      <c r="N120" s="20">
        <f>O!B112</f>
        <v>0</v>
      </c>
      <c r="O120" s="20">
        <f>P!B112</f>
        <v>0</v>
      </c>
      <c r="P120" s="20">
        <f>Q!B112</f>
        <v>0</v>
      </c>
      <c r="Q120" s="20">
        <f>'R'!B112</f>
        <v>0</v>
      </c>
      <c r="R120" s="20">
        <f>S!B112</f>
        <v>0</v>
      </c>
      <c r="S120" s="20">
        <f>T!B112</f>
        <v>0</v>
      </c>
      <c r="T120" s="20">
        <f>U!B112</f>
        <v>0</v>
      </c>
      <c r="U120" s="20">
        <f>V!B112</f>
        <v>0</v>
      </c>
      <c r="V120" s="20">
        <f>W!B112</f>
        <v>0</v>
      </c>
      <c r="W120" s="20">
        <f>X!B112</f>
        <v>0</v>
      </c>
      <c r="X120" s="21">
        <f t="shared" si="233"/>
        <v>147</v>
      </c>
      <c r="Y120" s="22">
        <f t="shared" si="257"/>
        <v>36.75</v>
      </c>
      <c r="Z120" s="122" t="str">
        <f t="shared" si="202"/>
        <v>SARAH</v>
      </c>
      <c r="AA120" s="17">
        <f t="shared" si="234"/>
        <v>1</v>
      </c>
      <c r="AB120">
        <f t="shared" si="235"/>
        <v>1</v>
      </c>
      <c r="AC120">
        <f t="shared" si="236"/>
        <v>1</v>
      </c>
      <c r="AD120">
        <f t="shared" si="237"/>
        <v>1</v>
      </c>
      <c r="AE120">
        <f t="shared" si="238"/>
        <v>0</v>
      </c>
      <c r="AF120">
        <f t="shared" si="239"/>
        <v>0</v>
      </c>
      <c r="AG120">
        <f t="shared" si="240"/>
        <v>0</v>
      </c>
      <c r="AH120">
        <f t="shared" si="241"/>
        <v>0</v>
      </c>
      <c r="AI120">
        <f t="shared" si="242"/>
        <v>0</v>
      </c>
      <c r="AJ120">
        <f t="shared" si="243"/>
        <v>0</v>
      </c>
      <c r="AK120">
        <f t="shared" si="244"/>
        <v>0</v>
      </c>
      <c r="AL120">
        <f t="shared" si="245"/>
        <v>0</v>
      </c>
      <c r="AM120">
        <f t="shared" si="246"/>
        <v>0</v>
      </c>
      <c r="AN120">
        <f t="shared" si="247"/>
        <v>0</v>
      </c>
      <c r="AO120">
        <f t="shared" si="248"/>
        <v>0</v>
      </c>
      <c r="AP120">
        <f t="shared" si="249"/>
        <v>0</v>
      </c>
      <c r="AQ120">
        <f t="shared" si="250"/>
        <v>0</v>
      </c>
      <c r="AR120">
        <f t="shared" si="251"/>
        <v>0</v>
      </c>
      <c r="AS120">
        <f t="shared" si="252"/>
        <v>0</v>
      </c>
      <c r="AT120">
        <f t="shared" si="253"/>
        <v>0</v>
      </c>
      <c r="AU120">
        <f t="shared" si="254"/>
        <v>0</v>
      </c>
      <c r="AV120">
        <f t="shared" si="255"/>
        <v>0</v>
      </c>
      <c r="AW120" s="23">
        <f t="shared" si="256"/>
        <v>4</v>
      </c>
      <c r="AX120" s="24">
        <f t="shared" si="258"/>
        <v>147</v>
      </c>
      <c r="AY120" s="121" t="str">
        <f t="shared" si="259"/>
        <v>SARAH</v>
      </c>
      <c r="AZ120" s="124" t="str">
        <f t="shared" si="260"/>
        <v>THE DOUGERNAUTS</v>
      </c>
      <c r="BA120" s="199">
        <v>0</v>
      </c>
      <c r="BB120" s="198">
        <v>0</v>
      </c>
      <c r="BC120" s="200">
        <v>0</v>
      </c>
      <c r="BD120" s="24"/>
      <c r="BE120" s="23"/>
      <c r="BF120" s="203"/>
      <c r="BG120" s="204"/>
    </row>
    <row r="121" spans="1:59">
      <c r="A121" s="19" t="str">
        <f>B!B382</f>
        <v>KASH</v>
      </c>
      <c r="B121" s="20">
        <f>'C'!B113</f>
        <v>40</v>
      </c>
      <c r="C121" s="20">
        <f>D!B113</f>
        <v>42</v>
      </c>
      <c r="D121" s="20">
        <f>E!B113</f>
        <v>40</v>
      </c>
      <c r="E121" s="20">
        <f>F!B113</f>
        <v>46</v>
      </c>
      <c r="F121" s="20">
        <f>G!B113</f>
        <v>0</v>
      </c>
      <c r="G121" s="20">
        <f>H!B113</f>
        <v>0</v>
      </c>
      <c r="H121" s="20">
        <f>I!B113</f>
        <v>0</v>
      </c>
      <c r="I121" s="20">
        <f>J!B113</f>
        <v>0</v>
      </c>
      <c r="J121" s="20">
        <f>K!B113</f>
        <v>0</v>
      </c>
      <c r="K121" s="20">
        <f>L!B113</f>
        <v>0</v>
      </c>
      <c r="L121" s="20">
        <f>M!B113</f>
        <v>0</v>
      </c>
      <c r="M121" s="20">
        <f>N!B113</f>
        <v>0</v>
      </c>
      <c r="N121" s="20">
        <f>O!B113</f>
        <v>0</v>
      </c>
      <c r="O121" s="20">
        <f>P!B113</f>
        <v>0</v>
      </c>
      <c r="P121" s="20">
        <f>Q!B113</f>
        <v>0</v>
      </c>
      <c r="Q121" s="20">
        <f>'R'!B113</f>
        <v>0</v>
      </c>
      <c r="R121" s="20">
        <f>S!B113</f>
        <v>0</v>
      </c>
      <c r="S121" s="20">
        <f>T!B113</f>
        <v>0</v>
      </c>
      <c r="T121" s="20">
        <f>U!B113</f>
        <v>0</v>
      </c>
      <c r="U121" s="20">
        <f>V!B113</f>
        <v>0</v>
      </c>
      <c r="V121" s="20">
        <f>W!B113</f>
        <v>0</v>
      </c>
      <c r="W121" s="20">
        <f>X!B113</f>
        <v>0</v>
      </c>
      <c r="X121" s="21">
        <f t="shared" si="233"/>
        <v>168</v>
      </c>
      <c r="Y121" s="22">
        <f t="shared" si="257"/>
        <v>42</v>
      </c>
      <c r="Z121" s="122" t="str">
        <f t="shared" si="202"/>
        <v>KASH</v>
      </c>
      <c r="AA121" s="17">
        <f t="shared" si="234"/>
        <v>1</v>
      </c>
      <c r="AB121">
        <f t="shared" si="235"/>
        <v>1</v>
      </c>
      <c r="AC121">
        <f t="shared" si="236"/>
        <v>1</v>
      </c>
      <c r="AD121">
        <f t="shared" si="237"/>
        <v>1</v>
      </c>
      <c r="AE121">
        <f t="shared" si="238"/>
        <v>0</v>
      </c>
      <c r="AF121">
        <f t="shared" si="239"/>
        <v>0</v>
      </c>
      <c r="AG121">
        <f t="shared" si="240"/>
        <v>0</v>
      </c>
      <c r="AH121">
        <f t="shared" si="241"/>
        <v>0</v>
      </c>
      <c r="AI121">
        <f t="shared" si="242"/>
        <v>0</v>
      </c>
      <c r="AJ121">
        <f t="shared" si="243"/>
        <v>0</v>
      </c>
      <c r="AK121">
        <f t="shared" si="244"/>
        <v>0</v>
      </c>
      <c r="AL121">
        <f t="shared" si="245"/>
        <v>0</v>
      </c>
      <c r="AM121">
        <f t="shared" si="246"/>
        <v>0</v>
      </c>
      <c r="AN121">
        <f t="shared" si="247"/>
        <v>0</v>
      </c>
      <c r="AO121">
        <f t="shared" si="248"/>
        <v>0</v>
      </c>
      <c r="AP121">
        <f t="shared" si="249"/>
        <v>0</v>
      </c>
      <c r="AQ121">
        <f t="shared" si="250"/>
        <v>0</v>
      </c>
      <c r="AR121">
        <f t="shared" si="251"/>
        <v>0</v>
      </c>
      <c r="AS121">
        <f t="shared" si="252"/>
        <v>0</v>
      </c>
      <c r="AT121">
        <f t="shared" si="253"/>
        <v>0</v>
      </c>
      <c r="AU121">
        <f t="shared" si="254"/>
        <v>0</v>
      </c>
      <c r="AV121">
        <f t="shared" si="255"/>
        <v>0</v>
      </c>
      <c r="AW121" s="23">
        <f t="shared" si="256"/>
        <v>4</v>
      </c>
      <c r="AX121" s="24">
        <f t="shared" si="258"/>
        <v>168</v>
      </c>
      <c r="AY121" s="121" t="str">
        <f t="shared" si="259"/>
        <v>KASH</v>
      </c>
      <c r="AZ121" s="124" t="str">
        <f t="shared" si="260"/>
        <v>THE DOUGERNAUTS</v>
      </c>
      <c r="BA121" s="199">
        <v>0</v>
      </c>
      <c r="BB121" s="198">
        <v>0</v>
      </c>
      <c r="BC121" s="200">
        <v>0</v>
      </c>
      <c r="BD121" s="24"/>
      <c r="BE121" s="23"/>
      <c r="BF121" s="203"/>
      <c r="BG121" s="204"/>
    </row>
    <row r="122" spans="1:59">
      <c r="A122" s="19">
        <f>B!B387</f>
        <v>0</v>
      </c>
      <c r="B122" s="20">
        <f>'C'!B114</f>
        <v>0</v>
      </c>
      <c r="C122" s="20">
        <f>D!B114</f>
        <v>0</v>
      </c>
      <c r="D122" s="20">
        <f>E!B114</f>
        <v>0</v>
      </c>
      <c r="E122" s="20">
        <f>F!B114</f>
        <v>0</v>
      </c>
      <c r="F122" s="20">
        <f>G!B114</f>
        <v>0</v>
      </c>
      <c r="G122" s="20">
        <f>H!B114</f>
        <v>0</v>
      </c>
      <c r="H122" s="20">
        <f>I!B114</f>
        <v>0</v>
      </c>
      <c r="I122" s="20">
        <f>J!B114</f>
        <v>0</v>
      </c>
      <c r="J122" s="20">
        <f>K!B114</f>
        <v>0</v>
      </c>
      <c r="K122" s="20">
        <f>L!B114</f>
        <v>0</v>
      </c>
      <c r="L122" s="20">
        <f>M!B114</f>
        <v>0</v>
      </c>
      <c r="M122" s="20">
        <f>N!B114</f>
        <v>0</v>
      </c>
      <c r="N122" s="20">
        <f>O!B114</f>
        <v>0</v>
      </c>
      <c r="O122" s="20">
        <f>P!B114</f>
        <v>0</v>
      </c>
      <c r="P122" s="20">
        <f>Q!B114</f>
        <v>0</v>
      </c>
      <c r="Q122" s="20">
        <f>'R'!B114</f>
        <v>0</v>
      </c>
      <c r="R122" s="20">
        <f>S!B114</f>
        <v>0</v>
      </c>
      <c r="S122" s="20">
        <f>T!B114</f>
        <v>0</v>
      </c>
      <c r="T122" s="20">
        <f>U!B114</f>
        <v>0</v>
      </c>
      <c r="U122" s="20">
        <f>V!B114</f>
        <v>0</v>
      </c>
      <c r="V122" s="20">
        <f>W!B114</f>
        <v>0</v>
      </c>
      <c r="W122" s="20">
        <f>X!B114</f>
        <v>0</v>
      </c>
      <c r="X122" s="21">
        <f t="shared" si="233"/>
        <v>0</v>
      </c>
      <c r="Y122" s="22">
        <f t="shared" si="257"/>
        <v>0</v>
      </c>
      <c r="Z122" s="122">
        <f t="shared" si="202"/>
        <v>0</v>
      </c>
      <c r="AA122" s="17">
        <f t="shared" si="234"/>
        <v>0</v>
      </c>
      <c r="AB122">
        <f t="shared" si="235"/>
        <v>0</v>
      </c>
      <c r="AC122">
        <f t="shared" si="236"/>
        <v>0</v>
      </c>
      <c r="AD122">
        <f t="shared" si="237"/>
        <v>0</v>
      </c>
      <c r="AE122">
        <f t="shared" si="238"/>
        <v>0</v>
      </c>
      <c r="AF122">
        <f t="shared" si="239"/>
        <v>0</v>
      </c>
      <c r="AG122">
        <f t="shared" si="240"/>
        <v>0</v>
      </c>
      <c r="AH122">
        <f t="shared" si="241"/>
        <v>0</v>
      </c>
      <c r="AI122">
        <f t="shared" si="242"/>
        <v>0</v>
      </c>
      <c r="AJ122">
        <f t="shared" si="243"/>
        <v>0</v>
      </c>
      <c r="AK122">
        <f t="shared" si="244"/>
        <v>0</v>
      </c>
      <c r="AL122">
        <f t="shared" si="245"/>
        <v>0</v>
      </c>
      <c r="AM122">
        <f t="shared" si="246"/>
        <v>0</v>
      </c>
      <c r="AN122">
        <f t="shared" si="247"/>
        <v>0</v>
      </c>
      <c r="AO122">
        <f t="shared" si="248"/>
        <v>0</v>
      </c>
      <c r="AP122">
        <f t="shared" si="249"/>
        <v>0</v>
      </c>
      <c r="AQ122">
        <f t="shared" si="250"/>
        <v>0</v>
      </c>
      <c r="AR122">
        <f t="shared" si="251"/>
        <v>0</v>
      </c>
      <c r="AS122">
        <f t="shared" si="252"/>
        <v>0</v>
      </c>
      <c r="AT122">
        <f t="shared" si="253"/>
        <v>0</v>
      </c>
      <c r="AU122">
        <f t="shared" si="254"/>
        <v>0</v>
      </c>
      <c r="AV122">
        <f t="shared" si="255"/>
        <v>0</v>
      </c>
      <c r="AW122" s="23">
        <f t="shared" si="256"/>
        <v>0</v>
      </c>
      <c r="AX122" s="24">
        <f t="shared" si="258"/>
        <v>0</v>
      </c>
      <c r="AY122" s="121">
        <f t="shared" si="259"/>
        <v>0</v>
      </c>
      <c r="AZ122" s="124">
        <f t="shared" si="260"/>
        <v>0</v>
      </c>
      <c r="BA122" s="199">
        <v>0</v>
      </c>
      <c r="BB122" s="198">
        <v>0</v>
      </c>
      <c r="BC122" s="200">
        <v>0</v>
      </c>
      <c r="BD122" s="24"/>
      <c r="BE122" s="23"/>
      <c r="BF122" s="203"/>
      <c r="BG122" s="204"/>
    </row>
    <row r="123" spans="1:59">
      <c r="A123" s="19">
        <f>B!B392</f>
        <v>0</v>
      </c>
      <c r="B123" s="20">
        <f>'C'!B115</f>
        <v>0</v>
      </c>
      <c r="C123" s="20">
        <f>D!B115</f>
        <v>0</v>
      </c>
      <c r="D123" s="20">
        <f>E!B115</f>
        <v>0</v>
      </c>
      <c r="E123" s="20">
        <f>F!B115</f>
        <v>0</v>
      </c>
      <c r="F123" s="20">
        <f>G!B115</f>
        <v>0</v>
      </c>
      <c r="G123" s="20">
        <f>H!B115</f>
        <v>0</v>
      </c>
      <c r="H123" s="20">
        <f>I!B115</f>
        <v>0</v>
      </c>
      <c r="I123" s="20">
        <f>J!B115</f>
        <v>0</v>
      </c>
      <c r="J123" s="20">
        <f>K!B115</f>
        <v>0</v>
      </c>
      <c r="K123" s="20">
        <f>L!B115</f>
        <v>0</v>
      </c>
      <c r="L123" s="20">
        <f>M!B115</f>
        <v>0</v>
      </c>
      <c r="M123" s="20">
        <f>N!B115</f>
        <v>0</v>
      </c>
      <c r="N123" s="20">
        <f>O!B115</f>
        <v>0</v>
      </c>
      <c r="O123" s="20">
        <f>P!B115</f>
        <v>0</v>
      </c>
      <c r="P123" s="20">
        <f>Q!B115</f>
        <v>0</v>
      </c>
      <c r="Q123" s="20">
        <f>'R'!B115</f>
        <v>0</v>
      </c>
      <c r="R123" s="20">
        <f>S!B115</f>
        <v>0</v>
      </c>
      <c r="S123" s="20">
        <f>T!B115</f>
        <v>0</v>
      </c>
      <c r="T123" s="20">
        <f>U!B115</f>
        <v>0</v>
      </c>
      <c r="U123" s="20">
        <f>V!B115</f>
        <v>0</v>
      </c>
      <c r="V123" s="20">
        <f>W!B115</f>
        <v>0</v>
      </c>
      <c r="W123" s="20">
        <f>X!B115</f>
        <v>0</v>
      </c>
      <c r="X123" s="21">
        <f t="shared" si="233"/>
        <v>0</v>
      </c>
      <c r="Y123" s="22">
        <f t="shared" si="257"/>
        <v>0</v>
      </c>
      <c r="Z123" s="122">
        <f t="shared" si="202"/>
        <v>0</v>
      </c>
      <c r="AA123" s="17">
        <f t="shared" si="234"/>
        <v>0</v>
      </c>
      <c r="AB123">
        <f t="shared" si="235"/>
        <v>0</v>
      </c>
      <c r="AC123">
        <f t="shared" si="236"/>
        <v>0</v>
      </c>
      <c r="AD123">
        <f t="shared" si="237"/>
        <v>0</v>
      </c>
      <c r="AE123">
        <f t="shared" si="238"/>
        <v>0</v>
      </c>
      <c r="AF123">
        <f t="shared" si="239"/>
        <v>0</v>
      </c>
      <c r="AG123">
        <f t="shared" si="240"/>
        <v>0</v>
      </c>
      <c r="AH123">
        <f t="shared" si="241"/>
        <v>0</v>
      </c>
      <c r="AI123">
        <f t="shared" si="242"/>
        <v>0</v>
      </c>
      <c r="AJ123">
        <f t="shared" si="243"/>
        <v>0</v>
      </c>
      <c r="AK123">
        <f t="shared" si="244"/>
        <v>0</v>
      </c>
      <c r="AL123">
        <f t="shared" si="245"/>
        <v>0</v>
      </c>
      <c r="AM123">
        <f t="shared" si="246"/>
        <v>0</v>
      </c>
      <c r="AN123">
        <f t="shared" si="247"/>
        <v>0</v>
      </c>
      <c r="AO123">
        <f t="shared" si="248"/>
        <v>0</v>
      </c>
      <c r="AP123">
        <f t="shared" si="249"/>
        <v>0</v>
      </c>
      <c r="AQ123">
        <f t="shared" si="250"/>
        <v>0</v>
      </c>
      <c r="AR123">
        <f t="shared" si="251"/>
        <v>0</v>
      </c>
      <c r="AS123">
        <f t="shared" si="252"/>
        <v>0</v>
      </c>
      <c r="AT123">
        <f t="shared" si="253"/>
        <v>0</v>
      </c>
      <c r="AU123">
        <f t="shared" si="254"/>
        <v>0</v>
      </c>
      <c r="AV123">
        <f t="shared" si="255"/>
        <v>0</v>
      </c>
      <c r="AW123" s="23">
        <f t="shared" si="256"/>
        <v>0</v>
      </c>
      <c r="AX123" s="24">
        <f t="shared" si="258"/>
        <v>0</v>
      </c>
      <c r="AY123" s="121">
        <f t="shared" si="259"/>
        <v>0</v>
      </c>
      <c r="AZ123" s="124">
        <f t="shared" si="260"/>
        <v>0</v>
      </c>
      <c r="BA123" s="199">
        <v>0</v>
      </c>
      <c r="BB123" s="198">
        <v>0</v>
      </c>
      <c r="BC123" s="200">
        <v>0</v>
      </c>
      <c r="BD123" s="24"/>
      <c r="BE123" s="23"/>
      <c r="BF123" s="203"/>
      <c r="BG123" s="204"/>
    </row>
    <row r="124" spans="1:59" ht="15.75" thickBot="1">
      <c r="A124" s="17">
        <f>B!B397</f>
        <v>0</v>
      </c>
      <c r="B124" s="20">
        <f>'C'!B116</f>
        <v>0</v>
      </c>
      <c r="C124" s="20">
        <f>D!B116</f>
        <v>0</v>
      </c>
      <c r="D124" s="20">
        <f>E!B116</f>
        <v>0</v>
      </c>
      <c r="E124" s="20">
        <f>F!B116</f>
        <v>0</v>
      </c>
      <c r="F124" s="20">
        <f>G!B116</f>
        <v>0</v>
      </c>
      <c r="G124" s="20">
        <f>H!B116</f>
        <v>0</v>
      </c>
      <c r="H124" s="20">
        <f>I!B116</f>
        <v>0</v>
      </c>
      <c r="I124" s="20">
        <f>J!B116</f>
        <v>0</v>
      </c>
      <c r="J124" s="20">
        <f>K!B116</f>
        <v>0</v>
      </c>
      <c r="K124" s="20">
        <f>L!B116</f>
        <v>0</v>
      </c>
      <c r="L124" s="20">
        <f>M!B116</f>
        <v>0</v>
      </c>
      <c r="M124" s="20">
        <f>N!B116</f>
        <v>0</v>
      </c>
      <c r="N124" s="20">
        <f>O!B116</f>
        <v>0</v>
      </c>
      <c r="O124" s="20">
        <f>P!B116</f>
        <v>0</v>
      </c>
      <c r="P124" s="20">
        <f>Q!B116</f>
        <v>0</v>
      </c>
      <c r="Q124" s="20">
        <f>'R'!B116</f>
        <v>0</v>
      </c>
      <c r="R124" s="20">
        <f>S!B116</f>
        <v>0</v>
      </c>
      <c r="S124" s="20">
        <f>T!B116</f>
        <v>0</v>
      </c>
      <c r="T124" s="20">
        <f>U!B116</f>
        <v>0</v>
      </c>
      <c r="U124" s="20">
        <f>V!B116</f>
        <v>0</v>
      </c>
      <c r="V124" s="20">
        <f>W!B116</f>
        <v>0</v>
      </c>
      <c r="W124" s="20">
        <f>X!B116</f>
        <v>0</v>
      </c>
      <c r="X124" s="21">
        <f t="shared" si="233"/>
        <v>0</v>
      </c>
      <c r="Y124" s="22">
        <f t="shared" si="257"/>
        <v>0</v>
      </c>
      <c r="Z124" s="122">
        <f t="shared" si="202"/>
        <v>0</v>
      </c>
      <c r="AA124" s="17">
        <f t="shared" si="234"/>
        <v>0</v>
      </c>
      <c r="AB124">
        <f t="shared" si="235"/>
        <v>0</v>
      </c>
      <c r="AC124">
        <f t="shared" si="236"/>
        <v>0</v>
      </c>
      <c r="AD124">
        <f t="shared" si="237"/>
        <v>0</v>
      </c>
      <c r="AE124">
        <f t="shared" si="238"/>
        <v>0</v>
      </c>
      <c r="AF124">
        <f t="shared" si="239"/>
        <v>0</v>
      </c>
      <c r="AG124">
        <f t="shared" si="240"/>
        <v>0</v>
      </c>
      <c r="AH124">
        <f t="shared" si="241"/>
        <v>0</v>
      </c>
      <c r="AI124">
        <f t="shared" si="242"/>
        <v>0</v>
      </c>
      <c r="AJ124">
        <f t="shared" si="243"/>
        <v>0</v>
      </c>
      <c r="AK124">
        <f t="shared" si="244"/>
        <v>0</v>
      </c>
      <c r="AL124">
        <f t="shared" si="245"/>
        <v>0</v>
      </c>
      <c r="AM124">
        <f t="shared" si="246"/>
        <v>0</v>
      </c>
      <c r="AN124">
        <f t="shared" si="247"/>
        <v>0</v>
      </c>
      <c r="AO124">
        <f t="shared" si="248"/>
        <v>0</v>
      </c>
      <c r="AP124">
        <f t="shared" si="249"/>
        <v>0</v>
      </c>
      <c r="AQ124">
        <f t="shared" si="250"/>
        <v>0</v>
      </c>
      <c r="AR124">
        <f t="shared" si="251"/>
        <v>0</v>
      </c>
      <c r="AS124">
        <f t="shared" si="252"/>
        <v>0</v>
      </c>
      <c r="AT124">
        <f t="shared" si="253"/>
        <v>0</v>
      </c>
      <c r="AU124">
        <f t="shared" si="254"/>
        <v>0</v>
      </c>
      <c r="AV124">
        <f t="shared" si="255"/>
        <v>0</v>
      </c>
      <c r="AW124" s="23">
        <f t="shared" si="256"/>
        <v>0</v>
      </c>
      <c r="AX124" s="24">
        <f t="shared" si="258"/>
        <v>0</v>
      </c>
      <c r="AY124" s="121">
        <f t="shared" si="259"/>
        <v>0</v>
      </c>
      <c r="AZ124" s="124">
        <f t="shared" si="260"/>
        <v>0</v>
      </c>
      <c r="BA124" s="199">
        <v>0</v>
      </c>
      <c r="BB124" s="198">
        <v>0</v>
      </c>
      <c r="BC124" s="200">
        <v>0</v>
      </c>
      <c r="BD124" s="24"/>
      <c r="BE124" s="23"/>
      <c r="BF124" s="203"/>
      <c r="BG124" s="204"/>
    </row>
    <row r="125" spans="1:59" ht="15.75" thickTop="1">
      <c r="A125" s="133" t="s">
        <v>134</v>
      </c>
      <c r="B125" s="134">
        <f t="shared" ref="B125:W125" si="261">SUM(B117:B124)</f>
        <v>184</v>
      </c>
      <c r="C125" s="134">
        <f t="shared" si="261"/>
        <v>173</v>
      </c>
      <c r="D125" s="134">
        <f t="shared" si="261"/>
        <v>200</v>
      </c>
      <c r="E125" s="134">
        <f t="shared" si="261"/>
        <v>182</v>
      </c>
      <c r="F125" s="134">
        <f t="shared" si="261"/>
        <v>0</v>
      </c>
      <c r="G125" s="134">
        <f t="shared" si="261"/>
        <v>0</v>
      </c>
      <c r="H125" s="134">
        <f t="shared" si="261"/>
        <v>0</v>
      </c>
      <c r="I125" s="134">
        <f t="shared" si="261"/>
        <v>0</v>
      </c>
      <c r="J125" s="134">
        <f t="shared" si="261"/>
        <v>0</v>
      </c>
      <c r="K125" s="134">
        <f t="shared" si="261"/>
        <v>0</v>
      </c>
      <c r="L125" s="134">
        <f t="shared" si="261"/>
        <v>0</v>
      </c>
      <c r="M125" s="134">
        <f t="shared" si="261"/>
        <v>0</v>
      </c>
      <c r="N125" s="134">
        <f t="shared" si="261"/>
        <v>0</v>
      </c>
      <c r="O125" s="134">
        <f t="shared" si="261"/>
        <v>0</v>
      </c>
      <c r="P125" s="134">
        <f t="shared" si="261"/>
        <v>0</v>
      </c>
      <c r="Q125" s="134">
        <f t="shared" si="261"/>
        <v>0</v>
      </c>
      <c r="R125" s="134">
        <f t="shared" si="261"/>
        <v>0</v>
      </c>
      <c r="S125" s="134">
        <f t="shared" si="261"/>
        <v>0</v>
      </c>
      <c r="T125" s="134">
        <f t="shared" si="261"/>
        <v>0</v>
      </c>
      <c r="U125" s="134">
        <f t="shared" si="261"/>
        <v>0</v>
      </c>
      <c r="V125" s="134">
        <f t="shared" si="261"/>
        <v>0</v>
      </c>
      <c r="W125" s="134">
        <f t="shared" si="261"/>
        <v>0</v>
      </c>
      <c r="X125" s="135">
        <f t="shared" si="233"/>
        <v>739</v>
      </c>
      <c r="Y125" s="137">
        <f>IF(X125=0,0,X125/AW125)</f>
        <v>184.75</v>
      </c>
      <c r="Z125" s="122"/>
      <c r="AA125" s="138">
        <f t="shared" ref="AA125:AV125" si="262">SUM(AA117:AA124)</f>
        <v>5</v>
      </c>
      <c r="AB125" s="11">
        <f t="shared" si="262"/>
        <v>5</v>
      </c>
      <c r="AC125" s="11">
        <f t="shared" si="262"/>
        <v>5</v>
      </c>
      <c r="AD125" s="11">
        <f t="shared" si="262"/>
        <v>5</v>
      </c>
      <c r="AE125" s="11">
        <f t="shared" si="262"/>
        <v>0</v>
      </c>
      <c r="AF125" s="11">
        <f t="shared" si="262"/>
        <v>0</v>
      </c>
      <c r="AG125" s="11">
        <f t="shared" si="262"/>
        <v>0</v>
      </c>
      <c r="AH125" s="11">
        <f t="shared" si="262"/>
        <v>0</v>
      </c>
      <c r="AI125" s="11">
        <f t="shared" si="262"/>
        <v>0</v>
      </c>
      <c r="AJ125" s="11">
        <f t="shared" si="262"/>
        <v>0</v>
      </c>
      <c r="AK125" s="11">
        <f t="shared" si="262"/>
        <v>0</v>
      </c>
      <c r="AL125" s="11">
        <f t="shared" si="262"/>
        <v>0</v>
      </c>
      <c r="AM125" s="11">
        <f t="shared" si="262"/>
        <v>0</v>
      </c>
      <c r="AN125" s="11">
        <f t="shared" si="262"/>
        <v>0</v>
      </c>
      <c r="AO125" s="11">
        <f t="shared" si="262"/>
        <v>0</v>
      </c>
      <c r="AP125" s="11">
        <f t="shared" si="262"/>
        <v>0</v>
      </c>
      <c r="AQ125" s="11">
        <f t="shared" si="262"/>
        <v>0</v>
      </c>
      <c r="AR125" s="11">
        <f t="shared" si="262"/>
        <v>0</v>
      </c>
      <c r="AS125" s="11">
        <f t="shared" si="262"/>
        <v>0</v>
      </c>
      <c r="AT125" s="11">
        <f t="shared" si="262"/>
        <v>0</v>
      </c>
      <c r="AU125" s="11">
        <f t="shared" si="262"/>
        <v>0</v>
      </c>
      <c r="AV125" s="11">
        <f t="shared" si="262"/>
        <v>0</v>
      </c>
      <c r="AW125" s="12">
        <f>MAXA(AW117:AW124)</f>
        <v>4</v>
      </c>
      <c r="AX125" s="24"/>
      <c r="AZ125" s="124"/>
      <c r="BA125" s="199">
        <v>0</v>
      </c>
      <c r="BB125" s="198">
        <v>0</v>
      </c>
      <c r="BC125" s="200">
        <v>0</v>
      </c>
      <c r="BD125" s="24"/>
      <c r="BE125" s="23"/>
      <c r="BF125" s="203"/>
      <c r="BG125" s="204"/>
    </row>
    <row r="126" spans="1:59" ht="16.5" thickBot="1">
      <c r="A126" s="105" t="s">
        <v>189</v>
      </c>
      <c r="B126" s="20">
        <f>'C'!B117</f>
        <v>0</v>
      </c>
      <c r="C126" s="20">
        <f>D!B117</f>
        <v>23.4</v>
      </c>
      <c r="D126" s="20">
        <f>E!B117</f>
        <v>0</v>
      </c>
      <c r="E126" s="20">
        <f>F!B117</f>
        <v>11.7</v>
      </c>
      <c r="F126" s="20">
        <f>G!B117</f>
        <v>0</v>
      </c>
      <c r="G126" s="20">
        <f>H!B117</f>
        <v>0</v>
      </c>
      <c r="H126" s="20">
        <f>I!B117</f>
        <v>0</v>
      </c>
      <c r="I126" s="20">
        <f>J!B117</f>
        <v>0</v>
      </c>
      <c r="J126" s="20">
        <f>K!B117</f>
        <v>0</v>
      </c>
      <c r="K126" s="20">
        <f>L!B117</f>
        <v>0</v>
      </c>
      <c r="L126" s="20">
        <f>M!B117</f>
        <v>0</v>
      </c>
      <c r="M126" s="20">
        <f>N!B117</f>
        <v>0</v>
      </c>
      <c r="N126" s="20">
        <f>O!B117</f>
        <v>0</v>
      </c>
      <c r="O126" s="20">
        <f>P!B117</f>
        <v>0</v>
      </c>
      <c r="P126" s="20">
        <f>Q!B117</f>
        <v>0</v>
      </c>
      <c r="Q126" s="20">
        <f>'R'!B117</f>
        <v>0</v>
      </c>
      <c r="R126" s="20">
        <f>S!B117</f>
        <v>0</v>
      </c>
      <c r="S126" s="20">
        <f>T!B117</f>
        <v>0</v>
      </c>
      <c r="T126" s="20">
        <f>U!B117</f>
        <v>0</v>
      </c>
      <c r="U126" s="20">
        <f>V!B117</f>
        <v>0</v>
      </c>
      <c r="V126" s="20">
        <f>W!B117</f>
        <v>0</v>
      </c>
      <c r="W126" s="20">
        <f>X!B117</f>
        <v>0</v>
      </c>
      <c r="X126" s="21">
        <f t="shared" si="233"/>
        <v>35.099999999999994</v>
      </c>
      <c r="Y126" s="120"/>
      <c r="Z126" s="122"/>
      <c r="AA126" s="17"/>
      <c r="AW126" s="23"/>
      <c r="AX126" s="24"/>
      <c r="AZ126" s="124"/>
      <c r="BA126" s="199">
        <v>0</v>
      </c>
      <c r="BB126" s="198">
        <v>0</v>
      </c>
      <c r="BC126" s="200">
        <v>0</v>
      </c>
      <c r="BD126" s="24"/>
      <c r="BE126" s="23"/>
      <c r="BF126" s="203"/>
      <c r="BG126" s="204"/>
    </row>
    <row r="127" spans="1:59" ht="16.5" thickTop="1" thickBot="1">
      <c r="A127" s="100" t="s">
        <v>53</v>
      </c>
      <c r="B127" s="68">
        <f t="shared" ref="B127:W127" si="263">SUM(B125:B126)</f>
        <v>184</v>
      </c>
      <c r="C127" s="68">
        <f t="shared" si="263"/>
        <v>196.4</v>
      </c>
      <c r="D127" s="68">
        <f t="shared" si="263"/>
        <v>200</v>
      </c>
      <c r="E127" s="68">
        <f t="shared" si="263"/>
        <v>193.7</v>
      </c>
      <c r="F127" s="68">
        <f t="shared" si="263"/>
        <v>0</v>
      </c>
      <c r="G127" s="68">
        <f t="shared" si="263"/>
        <v>0</v>
      </c>
      <c r="H127" s="68">
        <f t="shared" si="263"/>
        <v>0</v>
      </c>
      <c r="I127" s="68">
        <f t="shared" si="263"/>
        <v>0</v>
      </c>
      <c r="J127" s="68">
        <f t="shared" si="263"/>
        <v>0</v>
      </c>
      <c r="K127" s="68">
        <f t="shared" si="263"/>
        <v>0</v>
      </c>
      <c r="L127" s="68">
        <f t="shared" si="263"/>
        <v>0</v>
      </c>
      <c r="M127" s="68">
        <f t="shared" si="263"/>
        <v>0</v>
      </c>
      <c r="N127" s="68">
        <f t="shared" si="263"/>
        <v>0</v>
      </c>
      <c r="O127" s="68">
        <f t="shared" si="263"/>
        <v>0</v>
      </c>
      <c r="P127" s="68">
        <f t="shared" si="263"/>
        <v>0</v>
      </c>
      <c r="Q127" s="68">
        <f t="shared" si="263"/>
        <v>0</v>
      </c>
      <c r="R127" s="68">
        <f t="shared" si="263"/>
        <v>0</v>
      </c>
      <c r="S127" s="68">
        <f t="shared" si="263"/>
        <v>0</v>
      </c>
      <c r="T127" s="68">
        <f t="shared" si="263"/>
        <v>0</v>
      </c>
      <c r="U127" s="68">
        <f t="shared" si="263"/>
        <v>0</v>
      </c>
      <c r="V127" s="68">
        <f t="shared" si="263"/>
        <v>0</v>
      </c>
      <c r="W127" s="68">
        <f t="shared" si="263"/>
        <v>0</v>
      </c>
      <c r="X127" s="28">
        <f t="shared" si="233"/>
        <v>774.09999999999991</v>
      </c>
      <c r="Y127" s="136"/>
      <c r="Z127" s="122"/>
      <c r="AA127" s="17"/>
      <c r="AW127" s="23"/>
      <c r="AX127" s="24"/>
      <c r="AZ127" s="124"/>
      <c r="BA127" s="199">
        <v>0</v>
      </c>
      <c r="BB127" s="198">
        <v>0</v>
      </c>
      <c r="BC127" s="200">
        <v>0</v>
      </c>
      <c r="BD127" s="24">
        <f>X127</f>
        <v>774.09999999999991</v>
      </c>
      <c r="BE127" s="23" t="str">
        <f>A116</f>
        <v>THE DOUGERNAUTS</v>
      </c>
      <c r="BF127" s="203"/>
      <c r="BG127" s="204"/>
    </row>
    <row r="128" spans="1:59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22"/>
      <c r="AA128" s="17"/>
      <c r="AW128" s="23"/>
      <c r="AX128" s="24"/>
      <c r="AZ128" s="124"/>
      <c r="BA128" s="199">
        <v>0</v>
      </c>
      <c r="BB128" s="198">
        <v>0</v>
      </c>
      <c r="BC128" s="200">
        <v>0</v>
      </c>
      <c r="BD128" s="24"/>
      <c r="BE128" s="23"/>
      <c r="BF128" s="203"/>
      <c r="BG128" s="204"/>
    </row>
    <row r="129" spans="1:59" ht="15.75" thickBot="1">
      <c r="A129" s="7" t="s">
        <v>62</v>
      </c>
      <c r="B129" s="8" t="s">
        <v>27</v>
      </c>
      <c r="C129" s="8" t="s">
        <v>28</v>
      </c>
      <c r="D129" s="8" t="s">
        <v>29</v>
      </c>
      <c r="E129" s="8" t="s">
        <v>30</v>
      </c>
      <c r="F129" s="8" t="s">
        <v>31</v>
      </c>
      <c r="G129" s="8" t="s">
        <v>32</v>
      </c>
      <c r="H129" s="8" t="s">
        <v>33</v>
      </c>
      <c r="I129" s="8" t="s">
        <v>34</v>
      </c>
      <c r="J129" s="8" t="s">
        <v>35</v>
      </c>
      <c r="K129" s="8" t="s">
        <v>36</v>
      </c>
      <c r="L129" s="8" t="s">
        <v>37</v>
      </c>
      <c r="M129" s="8" t="s">
        <v>38</v>
      </c>
      <c r="N129" s="8" t="s">
        <v>39</v>
      </c>
      <c r="O129" s="8" t="s">
        <v>40</v>
      </c>
      <c r="P129" s="8" t="s">
        <v>41</v>
      </c>
      <c r="Q129" s="8" t="s">
        <v>42</v>
      </c>
      <c r="R129" s="8" t="s">
        <v>43</v>
      </c>
      <c r="S129" s="8" t="s">
        <v>44</v>
      </c>
      <c r="T129" s="8" t="s">
        <v>45</v>
      </c>
      <c r="U129" s="8" t="s">
        <v>46</v>
      </c>
      <c r="V129" s="8" t="s">
        <v>47</v>
      </c>
      <c r="W129" s="8" t="s">
        <v>48</v>
      </c>
      <c r="X129" s="1"/>
      <c r="Y129" s="1"/>
      <c r="Z129" s="3" t="str">
        <f>A129</f>
        <v>Team #10 Name:</v>
      </c>
      <c r="AA129" s="17"/>
      <c r="AW129" s="23"/>
      <c r="AX129" s="24"/>
      <c r="AZ129" s="124"/>
      <c r="BA129" s="199">
        <v>0</v>
      </c>
      <c r="BB129" s="198">
        <v>0</v>
      </c>
      <c r="BC129" s="200">
        <v>0</v>
      </c>
      <c r="BD129" s="24"/>
      <c r="BE129" s="23"/>
      <c r="BF129" s="203"/>
      <c r="BG129" s="204"/>
    </row>
    <row r="130" spans="1:59">
      <c r="A130" s="13" t="str">
        <f>B!B403</f>
        <v>CRAZY TRAIN</v>
      </c>
      <c r="B130" s="29" t="s">
        <v>50</v>
      </c>
      <c r="C130" s="29" t="s">
        <v>50</v>
      </c>
      <c r="D130" s="29" t="s">
        <v>50</v>
      </c>
      <c r="E130" s="29" t="s">
        <v>50</v>
      </c>
      <c r="F130" s="29" t="s">
        <v>50</v>
      </c>
      <c r="G130" s="29" t="s">
        <v>50</v>
      </c>
      <c r="H130" s="29" t="s">
        <v>50</v>
      </c>
      <c r="I130" s="29" t="s">
        <v>50</v>
      </c>
      <c r="J130" s="29" t="s">
        <v>50</v>
      </c>
      <c r="K130" s="29" t="s">
        <v>50</v>
      </c>
      <c r="L130" s="29" t="s">
        <v>50</v>
      </c>
      <c r="M130" s="29" t="s">
        <v>50</v>
      </c>
      <c r="N130" s="29" t="s">
        <v>50</v>
      </c>
      <c r="O130" s="29" t="s">
        <v>50</v>
      </c>
      <c r="P130" s="29" t="s">
        <v>50</v>
      </c>
      <c r="Q130" s="29" t="s">
        <v>50</v>
      </c>
      <c r="R130" s="29" t="s">
        <v>50</v>
      </c>
      <c r="S130" s="29" t="s">
        <v>50</v>
      </c>
      <c r="T130" s="29" t="s">
        <v>50</v>
      </c>
      <c r="U130" s="29" t="s">
        <v>50</v>
      </c>
      <c r="V130" s="29" t="s">
        <v>50</v>
      </c>
      <c r="W130" s="29" t="s">
        <v>50</v>
      </c>
      <c r="X130" s="15" t="s">
        <v>51</v>
      </c>
      <c r="Y130" s="16" t="s">
        <v>52</v>
      </c>
      <c r="Z130" s="123" t="str">
        <f>A130</f>
        <v>CRAZY TRAIN</v>
      </c>
      <c r="AA130" s="17"/>
      <c r="AW130" s="4" t="s">
        <v>97</v>
      </c>
      <c r="AX130" s="24"/>
      <c r="AZ130" s="124"/>
      <c r="BA130" s="199">
        <v>0</v>
      </c>
      <c r="BB130" s="198">
        <v>0</v>
      </c>
      <c r="BC130" s="200">
        <v>0</v>
      </c>
      <c r="BD130" s="24"/>
      <c r="BE130" s="23"/>
      <c r="BF130" s="203"/>
      <c r="BG130" s="204"/>
    </row>
    <row r="131" spans="1:59">
      <c r="A131" s="19" t="str">
        <f>B!B405</f>
        <v>DARRIC</v>
      </c>
      <c r="B131" s="20">
        <f>'C'!B122</f>
        <v>46</v>
      </c>
      <c r="C131" s="20">
        <f>D!B122</f>
        <v>40</v>
      </c>
      <c r="D131" s="20">
        <f>E!B122</f>
        <v>47</v>
      </c>
      <c r="E131" s="20">
        <f>F!B122</f>
        <v>40</v>
      </c>
      <c r="F131" s="20">
        <f>G!B122</f>
        <v>0</v>
      </c>
      <c r="G131" s="20">
        <f>H!B122</f>
        <v>0</v>
      </c>
      <c r="H131" s="20">
        <f>I!B122</f>
        <v>0</v>
      </c>
      <c r="I131" s="20">
        <f>J!B122</f>
        <v>0</v>
      </c>
      <c r="J131" s="20">
        <f>K!B122</f>
        <v>0</v>
      </c>
      <c r="K131" s="20">
        <f>L!B122</f>
        <v>0</v>
      </c>
      <c r="L131" s="20">
        <f>M!B122</f>
        <v>0</v>
      </c>
      <c r="M131" s="20">
        <f>N!B122</f>
        <v>0</v>
      </c>
      <c r="N131" s="20">
        <f>O!B122</f>
        <v>0</v>
      </c>
      <c r="O131" s="20">
        <f>P!B122</f>
        <v>0</v>
      </c>
      <c r="P131" s="20">
        <f>Q!B122</f>
        <v>0</v>
      </c>
      <c r="Q131" s="20">
        <f>'R'!B122</f>
        <v>0</v>
      </c>
      <c r="R131" s="20">
        <f>S!B122</f>
        <v>0</v>
      </c>
      <c r="S131" s="20">
        <f>T!B122</f>
        <v>0</v>
      </c>
      <c r="T131" s="20">
        <f>U!B122</f>
        <v>0</v>
      </c>
      <c r="U131" s="20">
        <f>V!B122</f>
        <v>0</v>
      </c>
      <c r="V131" s="20">
        <f>W!B122</f>
        <v>0</v>
      </c>
      <c r="W131" s="20">
        <f>X!B122</f>
        <v>0</v>
      </c>
      <c r="X131" s="21">
        <f t="shared" ref="X131:X141" si="264">SUM(B131:W131)</f>
        <v>173</v>
      </c>
      <c r="Y131" s="22">
        <f>IF(AW131=0,0,X131/AW131)</f>
        <v>43.25</v>
      </c>
      <c r="Z131" s="122" t="str">
        <f t="shared" si="202"/>
        <v>DARRIC</v>
      </c>
      <c r="AA131" s="17">
        <f t="shared" ref="AA131:AA138" si="265">IF(B131=0,0,1)</f>
        <v>1</v>
      </c>
      <c r="AB131">
        <f t="shared" ref="AB131:AB138" si="266">IF(C131=0,0,1)</f>
        <v>1</v>
      </c>
      <c r="AC131">
        <f t="shared" ref="AC131:AC138" si="267">IF(D131=0,0,1)</f>
        <v>1</v>
      </c>
      <c r="AD131">
        <f t="shared" ref="AD131:AD138" si="268">IF(E131=0,0,1)</f>
        <v>1</v>
      </c>
      <c r="AE131">
        <f t="shared" ref="AE131:AE138" si="269">IF(F131=0,0,1)</f>
        <v>0</v>
      </c>
      <c r="AF131">
        <f t="shared" ref="AF131:AF138" si="270">IF(G131=0,0,1)</f>
        <v>0</v>
      </c>
      <c r="AG131">
        <f t="shared" ref="AG131:AG138" si="271">IF(H131=0,0,1)</f>
        <v>0</v>
      </c>
      <c r="AH131">
        <f t="shared" ref="AH131:AH138" si="272">IF(I131=0,0,1)</f>
        <v>0</v>
      </c>
      <c r="AI131">
        <f t="shared" ref="AI131:AI138" si="273">IF(J131=0,0,1)</f>
        <v>0</v>
      </c>
      <c r="AJ131">
        <f t="shared" ref="AJ131:AJ138" si="274">IF(K131=0,0,1)</f>
        <v>0</v>
      </c>
      <c r="AK131">
        <f t="shared" ref="AK131:AK138" si="275">IF(L131=0,0,1)</f>
        <v>0</v>
      </c>
      <c r="AL131">
        <f t="shared" ref="AL131:AL138" si="276">IF(M131=0,0,1)</f>
        <v>0</v>
      </c>
      <c r="AM131">
        <f t="shared" ref="AM131:AM138" si="277">IF(N131=0,0,1)</f>
        <v>0</v>
      </c>
      <c r="AN131">
        <f t="shared" ref="AN131:AN138" si="278">IF(O131=0,0,1)</f>
        <v>0</v>
      </c>
      <c r="AO131">
        <f t="shared" ref="AO131:AO138" si="279">IF(P131=0,0,1)</f>
        <v>0</v>
      </c>
      <c r="AP131">
        <f t="shared" ref="AP131:AP138" si="280">IF(Q131=0,0,1)</f>
        <v>0</v>
      </c>
      <c r="AQ131">
        <f t="shared" ref="AQ131:AQ138" si="281">IF(R131=0,0,1)</f>
        <v>0</v>
      </c>
      <c r="AR131">
        <f t="shared" ref="AR131:AR138" si="282">IF(S131=0,0,1)</f>
        <v>0</v>
      </c>
      <c r="AS131">
        <f t="shared" ref="AS131:AS138" si="283">IF(T131=0,0,1)</f>
        <v>0</v>
      </c>
      <c r="AT131">
        <f t="shared" ref="AT131:AT138" si="284">IF(U131=0,0,1)</f>
        <v>0</v>
      </c>
      <c r="AU131">
        <f t="shared" ref="AU131:AU138" si="285">IF(V131=0,0,1)</f>
        <v>0</v>
      </c>
      <c r="AV131">
        <f t="shared" ref="AV131:AV138" si="286">IF(W131=0,0,1)</f>
        <v>0</v>
      </c>
      <c r="AW131" s="23">
        <f t="shared" ref="AW131:AW138" si="287">SUM(AA131:AV131)</f>
        <v>4</v>
      </c>
      <c r="AX131" s="24">
        <f>IF(X131=0,0,X131)</f>
        <v>173</v>
      </c>
      <c r="AY131" s="121" t="str">
        <f>IF(X131=0,0,A131)</f>
        <v>DARRIC</v>
      </c>
      <c r="AZ131" s="124" t="str">
        <f>IF(AX131=0,0,A$130)</f>
        <v>CRAZY TRAIN</v>
      </c>
      <c r="BA131" s="199">
        <v>0</v>
      </c>
      <c r="BB131" s="198">
        <v>0</v>
      </c>
      <c r="BC131" s="200">
        <v>0</v>
      </c>
      <c r="BD131" s="24"/>
      <c r="BE131" s="23"/>
      <c r="BF131" s="203"/>
      <c r="BG131" s="204"/>
    </row>
    <row r="132" spans="1:59">
      <c r="A132" s="19" t="str">
        <f>B!B410</f>
        <v>CHRIS</v>
      </c>
      <c r="B132" s="20">
        <f>'C'!B123</f>
        <v>50</v>
      </c>
      <c r="C132" s="20">
        <f>D!B123</f>
        <v>42</v>
      </c>
      <c r="D132" s="20">
        <f>E!B123</f>
        <v>50</v>
      </c>
      <c r="E132" s="20">
        <f>F!B123</f>
        <v>40</v>
      </c>
      <c r="F132" s="20">
        <f>G!B123</f>
        <v>0</v>
      </c>
      <c r="G132" s="20">
        <f>H!B123</f>
        <v>0</v>
      </c>
      <c r="H132" s="20">
        <f>I!B123</f>
        <v>0</v>
      </c>
      <c r="I132" s="20">
        <f>J!B123</f>
        <v>0</v>
      </c>
      <c r="J132" s="20">
        <f>K!B123</f>
        <v>0</v>
      </c>
      <c r="K132" s="20">
        <f>L!B123</f>
        <v>0</v>
      </c>
      <c r="L132" s="20">
        <f>M!B123</f>
        <v>0</v>
      </c>
      <c r="M132" s="20">
        <f>N!B123</f>
        <v>0</v>
      </c>
      <c r="N132" s="20">
        <f>O!B123</f>
        <v>0</v>
      </c>
      <c r="O132" s="20">
        <f>P!B123</f>
        <v>0</v>
      </c>
      <c r="P132" s="20">
        <f>Q!B123</f>
        <v>0</v>
      </c>
      <c r="Q132" s="20">
        <f>'R'!B123</f>
        <v>0</v>
      </c>
      <c r="R132" s="20">
        <f>S!B123</f>
        <v>0</v>
      </c>
      <c r="S132" s="20">
        <f>T!B123</f>
        <v>0</v>
      </c>
      <c r="T132" s="20">
        <f>U!B123</f>
        <v>0</v>
      </c>
      <c r="U132" s="20">
        <f>V!B123</f>
        <v>0</v>
      </c>
      <c r="V132" s="20">
        <f>W!B123</f>
        <v>0</v>
      </c>
      <c r="W132" s="20">
        <f>X!B123</f>
        <v>0</v>
      </c>
      <c r="X132" s="21">
        <f t="shared" si="264"/>
        <v>182</v>
      </c>
      <c r="Y132" s="22">
        <f t="shared" ref="Y132:Y138" si="288">IF(AW132=0,0,X132/AW132)</f>
        <v>45.5</v>
      </c>
      <c r="Z132" s="122" t="str">
        <f t="shared" si="202"/>
        <v>CHRIS</v>
      </c>
      <c r="AA132" s="17">
        <f t="shared" si="265"/>
        <v>1</v>
      </c>
      <c r="AB132">
        <f t="shared" si="266"/>
        <v>1</v>
      </c>
      <c r="AC132">
        <f t="shared" si="267"/>
        <v>1</v>
      </c>
      <c r="AD132">
        <f t="shared" si="268"/>
        <v>1</v>
      </c>
      <c r="AE132">
        <f t="shared" si="269"/>
        <v>0</v>
      </c>
      <c r="AF132">
        <f t="shared" si="270"/>
        <v>0</v>
      </c>
      <c r="AG132">
        <f t="shared" si="271"/>
        <v>0</v>
      </c>
      <c r="AH132">
        <f t="shared" si="272"/>
        <v>0</v>
      </c>
      <c r="AI132">
        <f t="shared" si="273"/>
        <v>0</v>
      </c>
      <c r="AJ132">
        <f t="shared" si="274"/>
        <v>0</v>
      </c>
      <c r="AK132">
        <f t="shared" si="275"/>
        <v>0</v>
      </c>
      <c r="AL132">
        <f t="shared" si="276"/>
        <v>0</v>
      </c>
      <c r="AM132">
        <f t="shared" si="277"/>
        <v>0</v>
      </c>
      <c r="AN132">
        <f t="shared" si="278"/>
        <v>0</v>
      </c>
      <c r="AO132">
        <f t="shared" si="279"/>
        <v>0</v>
      </c>
      <c r="AP132">
        <f t="shared" si="280"/>
        <v>0</v>
      </c>
      <c r="AQ132">
        <f t="shared" si="281"/>
        <v>0</v>
      </c>
      <c r="AR132">
        <f t="shared" si="282"/>
        <v>0</v>
      </c>
      <c r="AS132">
        <f t="shared" si="283"/>
        <v>0</v>
      </c>
      <c r="AT132">
        <f t="shared" si="284"/>
        <v>0</v>
      </c>
      <c r="AU132">
        <f t="shared" si="285"/>
        <v>0</v>
      </c>
      <c r="AV132">
        <f t="shared" si="286"/>
        <v>0</v>
      </c>
      <c r="AW132" s="23">
        <f t="shared" si="287"/>
        <v>4</v>
      </c>
      <c r="AX132" s="24">
        <f t="shared" ref="AX132:AX138" si="289">IF(X132=0,0,X132)</f>
        <v>182</v>
      </c>
      <c r="AY132" s="121" t="str">
        <f t="shared" ref="AY132:AY138" si="290">IF(X132=0,0,A132)</f>
        <v>CHRIS</v>
      </c>
      <c r="AZ132" s="124" t="str">
        <f t="shared" ref="AZ132:AZ138" si="291">IF(AX132=0,0,A$130)</f>
        <v>CRAZY TRAIN</v>
      </c>
      <c r="BA132" s="199">
        <v>0</v>
      </c>
      <c r="BB132" s="198">
        <v>0</v>
      </c>
      <c r="BC132" s="200">
        <v>0</v>
      </c>
      <c r="BD132" s="24"/>
      <c r="BE132" s="23"/>
      <c r="BF132" s="203"/>
      <c r="BG132" s="204"/>
    </row>
    <row r="133" spans="1:59">
      <c r="A133" s="19" t="str">
        <f>B!B415</f>
        <v>MIKE R.</v>
      </c>
      <c r="B133" s="20">
        <f>'C'!B124</f>
        <v>28</v>
      </c>
      <c r="C133" s="20">
        <f>D!B124</f>
        <v>35</v>
      </c>
      <c r="D133" s="20">
        <f>E!B124</f>
        <v>50</v>
      </c>
      <c r="E133" s="20">
        <f>F!B124</f>
        <v>40</v>
      </c>
      <c r="F133" s="20">
        <f>G!B124</f>
        <v>0</v>
      </c>
      <c r="G133" s="20">
        <f>H!B124</f>
        <v>0</v>
      </c>
      <c r="H133" s="20">
        <f>I!B124</f>
        <v>0</v>
      </c>
      <c r="I133" s="20">
        <f>J!B124</f>
        <v>0</v>
      </c>
      <c r="J133" s="20">
        <f>K!B124</f>
        <v>0</v>
      </c>
      <c r="K133" s="20">
        <f>L!B124</f>
        <v>0</v>
      </c>
      <c r="L133" s="20">
        <f>M!B124</f>
        <v>0</v>
      </c>
      <c r="M133" s="20">
        <f>N!B124</f>
        <v>0</v>
      </c>
      <c r="N133" s="20">
        <f>O!B124</f>
        <v>0</v>
      </c>
      <c r="O133" s="20">
        <f>P!B124</f>
        <v>0</v>
      </c>
      <c r="P133" s="20">
        <f>Q!B124</f>
        <v>0</v>
      </c>
      <c r="Q133" s="20">
        <f>'R'!B124</f>
        <v>0</v>
      </c>
      <c r="R133" s="20">
        <f>S!B124</f>
        <v>0</v>
      </c>
      <c r="S133" s="20">
        <f>T!B124</f>
        <v>0</v>
      </c>
      <c r="T133" s="20">
        <f>U!B124</f>
        <v>0</v>
      </c>
      <c r="U133" s="20">
        <f>V!B124</f>
        <v>0</v>
      </c>
      <c r="V133" s="20">
        <f>W!B124</f>
        <v>0</v>
      </c>
      <c r="W133" s="20">
        <f>X!B124</f>
        <v>0</v>
      </c>
      <c r="X133" s="21">
        <f t="shared" si="264"/>
        <v>153</v>
      </c>
      <c r="Y133" s="22">
        <f t="shared" si="288"/>
        <v>38.25</v>
      </c>
      <c r="Z133" s="122" t="str">
        <f t="shared" si="202"/>
        <v>MIKE R.</v>
      </c>
      <c r="AA133" s="17">
        <f t="shared" si="265"/>
        <v>1</v>
      </c>
      <c r="AB133">
        <f t="shared" si="266"/>
        <v>1</v>
      </c>
      <c r="AC133">
        <f t="shared" si="267"/>
        <v>1</v>
      </c>
      <c r="AD133">
        <f t="shared" si="268"/>
        <v>1</v>
      </c>
      <c r="AE133">
        <f t="shared" si="269"/>
        <v>0</v>
      </c>
      <c r="AF133">
        <f t="shared" si="270"/>
        <v>0</v>
      </c>
      <c r="AG133">
        <f t="shared" si="271"/>
        <v>0</v>
      </c>
      <c r="AH133">
        <f t="shared" si="272"/>
        <v>0</v>
      </c>
      <c r="AI133">
        <f t="shared" si="273"/>
        <v>0</v>
      </c>
      <c r="AJ133">
        <f t="shared" si="274"/>
        <v>0</v>
      </c>
      <c r="AK133">
        <f t="shared" si="275"/>
        <v>0</v>
      </c>
      <c r="AL133">
        <f t="shared" si="276"/>
        <v>0</v>
      </c>
      <c r="AM133">
        <f t="shared" si="277"/>
        <v>0</v>
      </c>
      <c r="AN133">
        <f t="shared" si="278"/>
        <v>0</v>
      </c>
      <c r="AO133">
        <f t="shared" si="279"/>
        <v>0</v>
      </c>
      <c r="AP133">
        <f t="shared" si="280"/>
        <v>0</v>
      </c>
      <c r="AQ133">
        <f t="shared" si="281"/>
        <v>0</v>
      </c>
      <c r="AR133">
        <f t="shared" si="282"/>
        <v>0</v>
      </c>
      <c r="AS133">
        <f t="shared" si="283"/>
        <v>0</v>
      </c>
      <c r="AT133">
        <f t="shared" si="284"/>
        <v>0</v>
      </c>
      <c r="AU133">
        <f t="shared" si="285"/>
        <v>0</v>
      </c>
      <c r="AV133">
        <f t="shared" si="286"/>
        <v>0</v>
      </c>
      <c r="AW133" s="23">
        <f t="shared" si="287"/>
        <v>4</v>
      </c>
      <c r="AX133" s="24">
        <f t="shared" si="289"/>
        <v>153</v>
      </c>
      <c r="AY133" s="121" t="str">
        <f t="shared" si="290"/>
        <v>MIKE R.</v>
      </c>
      <c r="AZ133" s="124" t="str">
        <f t="shared" si="291"/>
        <v>CRAZY TRAIN</v>
      </c>
      <c r="BA133" s="199">
        <v>0</v>
      </c>
      <c r="BB133" s="198">
        <v>0</v>
      </c>
      <c r="BC133" s="200">
        <v>0</v>
      </c>
      <c r="BD133" s="24"/>
      <c r="BE133" s="23"/>
      <c r="BF133" s="203"/>
      <c r="BG133" s="204"/>
    </row>
    <row r="134" spans="1:59">
      <c r="A134" s="19" t="str">
        <f>B!B420</f>
        <v>SERGEI</v>
      </c>
      <c r="B134" s="20">
        <f>'C'!B125</f>
        <v>40</v>
      </c>
      <c r="C134" s="20">
        <f>D!B125</f>
        <v>41</v>
      </c>
      <c r="D134" s="20">
        <f>E!B125</f>
        <v>42</v>
      </c>
      <c r="E134" s="20">
        <f>F!B125</f>
        <v>40</v>
      </c>
      <c r="F134" s="20">
        <f>G!B125</f>
        <v>0</v>
      </c>
      <c r="G134" s="20">
        <f>H!B125</f>
        <v>0</v>
      </c>
      <c r="H134" s="20">
        <f>I!B125</f>
        <v>0</v>
      </c>
      <c r="I134" s="20">
        <f>J!B125</f>
        <v>0</v>
      </c>
      <c r="J134" s="20">
        <f>K!B125</f>
        <v>0</v>
      </c>
      <c r="K134" s="20">
        <f>L!B125</f>
        <v>0</v>
      </c>
      <c r="L134" s="20">
        <f>M!B125</f>
        <v>0</v>
      </c>
      <c r="M134" s="20">
        <f>N!B125</f>
        <v>0</v>
      </c>
      <c r="N134" s="20">
        <f>O!B125</f>
        <v>0</v>
      </c>
      <c r="O134" s="20">
        <f>P!B125</f>
        <v>0</v>
      </c>
      <c r="P134" s="20">
        <f>Q!B125</f>
        <v>0</v>
      </c>
      <c r="Q134" s="20">
        <f>'R'!B125</f>
        <v>0</v>
      </c>
      <c r="R134" s="20">
        <f>S!B125</f>
        <v>0</v>
      </c>
      <c r="S134" s="20">
        <f>T!B125</f>
        <v>0</v>
      </c>
      <c r="T134" s="20">
        <f>U!B125</f>
        <v>0</v>
      </c>
      <c r="U134" s="20">
        <f>V!B125</f>
        <v>0</v>
      </c>
      <c r="V134" s="20">
        <f>W!B125</f>
        <v>0</v>
      </c>
      <c r="W134" s="20">
        <f>X!B125</f>
        <v>0</v>
      </c>
      <c r="X134" s="21">
        <f t="shared" si="264"/>
        <v>163</v>
      </c>
      <c r="Y134" s="22">
        <f t="shared" si="288"/>
        <v>40.75</v>
      </c>
      <c r="Z134" s="122" t="str">
        <f t="shared" si="202"/>
        <v>SERGEI</v>
      </c>
      <c r="AA134" s="17">
        <f t="shared" si="265"/>
        <v>1</v>
      </c>
      <c r="AB134">
        <f t="shared" si="266"/>
        <v>1</v>
      </c>
      <c r="AC134">
        <f t="shared" si="267"/>
        <v>1</v>
      </c>
      <c r="AD134">
        <f t="shared" si="268"/>
        <v>1</v>
      </c>
      <c r="AE134">
        <f t="shared" si="269"/>
        <v>0</v>
      </c>
      <c r="AF134">
        <f t="shared" si="270"/>
        <v>0</v>
      </c>
      <c r="AG134">
        <f t="shared" si="271"/>
        <v>0</v>
      </c>
      <c r="AH134">
        <f t="shared" si="272"/>
        <v>0</v>
      </c>
      <c r="AI134">
        <f t="shared" si="273"/>
        <v>0</v>
      </c>
      <c r="AJ134">
        <f t="shared" si="274"/>
        <v>0</v>
      </c>
      <c r="AK134">
        <f t="shared" si="275"/>
        <v>0</v>
      </c>
      <c r="AL134">
        <f t="shared" si="276"/>
        <v>0</v>
      </c>
      <c r="AM134">
        <f t="shared" si="277"/>
        <v>0</v>
      </c>
      <c r="AN134">
        <f t="shared" si="278"/>
        <v>0</v>
      </c>
      <c r="AO134">
        <f t="shared" si="279"/>
        <v>0</v>
      </c>
      <c r="AP134">
        <f t="shared" si="280"/>
        <v>0</v>
      </c>
      <c r="AQ134">
        <f t="shared" si="281"/>
        <v>0</v>
      </c>
      <c r="AR134">
        <f t="shared" si="282"/>
        <v>0</v>
      </c>
      <c r="AS134">
        <f t="shared" si="283"/>
        <v>0</v>
      </c>
      <c r="AT134">
        <f t="shared" si="284"/>
        <v>0</v>
      </c>
      <c r="AU134">
        <f t="shared" si="285"/>
        <v>0</v>
      </c>
      <c r="AV134">
        <f t="shared" si="286"/>
        <v>0</v>
      </c>
      <c r="AW134" s="23">
        <f t="shared" si="287"/>
        <v>4</v>
      </c>
      <c r="AX134" s="24">
        <f t="shared" si="289"/>
        <v>163</v>
      </c>
      <c r="AY134" s="121" t="str">
        <f t="shared" si="290"/>
        <v>SERGEI</v>
      </c>
      <c r="AZ134" s="124" t="str">
        <f t="shared" si="291"/>
        <v>CRAZY TRAIN</v>
      </c>
      <c r="BA134" s="199">
        <v>0</v>
      </c>
      <c r="BB134" s="198">
        <v>0</v>
      </c>
      <c r="BC134" s="200">
        <v>0</v>
      </c>
      <c r="BD134" s="24"/>
      <c r="BE134" s="23"/>
      <c r="BF134" s="203"/>
      <c r="BG134" s="204"/>
    </row>
    <row r="135" spans="1:59">
      <c r="A135" s="19" t="str">
        <f>B!B425</f>
        <v>JORDAN</v>
      </c>
      <c r="B135" s="20">
        <f>'C'!B126</f>
        <v>41</v>
      </c>
      <c r="C135" s="20">
        <f>D!B126</f>
        <v>25</v>
      </c>
      <c r="D135" s="20">
        <f>E!B126</f>
        <v>50</v>
      </c>
      <c r="E135" s="20">
        <f>F!B126</f>
        <v>40</v>
      </c>
      <c r="F135" s="20">
        <f>G!B126</f>
        <v>0</v>
      </c>
      <c r="G135" s="20">
        <f>H!B126</f>
        <v>0</v>
      </c>
      <c r="H135" s="20">
        <f>I!B126</f>
        <v>0</v>
      </c>
      <c r="I135" s="20">
        <f>J!B126</f>
        <v>0</v>
      </c>
      <c r="J135" s="20">
        <f>K!B126</f>
        <v>0</v>
      </c>
      <c r="K135" s="20">
        <f>L!B126</f>
        <v>0</v>
      </c>
      <c r="L135" s="20">
        <f>M!B126</f>
        <v>0</v>
      </c>
      <c r="M135" s="20">
        <f>N!B126</f>
        <v>0</v>
      </c>
      <c r="N135" s="20">
        <f>O!B126</f>
        <v>0</v>
      </c>
      <c r="O135" s="20">
        <f>P!B126</f>
        <v>0</v>
      </c>
      <c r="P135" s="20">
        <f>Q!B126</f>
        <v>0</v>
      </c>
      <c r="Q135" s="20">
        <f>'R'!B126</f>
        <v>0</v>
      </c>
      <c r="R135" s="20">
        <f>S!B126</f>
        <v>0</v>
      </c>
      <c r="S135" s="20">
        <f>T!B126</f>
        <v>0</v>
      </c>
      <c r="T135" s="20">
        <f>U!B126</f>
        <v>0</v>
      </c>
      <c r="U135" s="20">
        <f>V!B126</f>
        <v>0</v>
      </c>
      <c r="V135" s="20">
        <f>W!B126</f>
        <v>0</v>
      </c>
      <c r="W135" s="20">
        <f>X!B126</f>
        <v>0</v>
      </c>
      <c r="X135" s="21">
        <f t="shared" si="264"/>
        <v>156</v>
      </c>
      <c r="Y135" s="22">
        <f t="shared" si="288"/>
        <v>39</v>
      </c>
      <c r="Z135" s="122" t="str">
        <f t="shared" si="202"/>
        <v>JORDAN</v>
      </c>
      <c r="AA135" s="17">
        <f t="shared" si="265"/>
        <v>1</v>
      </c>
      <c r="AB135">
        <f t="shared" si="266"/>
        <v>1</v>
      </c>
      <c r="AC135">
        <f t="shared" si="267"/>
        <v>1</v>
      </c>
      <c r="AD135">
        <f t="shared" si="268"/>
        <v>1</v>
      </c>
      <c r="AE135">
        <f t="shared" si="269"/>
        <v>0</v>
      </c>
      <c r="AF135">
        <f t="shared" si="270"/>
        <v>0</v>
      </c>
      <c r="AG135">
        <f t="shared" si="271"/>
        <v>0</v>
      </c>
      <c r="AH135">
        <f t="shared" si="272"/>
        <v>0</v>
      </c>
      <c r="AI135">
        <f t="shared" si="273"/>
        <v>0</v>
      </c>
      <c r="AJ135">
        <f t="shared" si="274"/>
        <v>0</v>
      </c>
      <c r="AK135">
        <f t="shared" si="275"/>
        <v>0</v>
      </c>
      <c r="AL135">
        <f t="shared" si="276"/>
        <v>0</v>
      </c>
      <c r="AM135">
        <f t="shared" si="277"/>
        <v>0</v>
      </c>
      <c r="AN135">
        <f t="shared" si="278"/>
        <v>0</v>
      </c>
      <c r="AO135">
        <f t="shared" si="279"/>
        <v>0</v>
      </c>
      <c r="AP135">
        <f t="shared" si="280"/>
        <v>0</v>
      </c>
      <c r="AQ135">
        <f t="shared" si="281"/>
        <v>0</v>
      </c>
      <c r="AR135">
        <f t="shared" si="282"/>
        <v>0</v>
      </c>
      <c r="AS135">
        <f t="shared" si="283"/>
        <v>0</v>
      </c>
      <c r="AT135">
        <f t="shared" si="284"/>
        <v>0</v>
      </c>
      <c r="AU135">
        <f t="shared" si="285"/>
        <v>0</v>
      </c>
      <c r="AV135">
        <f t="shared" si="286"/>
        <v>0</v>
      </c>
      <c r="AW135" s="23">
        <f t="shared" si="287"/>
        <v>4</v>
      </c>
      <c r="AX135" s="24">
        <f t="shared" si="289"/>
        <v>156</v>
      </c>
      <c r="AY135" s="121" t="str">
        <f t="shared" si="290"/>
        <v>JORDAN</v>
      </c>
      <c r="AZ135" s="124" t="str">
        <f t="shared" si="291"/>
        <v>CRAZY TRAIN</v>
      </c>
      <c r="BA135" s="199">
        <v>0</v>
      </c>
      <c r="BB135" s="198">
        <v>0</v>
      </c>
      <c r="BC135" s="200">
        <v>0</v>
      </c>
      <c r="BD135" s="24"/>
      <c r="BE135" s="23"/>
      <c r="BF135" s="203"/>
      <c r="BG135" s="204"/>
    </row>
    <row r="136" spans="1:59">
      <c r="A136" s="19">
        <f>B!B430</f>
        <v>0</v>
      </c>
      <c r="B136" s="20">
        <f>'C'!B127</f>
        <v>0</v>
      </c>
      <c r="C136" s="20">
        <f>D!B127</f>
        <v>0</v>
      </c>
      <c r="D136" s="20">
        <f>E!B127</f>
        <v>0</v>
      </c>
      <c r="E136" s="20">
        <f>F!B127</f>
        <v>0</v>
      </c>
      <c r="F136" s="20">
        <f>G!B127</f>
        <v>0</v>
      </c>
      <c r="G136" s="20">
        <f>H!B127</f>
        <v>0</v>
      </c>
      <c r="H136" s="20">
        <f>I!B127</f>
        <v>0</v>
      </c>
      <c r="I136" s="20">
        <f>J!B127</f>
        <v>0</v>
      </c>
      <c r="J136" s="20">
        <f>K!B127</f>
        <v>0</v>
      </c>
      <c r="K136" s="20">
        <f>L!B127</f>
        <v>0</v>
      </c>
      <c r="L136" s="20">
        <f>M!B127</f>
        <v>0</v>
      </c>
      <c r="M136" s="20">
        <f>N!B127</f>
        <v>0</v>
      </c>
      <c r="N136" s="20">
        <f>O!B127</f>
        <v>0</v>
      </c>
      <c r="O136" s="20">
        <f>P!B127</f>
        <v>0</v>
      </c>
      <c r="P136" s="20">
        <f>Q!B127</f>
        <v>0</v>
      </c>
      <c r="Q136" s="20">
        <f>'R'!B127</f>
        <v>0</v>
      </c>
      <c r="R136" s="20">
        <f>S!B127</f>
        <v>0</v>
      </c>
      <c r="S136" s="20">
        <f>T!B127</f>
        <v>0</v>
      </c>
      <c r="T136" s="20">
        <f>U!B127</f>
        <v>0</v>
      </c>
      <c r="U136" s="20">
        <f>V!B127</f>
        <v>0</v>
      </c>
      <c r="V136" s="20">
        <f>W!B127</f>
        <v>0</v>
      </c>
      <c r="W136" s="20">
        <f>X!B127</f>
        <v>0</v>
      </c>
      <c r="X136" s="21">
        <f t="shared" si="264"/>
        <v>0</v>
      </c>
      <c r="Y136" s="22">
        <f t="shared" si="288"/>
        <v>0</v>
      </c>
      <c r="Z136" s="122">
        <f t="shared" si="202"/>
        <v>0</v>
      </c>
      <c r="AA136" s="17">
        <f t="shared" si="265"/>
        <v>0</v>
      </c>
      <c r="AB136">
        <f t="shared" si="266"/>
        <v>0</v>
      </c>
      <c r="AC136">
        <f t="shared" si="267"/>
        <v>0</v>
      </c>
      <c r="AD136">
        <f t="shared" si="268"/>
        <v>0</v>
      </c>
      <c r="AE136">
        <f t="shared" si="269"/>
        <v>0</v>
      </c>
      <c r="AF136">
        <f t="shared" si="270"/>
        <v>0</v>
      </c>
      <c r="AG136">
        <f t="shared" si="271"/>
        <v>0</v>
      </c>
      <c r="AH136">
        <f t="shared" si="272"/>
        <v>0</v>
      </c>
      <c r="AI136">
        <f t="shared" si="273"/>
        <v>0</v>
      </c>
      <c r="AJ136">
        <f t="shared" si="274"/>
        <v>0</v>
      </c>
      <c r="AK136">
        <f t="shared" si="275"/>
        <v>0</v>
      </c>
      <c r="AL136">
        <f t="shared" si="276"/>
        <v>0</v>
      </c>
      <c r="AM136">
        <f t="shared" si="277"/>
        <v>0</v>
      </c>
      <c r="AN136">
        <f t="shared" si="278"/>
        <v>0</v>
      </c>
      <c r="AO136">
        <f t="shared" si="279"/>
        <v>0</v>
      </c>
      <c r="AP136">
        <f t="shared" si="280"/>
        <v>0</v>
      </c>
      <c r="AQ136">
        <f t="shared" si="281"/>
        <v>0</v>
      </c>
      <c r="AR136">
        <f t="shared" si="282"/>
        <v>0</v>
      </c>
      <c r="AS136">
        <f t="shared" si="283"/>
        <v>0</v>
      </c>
      <c r="AT136">
        <f t="shared" si="284"/>
        <v>0</v>
      </c>
      <c r="AU136">
        <f t="shared" si="285"/>
        <v>0</v>
      </c>
      <c r="AV136">
        <f t="shared" si="286"/>
        <v>0</v>
      </c>
      <c r="AW136" s="23">
        <f t="shared" si="287"/>
        <v>0</v>
      </c>
      <c r="AX136" s="24">
        <f t="shared" si="289"/>
        <v>0</v>
      </c>
      <c r="AY136" s="121">
        <f t="shared" si="290"/>
        <v>0</v>
      </c>
      <c r="AZ136" s="124">
        <f t="shared" si="291"/>
        <v>0</v>
      </c>
      <c r="BA136" s="199">
        <v>0</v>
      </c>
      <c r="BB136" s="198">
        <v>0</v>
      </c>
      <c r="BC136" s="200">
        <v>0</v>
      </c>
      <c r="BD136" s="24"/>
      <c r="BE136" s="23"/>
      <c r="BF136" s="203"/>
      <c r="BG136" s="204"/>
    </row>
    <row r="137" spans="1:59">
      <c r="A137" s="19">
        <f>B!B435</f>
        <v>0</v>
      </c>
      <c r="B137" s="20">
        <f>'C'!B128</f>
        <v>0</v>
      </c>
      <c r="C137" s="20">
        <f>D!B128</f>
        <v>0</v>
      </c>
      <c r="D137" s="20">
        <f>E!B128</f>
        <v>0</v>
      </c>
      <c r="E137" s="20">
        <f>F!B128</f>
        <v>0</v>
      </c>
      <c r="F137" s="20">
        <f>G!B128</f>
        <v>0</v>
      </c>
      <c r="G137" s="20">
        <f>H!B128</f>
        <v>0</v>
      </c>
      <c r="H137" s="20">
        <f>I!B128</f>
        <v>0</v>
      </c>
      <c r="I137" s="20">
        <f>J!B128</f>
        <v>0</v>
      </c>
      <c r="J137" s="20">
        <f>K!B128</f>
        <v>0</v>
      </c>
      <c r="K137" s="20">
        <f>L!B128</f>
        <v>0</v>
      </c>
      <c r="L137" s="20">
        <f>M!B128</f>
        <v>0</v>
      </c>
      <c r="M137" s="20">
        <f>N!B128</f>
        <v>0</v>
      </c>
      <c r="N137" s="20">
        <f>O!B128</f>
        <v>0</v>
      </c>
      <c r="O137" s="20">
        <f>P!B128</f>
        <v>0</v>
      </c>
      <c r="P137" s="20">
        <f>Q!B128</f>
        <v>0</v>
      </c>
      <c r="Q137" s="20">
        <f>'R'!B128</f>
        <v>0</v>
      </c>
      <c r="R137" s="20">
        <f>S!B128</f>
        <v>0</v>
      </c>
      <c r="S137" s="20">
        <f>T!B128</f>
        <v>0</v>
      </c>
      <c r="T137" s="20">
        <f>U!B128</f>
        <v>0</v>
      </c>
      <c r="U137" s="20">
        <f>V!B128</f>
        <v>0</v>
      </c>
      <c r="V137" s="20">
        <f>W!B128</f>
        <v>0</v>
      </c>
      <c r="W137" s="20">
        <f>X!B128</f>
        <v>0</v>
      </c>
      <c r="X137" s="21">
        <f t="shared" si="264"/>
        <v>0</v>
      </c>
      <c r="Y137" s="22">
        <f t="shared" si="288"/>
        <v>0</v>
      </c>
      <c r="Z137" s="122">
        <f t="shared" si="202"/>
        <v>0</v>
      </c>
      <c r="AA137" s="17">
        <f t="shared" si="265"/>
        <v>0</v>
      </c>
      <c r="AB137">
        <f t="shared" si="266"/>
        <v>0</v>
      </c>
      <c r="AC137">
        <f t="shared" si="267"/>
        <v>0</v>
      </c>
      <c r="AD137">
        <f t="shared" si="268"/>
        <v>0</v>
      </c>
      <c r="AE137">
        <f t="shared" si="269"/>
        <v>0</v>
      </c>
      <c r="AF137">
        <f t="shared" si="270"/>
        <v>0</v>
      </c>
      <c r="AG137">
        <f t="shared" si="271"/>
        <v>0</v>
      </c>
      <c r="AH137">
        <f t="shared" si="272"/>
        <v>0</v>
      </c>
      <c r="AI137">
        <f t="shared" si="273"/>
        <v>0</v>
      </c>
      <c r="AJ137">
        <f t="shared" si="274"/>
        <v>0</v>
      </c>
      <c r="AK137">
        <f t="shared" si="275"/>
        <v>0</v>
      </c>
      <c r="AL137">
        <f t="shared" si="276"/>
        <v>0</v>
      </c>
      <c r="AM137">
        <f t="shared" si="277"/>
        <v>0</v>
      </c>
      <c r="AN137">
        <f t="shared" si="278"/>
        <v>0</v>
      </c>
      <c r="AO137">
        <f t="shared" si="279"/>
        <v>0</v>
      </c>
      <c r="AP137">
        <f t="shared" si="280"/>
        <v>0</v>
      </c>
      <c r="AQ137">
        <f t="shared" si="281"/>
        <v>0</v>
      </c>
      <c r="AR137">
        <f t="shared" si="282"/>
        <v>0</v>
      </c>
      <c r="AS137">
        <f t="shared" si="283"/>
        <v>0</v>
      </c>
      <c r="AT137">
        <f t="shared" si="284"/>
        <v>0</v>
      </c>
      <c r="AU137">
        <f t="shared" si="285"/>
        <v>0</v>
      </c>
      <c r="AV137">
        <f t="shared" si="286"/>
        <v>0</v>
      </c>
      <c r="AW137" s="23">
        <f t="shared" si="287"/>
        <v>0</v>
      </c>
      <c r="AX137" s="24">
        <f t="shared" si="289"/>
        <v>0</v>
      </c>
      <c r="AY137" s="121">
        <f t="shared" si="290"/>
        <v>0</v>
      </c>
      <c r="AZ137" s="124">
        <f t="shared" si="291"/>
        <v>0</v>
      </c>
      <c r="BA137" s="199">
        <v>0</v>
      </c>
      <c r="BB137" s="198">
        <v>0</v>
      </c>
      <c r="BC137" s="200">
        <v>0</v>
      </c>
      <c r="BD137" s="24"/>
      <c r="BE137" s="23"/>
      <c r="BF137" s="203"/>
      <c r="BG137" s="204"/>
    </row>
    <row r="138" spans="1:59" ht="15.75" thickBot="1">
      <c r="A138" s="17">
        <f>B!B440</f>
        <v>0</v>
      </c>
      <c r="B138" s="20">
        <f>'C'!B129</f>
        <v>0</v>
      </c>
      <c r="C138" s="20">
        <f>D!B129</f>
        <v>0</v>
      </c>
      <c r="D138" s="20">
        <f>E!B129</f>
        <v>0</v>
      </c>
      <c r="E138" s="20">
        <f>F!B129</f>
        <v>0</v>
      </c>
      <c r="F138" s="20">
        <f>G!B129</f>
        <v>0</v>
      </c>
      <c r="G138" s="20">
        <f>H!B129</f>
        <v>0</v>
      </c>
      <c r="H138" s="20">
        <f>I!B129</f>
        <v>0</v>
      </c>
      <c r="I138" s="20">
        <f>J!B129</f>
        <v>0</v>
      </c>
      <c r="J138" s="20">
        <f>K!B129</f>
        <v>0</v>
      </c>
      <c r="K138" s="20">
        <f>L!B129</f>
        <v>0</v>
      </c>
      <c r="L138" s="20">
        <f>M!B129</f>
        <v>0</v>
      </c>
      <c r="M138" s="20">
        <f>N!B129</f>
        <v>0</v>
      </c>
      <c r="N138" s="20">
        <f>O!B129</f>
        <v>0</v>
      </c>
      <c r="O138" s="20">
        <f>P!B129</f>
        <v>0</v>
      </c>
      <c r="P138" s="20">
        <f>Q!B129</f>
        <v>0</v>
      </c>
      <c r="Q138" s="20">
        <f>'R'!B129</f>
        <v>0</v>
      </c>
      <c r="R138" s="20">
        <f>S!B129</f>
        <v>0</v>
      </c>
      <c r="S138" s="20">
        <f>T!B129</f>
        <v>0</v>
      </c>
      <c r="T138" s="20">
        <f>U!B129</f>
        <v>0</v>
      </c>
      <c r="U138" s="20">
        <f>V!B129</f>
        <v>0</v>
      </c>
      <c r="V138" s="20">
        <f>W!B129</f>
        <v>0</v>
      </c>
      <c r="W138" s="20">
        <f>X!B129</f>
        <v>0</v>
      </c>
      <c r="X138" s="21">
        <f t="shared" si="264"/>
        <v>0</v>
      </c>
      <c r="Y138" s="22">
        <f t="shared" si="288"/>
        <v>0</v>
      </c>
      <c r="Z138" s="122">
        <f t="shared" si="202"/>
        <v>0</v>
      </c>
      <c r="AA138" s="17">
        <f t="shared" si="265"/>
        <v>0</v>
      </c>
      <c r="AB138">
        <f t="shared" si="266"/>
        <v>0</v>
      </c>
      <c r="AC138">
        <f t="shared" si="267"/>
        <v>0</v>
      </c>
      <c r="AD138">
        <f t="shared" si="268"/>
        <v>0</v>
      </c>
      <c r="AE138">
        <f t="shared" si="269"/>
        <v>0</v>
      </c>
      <c r="AF138">
        <f t="shared" si="270"/>
        <v>0</v>
      </c>
      <c r="AG138">
        <f t="shared" si="271"/>
        <v>0</v>
      </c>
      <c r="AH138">
        <f t="shared" si="272"/>
        <v>0</v>
      </c>
      <c r="AI138">
        <f t="shared" si="273"/>
        <v>0</v>
      </c>
      <c r="AJ138">
        <f t="shared" si="274"/>
        <v>0</v>
      </c>
      <c r="AK138">
        <f t="shared" si="275"/>
        <v>0</v>
      </c>
      <c r="AL138">
        <f t="shared" si="276"/>
        <v>0</v>
      </c>
      <c r="AM138">
        <f t="shared" si="277"/>
        <v>0</v>
      </c>
      <c r="AN138">
        <f t="shared" si="278"/>
        <v>0</v>
      </c>
      <c r="AO138">
        <f t="shared" si="279"/>
        <v>0</v>
      </c>
      <c r="AP138">
        <f t="shared" si="280"/>
        <v>0</v>
      </c>
      <c r="AQ138">
        <f t="shared" si="281"/>
        <v>0</v>
      </c>
      <c r="AR138">
        <f t="shared" si="282"/>
        <v>0</v>
      </c>
      <c r="AS138">
        <f t="shared" si="283"/>
        <v>0</v>
      </c>
      <c r="AT138">
        <f t="shared" si="284"/>
        <v>0</v>
      </c>
      <c r="AU138">
        <f t="shared" si="285"/>
        <v>0</v>
      </c>
      <c r="AV138">
        <f t="shared" si="286"/>
        <v>0</v>
      </c>
      <c r="AW138" s="23">
        <f t="shared" si="287"/>
        <v>0</v>
      </c>
      <c r="AX138" s="24">
        <f t="shared" si="289"/>
        <v>0</v>
      </c>
      <c r="AY138" s="121">
        <f t="shared" si="290"/>
        <v>0</v>
      </c>
      <c r="AZ138" s="124">
        <f t="shared" si="291"/>
        <v>0</v>
      </c>
      <c r="BA138" s="199">
        <v>0</v>
      </c>
      <c r="BB138" s="198">
        <v>0</v>
      </c>
      <c r="BC138" s="200">
        <v>0</v>
      </c>
      <c r="BD138" s="24"/>
      <c r="BE138" s="23"/>
      <c r="BF138" s="203"/>
      <c r="BG138" s="204"/>
    </row>
    <row r="139" spans="1:59" ht="15.75" thickTop="1">
      <c r="A139" s="133" t="s">
        <v>134</v>
      </c>
      <c r="B139" s="134">
        <f t="shared" ref="B139:W139" si="292">SUM(B131:B138)</f>
        <v>205</v>
      </c>
      <c r="C139" s="134">
        <f t="shared" si="292"/>
        <v>183</v>
      </c>
      <c r="D139" s="134">
        <f t="shared" si="292"/>
        <v>239</v>
      </c>
      <c r="E139" s="134">
        <f t="shared" si="292"/>
        <v>200</v>
      </c>
      <c r="F139" s="134">
        <f t="shared" si="292"/>
        <v>0</v>
      </c>
      <c r="G139" s="134">
        <f t="shared" si="292"/>
        <v>0</v>
      </c>
      <c r="H139" s="134">
        <f t="shared" si="292"/>
        <v>0</v>
      </c>
      <c r="I139" s="134">
        <f t="shared" si="292"/>
        <v>0</v>
      </c>
      <c r="J139" s="134">
        <f t="shared" si="292"/>
        <v>0</v>
      </c>
      <c r="K139" s="134">
        <f t="shared" si="292"/>
        <v>0</v>
      </c>
      <c r="L139" s="134">
        <f t="shared" si="292"/>
        <v>0</v>
      </c>
      <c r="M139" s="134">
        <f t="shared" si="292"/>
        <v>0</v>
      </c>
      <c r="N139" s="134">
        <f t="shared" si="292"/>
        <v>0</v>
      </c>
      <c r="O139" s="134">
        <f t="shared" si="292"/>
        <v>0</v>
      </c>
      <c r="P139" s="134">
        <f t="shared" si="292"/>
        <v>0</v>
      </c>
      <c r="Q139" s="134">
        <f t="shared" si="292"/>
        <v>0</v>
      </c>
      <c r="R139" s="134">
        <f t="shared" si="292"/>
        <v>0</v>
      </c>
      <c r="S139" s="134">
        <f t="shared" si="292"/>
        <v>0</v>
      </c>
      <c r="T139" s="134">
        <f t="shared" si="292"/>
        <v>0</v>
      </c>
      <c r="U139" s="134">
        <f t="shared" si="292"/>
        <v>0</v>
      </c>
      <c r="V139" s="134">
        <f t="shared" si="292"/>
        <v>0</v>
      </c>
      <c r="W139" s="134">
        <f t="shared" si="292"/>
        <v>0</v>
      </c>
      <c r="X139" s="135">
        <f t="shared" si="264"/>
        <v>827</v>
      </c>
      <c r="Y139" s="137">
        <f>IF(X139=0,0,X139/AW139)</f>
        <v>206.75</v>
      </c>
      <c r="Z139" s="122"/>
      <c r="AA139" s="138">
        <f t="shared" ref="AA139:AV139" si="293">SUM(AA131:AA138)</f>
        <v>5</v>
      </c>
      <c r="AB139" s="11">
        <f t="shared" si="293"/>
        <v>5</v>
      </c>
      <c r="AC139" s="11">
        <f t="shared" si="293"/>
        <v>5</v>
      </c>
      <c r="AD139" s="11">
        <f t="shared" si="293"/>
        <v>5</v>
      </c>
      <c r="AE139" s="11">
        <f t="shared" si="293"/>
        <v>0</v>
      </c>
      <c r="AF139" s="11">
        <f t="shared" si="293"/>
        <v>0</v>
      </c>
      <c r="AG139" s="11">
        <f t="shared" si="293"/>
        <v>0</v>
      </c>
      <c r="AH139" s="11">
        <f t="shared" si="293"/>
        <v>0</v>
      </c>
      <c r="AI139" s="11">
        <f t="shared" si="293"/>
        <v>0</v>
      </c>
      <c r="AJ139" s="11">
        <f t="shared" si="293"/>
        <v>0</v>
      </c>
      <c r="AK139" s="11">
        <f t="shared" si="293"/>
        <v>0</v>
      </c>
      <c r="AL139" s="11">
        <f t="shared" si="293"/>
        <v>0</v>
      </c>
      <c r="AM139" s="11">
        <f t="shared" si="293"/>
        <v>0</v>
      </c>
      <c r="AN139" s="11">
        <f t="shared" si="293"/>
        <v>0</v>
      </c>
      <c r="AO139" s="11">
        <f t="shared" si="293"/>
        <v>0</v>
      </c>
      <c r="AP139" s="11">
        <f t="shared" si="293"/>
        <v>0</v>
      </c>
      <c r="AQ139" s="11">
        <f t="shared" si="293"/>
        <v>0</v>
      </c>
      <c r="AR139" s="11">
        <f t="shared" si="293"/>
        <v>0</v>
      </c>
      <c r="AS139" s="11">
        <f t="shared" si="293"/>
        <v>0</v>
      </c>
      <c r="AT139" s="11">
        <f t="shared" si="293"/>
        <v>0</v>
      </c>
      <c r="AU139" s="11">
        <f t="shared" si="293"/>
        <v>0</v>
      </c>
      <c r="AV139" s="11">
        <f t="shared" si="293"/>
        <v>0</v>
      </c>
      <c r="AW139" s="12">
        <f>MAXA(AW131:AW138)</f>
        <v>4</v>
      </c>
      <c r="AX139" s="24"/>
      <c r="AZ139" s="124"/>
      <c r="BA139" s="199">
        <v>0</v>
      </c>
      <c r="BB139" s="198">
        <v>0</v>
      </c>
      <c r="BC139" s="200">
        <v>0</v>
      </c>
      <c r="BD139" s="24"/>
      <c r="BE139" s="23"/>
      <c r="BF139" s="203"/>
      <c r="BG139" s="204"/>
    </row>
    <row r="140" spans="1:59" ht="16.5" thickBot="1">
      <c r="A140" s="105" t="s">
        <v>189</v>
      </c>
      <c r="B140" s="20">
        <f>'C'!B130</f>
        <v>0</v>
      </c>
      <c r="C140" s="20">
        <f>D!B130</f>
        <v>0</v>
      </c>
      <c r="D140" s="20">
        <f>E!B130</f>
        <v>0</v>
      </c>
      <c r="E140" s="20">
        <f>F!B130</f>
        <v>0</v>
      </c>
      <c r="F140" s="20">
        <f>G!B130</f>
        <v>0</v>
      </c>
      <c r="G140" s="20">
        <f>H!B130</f>
        <v>0</v>
      </c>
      <c r="H140" s="20">
        <f>I!B130</f>
        <v>0</v>
      </c>
      <c r="I140" s="20">
        <f>J!B130</f>
        <v>0</v>
      </c>
      <c r="J140" s="20">
        <f>K!B130</f>
        <v>0</v>
      </c>
      <c r="K140" s="20">
        <f>L!B130</f>
        <v>0</v>
      </c>
      <c r="L140" s="20">
        <f>M!B130</f>
        <v>0</v>
      </c>
      <c r="M140" s="20">
        <f>N!B130</f>
        <v>0</v>
      </c>
      <c r="N140" s="20">
        <f>O!B130</f>
        <v>0</v>
      </c>
      <c r="O140" s="20">
        <f>P!B130</f>
        <v>0</v>
      </c>
      <c r="P140" s="20">
        <f>Q!B130</f>
        <v>0</v>
      </c>
      <c r="Q140" s="20">
        <f>'R'!B130</f>
        <v>0</v>
      </c>
      <c r="R140" s="20">
        <f>S!B130</f>
        <v>0</v>
      </c>
      <c r="S140" s="20">
        <f>T!B130</f>
        <v>0</v>
      </c>
      <c r="T140" s="20">
        <f>U!B130</f>
        <v>0</v>
      </c>
      <c r="U140" s="20">
        <f>V!B130</f>
        <v>0</v>
      </c>
      <c r="V140" s="20">
        <f>W!B130</f>
        <v>0</v>
      </c>
      <c r="W140" s="20">
        <f>X!B130</f>
        <v>0</v>
      </c>
      <c r="X140" s="21">
        <f t="shared" si="264"/>
        <v>0</v>
      </c>
      <c r="Y140" s="120"/>
      <c r="Z140" s="122"/>
      <c r="AA140" s="17"/>
      <c r="AW140" s="23"/>
      <c r="AX140" s="24"/>
      <c r="AZ140" s="124"/>
      <c r="BA140" s="199">
        <v>0</v>
      </c>
      <c r="BB140" s="198">
        <v>0</v>
      </c>
      <c r="BC140" s="200">
        <v>0</v>
      </c>
      <c r="BD140" s="24"/>
      <c r="BE140" s="23"/>
      <c r="BF140" s="203"/>
      <c r="BG140" s="204"/>
    </row>
    <row r="141" spans="1:59" ht="16.5" thickTop="1" thickBot="1">
      <c r="A141" s="100" t="s">
        <v>53</v>
      </c>
      <c r="B141" s="68">
        <f t="shared" ref="B141:W141" si="294">SUM(B139:B140)</f>
        <v>205</v>
      </c>
      <c r="C141" s="68">
        <f t="shared" si="294"/>
        <v>183</v>
      </c>
      <c r="D141" s="68">
        <f t="shared" si="294"/>
        <v>239</v>
      </c>
      <c r="E141" s="68">
        <f t="shared" si="294"/>
        <v>200</v>
      </c>
      <c r="F141" s="68">
        <f t="shared" si="294"/>
        <v>0</v>
      </c>
      <c r="G141" s="68">
        <f t="shared" si="294"/>
        <v>0</v>
      </c>
      <c r="H141" s="68">
        <f t="shared" si="294"/>
        <v>0</v>
      </c>
      <c r="I141" s="68">
        <f t="shared" si="294"/>
        <v>0</v>
      </c>
      <c r="J141" s="68">
        <f t="shared" si="294"/>
        <v>0</v>
      </c>
      <c r="K141" s="68">
        <f t="shared" si="294"/>
        <v>0</v>
      </c>
      <c r="L141" s="68">
        <f t="shared" si="294"/>
        <v>0</v>
      </c>
      <c r="M141" s="68">
        <f t="shared" si="294"/>
        <v>0</v>
      </c>
      <c r="N141" s="68">
        <f t="shared" si="294"/>
        <v>0</v>
      </c>
      <c r="O141" s="68">
        <f t="shared" si="294"/>
        <v>0</v>
      </c>
      <c r="P141" s="68">
        <f t="shared" si="294"/>
        <v>0</v>
      </c>
      <c r="Q141" s="68">
        <f t="shared" si="294"/>
        <v>0</v>
      </c>
      <c r="R141" s="68">
        <f t="shared" si="294"/>
        <v>0</v>
      </c>
      <c r="S141" s="68">
        <f t="shared" si="294"/>
        <v>0</v>
      </c>
      <c r="T141" s="68">
        <f t="shared" si="294"/>
        <v>0</v>
      </c>
      <c r="U141" s="68">
        <f t="shared" si="294"/>
        <v>0</v>
      </c>
      <c r="V141" s="68">
        <f t="shared" si="294"/>
        <v>0</v>
      </c>
      <c r="W141" s="68">
        <f t="shared" si="294"/>
        <v>0</v>
      </c>
      <c r="X141" s="28">
        <f t="shared" si="264"/>
        <v>827</v>
      </c>
      <c r="Y141" s="136"/>
      <c r="Z141" s="122"/>
      <c r="AA141" s="17"/>
      <c r="AW141" s="23"/>
      <c r="AX141" s="24"/>
      <c r="AZ141" s="124"/>
      <c r="BA141" s="199">
        <v>0</v>
      </c>
      <c r="BB141" s="198">
        <v>0</v>
      </c>
      <c r="BC141" s="200">
        <v>0</v>
      </c>
      <c r="BD141" s="24">
        <f>X141</f>
        <v>827</v>
      </c>
      <c r="BE141" s="23" t="str">
        <f>A130</f>
        <v>CRAZY TRAIN</v>
      </c>
      <c r="BF141" s="203"/>
      <c r="BG141" s="204"/>
    </row>
    <row r="142" spans="1:59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22"/>
      <c r="AA142" s="17"/>
      <c r="AW142" s="23"/>
      <c r="AX142" s="24"/>
      <c r="AZ142" s="124"/>
      <c r="BA142" s="199">
        <v>0</v>
      </c>
      <c r="BB142" s="198">
        <v>0</v>
      </c>
      <c r="BC142" s="200">
        <v>0</v>
      </c>
      <c r="BD142" s="24"/>
      <c r="BE142" s="23"/>
      <c r="BF142" s="203"/>
      <c r="BG142" s="204"/>
    </row>
    <row r="143" spans="1:59" ht="15.75" thickBot="1">
      <c r="A143" s="7" t="s">
        <v>63</v>
      </c>
      <c r="B143" s="8" t="s">
        <v>27</v>
      </c>
      <c r="C143" s="8" t="s">
        <v>28</v>
      </c>
      <c r="D143" s="8" t="s">
        <v>29</v>
      </c>
      <c r="E143" s="8" t="s">
        <v>30</v>
      </c>
      <c r="F143" s="8" t="s">
        <v>31</v>
      </c>
      <c r="G143" s="8" t="s">
        <v>32</v>
      </c>
      <c r="H143" s="8" t="s">
        <v>33</v>
      </c>
      <c r="I143" s="8" t="s">
        <v>34</v>
      </c>
      <c r="J143" s="8" t="s">
        <v>35</v>
      </c>
      <c r="K143" s="8" t="s">
        <v>36</v>
      </c>
      <c r="L143" s="8" t="s">
        <v>37</v>
      </c>
      <c r="M143" s="8" t="s">
        <v>38</v>
      </c>
      <c r="N143" s="8" t="s">
        <v>39</v>
      </c>
      <c r="O143" s="8" t="s">
        <v>40</v>
      </c>
      <c r="P143" s="8" t="s">
        <v>41</v>
      </c>
      <c r="Q143" s="8" t="s">
        <v>42</v>
      </c>
      <c r="R143" s="8" t="s">
        <v>43</v>
      </c>
      <c r="S143" s="8" t="s">
        <v>44</v>
      </c>
      <c r="T143" s="8" t="s">
        <v>45</v>
      </c>
      <c r="U143" s="8" t="s">
        <v>46</v>
      </c>
      <c r="V143" s="8" t="s">
        <v>47</v>
      </c>
      <c r="W143" s="8" t="s">
        <v>48</v>
      </c>
      <c r="X143" s="1"/>
      <c r="Y143" s="1"/>
      <c r="Z143" s="3" t="str">
        <f>A143</f>
        <v>Team #11 Name:</v>
      </c>
      <c r="AA143" s="17"/>
      <c r="AW143" s="23"/>
      <c r="AX143" s="24"/>
      <c r="AZ143" s="124"/>
      <c r="BA143" s="199">
        <v>0</v>
      </c>
      <c r="BB143" s="198">
        <v>0</v>
      </c>
      <c r="BC143" s="200">
        <v>0</v>
      </c>
      <c r="BD143" s="24"/>
      <c r="BE143" s="23"/>
      <c r="BF143" s="203"/>
      <c r="BG143" s="204"/>
    </row>
    <row r="144" spans="1:59">
      <c r="A144" s="13" t="str">
        <f>B!$E$16</f>
        <v>SPAM FO LUNCH</v>
      </c>
      <c r="B144" s="29" t="s">
        <v>50</v>
      </c>
      <c r="C144" s="29" t="s">
        <v>50</v>
      </c>
      <c r="D144" s="29" t="s">
        <v>50</v>
      </c>
      <c r="E144" s="29" t="s">
        <v>50</v>
      </c>
      <c r="F144" s="29" t="s">
        <v>50</v>
      </c>
      <c r="G144" s="29" t="s">
        <v>50</v>
      </c>
      <c r="H144" s="29" t="s">
        <v>50</v>
      </c>
      <c r="I144" s="29" t="s">
        <v>50</v>
      </c>
      <c r="J144" s="29" t="s">
        <v>50</v>
      </c>
      <c r="K144" s="29" t="s">
        <v>50</v>
      </c>
      <c r="L144" s="29" t="s">
        <v>50</v>
      </c>
      <c r="M144" s="29" t="s">
        <v>50</v>
      </c>
      <c r="N144" s="29" t="s">
        <v>50</v>
      </c>
      <c r="O144" s="29" t="s">
        <v>50</v>
      </c>
      <c r="P144" s="29" t="s">
        <v>50</v>
      </c>
      <c r="Q144" s="29" t="s">
        <v>50</v>
      </c>
      <c r="R144" s="29" t="s">
        <v>50</v>
      </c>
      <c r="S144" s="29" t="s">
        <v>50</v>
      </c>
      <c r="T144" s="29" t="s">
        <v>50</v>
      </c>
      <c r="U144" s="29" t="s">
        <v>50</v>
      </c>
      <c r="V144" s="29" t="s">
        <v>50</v>
      </c>
      <c r="W144" s="29" t="s">
        <v>50</v>
      </c>
      <c r="X144" s="15" t="s">
        <v>51</v>
      </c>
      <c r="Y144" s="16" t="s">
        <v>52</v>
      </c>
      <c r="Z144" s="123" t="str">
        <f>A144</f>
        <v>SPAM FO LUNCH</v>
      </c>
      <c r="AA144" s="17"/>
      <c r="AW144" s="4" t="s">
        <v>97</v>
      </c>
      <c r="AX144" s="24"/>
      <c r="AZ144" s="124"/>
      <c r="BA144" s="199">
        <v>0</v>
      </c>
      <c r="BB144" s="198">
        <v>0</v>
      </c>
      <c r="BC144" s="200">
        <v>0</v>
      </c>
      <c r="BD144" s="24"/>
      <c r="BE144" s="23"/>
      <c r="BF144" s="203"/>
      <c r="BG144" s="204"/>
    </row>
    <row r="145" spans="1:59">
      <c r="A145" s="19" t="str">
        <f>B!$E$18</f>
        <v>PABLO</v>
      </c>
      <c r="B145" s="20">
        <f>'C'!G5</f>
        <v>37</v>
      </c>
      <c r="C145" s="20">
        <f>D!G5</f>
        <v>46</v>
      </c>
      <c r="D145" s="20">
        <f>E!G5</f>
        <v>39</v>
      </c>
      <c r="E145" s="20">
        <f>F!G5</f>
        <v>39</v>
      </c>
      <c r="F145" s="20">
        <f>G!G5</f>
        <v>0</v>
      </c>
      <c r="G145" s="20">
        <f>H!G5</f>
        <v>0</v>
      </c>
      <c r="H145" s="20">
        <f>I!G5</f>
        <v>0</v>
      </c>
      <c r="I145" s="20">
        <f>J!G5</f>
        <v>0</v>
      </c>
      <c r="J145" s="20">
        <f>K!G5</f>
        <v>0</v>
      </c>
      <c r="K145" s="20">
        <f>L!G5</f>
        <v>0</v>
      </c>
      <c r="L145" s="20">
        <f>M!G5</f>
        <v>0</v>
      </c>
      <c r="M145" s="20">
        <f>N!G5</f>
        <v>0</v>
      </c>
      <c r="N145" s="20">
        <f>O!G5</f>
        <v>0</v>
      </c>
      <c r="O145" s="20">
        <f>P!G5</f>
        <v>0</v>
      </c>
      <c r="P145" s="20">
        <f>Q!G5</f>
        <v>0</v>
      </c>
      <c r="Q145" s="20">
        <f>'R'!G5</f>
        <v>0</v>
      </c>
      <c r="R145" s="20">
        <f>S!G5</f>
        <v>0</v>
      </c>
      <c r="S145" s="20">
        <f>T!G5</f>
        <v>0</v>
      </c>
      <c r="T145" s="20">
        <f>U!G5</f>
        <v>0</v>
      </c>
      <c r="U145" s="20">
        <f>V!G5</f>
        <v>0</v>
      </c>
      <c r="V145" s="20">
        <f>W!G5</f>
        <v>0</v>
      </c>
      <c r="W145" s="20">
        <f>X!G5</f>
        <v>0</v>
      </c>
      <c r="X145" s="21">
        <f t="shared" ref="X145:X155" si="295">SUM(B145:W145)</f>
        <v>161</v>
      </c>
      <c r="Y145" s="22">
        <f>IF(AW145=0,0,X145/AW145)</f>
        <v>40.25</v>
      </c>
      <c r="Z145" s="122" t="str">
        <f t="shared" si="202"/>
        <v>PABLO</v>
      </c>
      <c r="AA145" s="17">
        <f t="shared" ref="AA145:AA152" si="296">IF(B145=0,0,1)</f>
        <v>1</v>
      </c>
      <c r="AB145">
        <f t="shared" ref="AB145:AB152" si="297">IF(C145=0,0,1)</f>
        <v>1</v>
      </c>
      <c r="AC145">
        <f t="shared" ref="AC145:AC152" si="298">IF(D145=0,0,1)</f>
        <v>1</v>
      </c>
      <c r="AD145">
        <f t="shared" ref="AD145:AD152" si="299">IF(E145=0,0,1)</f>
        <v>1</v>
      </c>
      <c r="AE145">
        <f t="shared" ref="AE145:AE152" si="300">IF(F145=0,0,1)</f>
        <v>0</v>
      </c>
      <c r="AF145">
        <f t="shared" ref="AF145:AF152" si="301">IF(G145=0,0,1)</f>
        <v>0</v>
      </c>
      <c r="AG145">
        <f t="shared" ref="AG145:AG152" si="302">IF(H145=0,0,1)</f>
        <v>0</v>
      </c>
      <c r="AH145">
        <f t="shared" ref="AH145:AH152" si="303">IF(I145=0,0,1)</f>
        <v>0</v>
      </c>
      <c r="AI145">
        <f t="shared" ref="AI145:AI152" si="304">IF(J145=0,0,1)</f>
        <v>0</v>
      </c>
      <c r="AJ145">
        <f t="shared" ref="AJ145:AJ152" si="305">IF(K145=0,0,1)</f>
        <v>0</v>
      </c>
      <c r="AK145">
        <f t="shared" ref="AK145:AK152" si="306">IF(L145=0,0,1)</f>
        <v>0</v>
      </c>
      <c r="AL145">
        <f t="shared" ref="AL145:AL152" si="307">IF(M145=0,0,1)</f>
        <v>0</v>
      </c>
      <c r="AM145">
        <f t="shared" ref="AM145:AM152" si="308">IF(N145=0,0,1)</f>
        <v>0</v>
      </c>
      <c r="AN145">
        <f t="shared" ref="AN145:AN152" si="309">IF(O145=0,0,1)</f>
        <v>0</v>
      </c>
      <c r="AO145">
        <f t="shared" ref="AO145:AO152" si="310">IF(P145=0,0,1)</f>
        <v>0</v>
      </c>
      <c r="AP145">
        <f t="shared" ref="AP145:AP152" si="311">IF(Q145=0,0,1)</f>
        <v>0</v>
      </c>
      <c r="AQ145">
        <f t="shared" ref="AQ145:AQ152" si="312">IF(R145=0,0,1)</f>
        <v>0</v>
      </c>
      <c r="AR145">
        <f t="shared" ref="AR145:AR152" si="313">IF(S145=0,0,1)</f>
        <v>0</v>
      </c>
      <c r="AS145">
        <f t="shared" ref="AS145:AS152" si="314">IF(T145=0,0,1)</f>
        <v>0</v>
      </c>
      <c r="AT145">
        <f t="shared" ref="AT145:AT152" si="315">IF(U145=0,0,1)</f>
        <v>0</v>
      </c>
      <c r="AU145">
        <f t="shared" ref="AU145:AU152" si="316">IF(V145=0,0,1)</f>
        <v>0</v>
      </c>
      <c r="AV145">
        <f t="shared" ref="AV145:AV152" si="317">IF(W145=0,0,1)</f>
        <v>0</v>
      </c>
      <c r="AW145" s="23">
        <f t="shared" ref="AW145:AW152" si="318">SUM(AA145:AV145)</f>
        <v>4</v>
      </c>
      <c r="AX145" s="24">
        <f>IF(X145=0,0,X145)</f>
        <v>161</v>
      </c>
      <c r="AY145" s="121" t="str">
        <f>IF(X145=0,0,A145)</f>
        <v>PABLO</v>
      </c>
      <c r="AZ145" s="124" t="str">
        <f>IF(AX145=0,0,A$144)</f>
        <v>SPAM FO LUNCH</v>
      </c>
      <c r="BA145" s="199">
        <v>0</v>
      </c>
      <c r="BB145" s="198">
        <v>0</v>
      </c>
      <c r="BC145" s="200">
        <v>0</v>
      </c>
      <c r="BD145" s="24"/>
      <c r="BE145" s="23"/>
      <c r="BF145" s="203"/>
      <c r="BG145" s="204"/>
    </row>
    <row r="146" spans="1:59">
      <c r="A146" s="19" t="str">
        <f>B!$E$23</f>
        <v>ERIC</v>
      </c>
      <c r="B146" s="20">
        <f>'C'!G6</f>
        <v>35</v>
      </c>
      <c r="C146" s="20">
        <f>D!G6</f>
        <v>50</v>
      </c>
      <c r="D146" s="20">
        <f>E!G6</f>
        <v>45</v>
      </c>
      <c r="E146" s="20">
        <f>F!G6</f>
        <v>45</v>
      </c>
      <c r="F146" s="20">
        <f>G!G6</f>
        <v>0</v>
      </c>
      <c r="G146" s="20">
        <f>H!G6</f>
        <v>0</v>
      </c>
      <c r="H146" s="20">
        <f>I!G6</f>
        <v>0</v>
      </c>
      <c r="I146" s="20">
        <f>J!G6</f>
        <v>0</v>
      </c>
      <c r="J146" s="20">
        <f>K!G6</f>
        <v>0</v>
      </c>
      <c r="K146" s="20">
        <f>L!G6</f>
        <v>0</v>
      </c>
      <c r="L146" s="20">
        <f>M!G6</f>
        <v>0</v>
      </c>
      <c r="M146" s="20">
        <f>N!G6</f>
        <v>0</v>
      </c>
      <c r="N146" s="20">
        <f>O!G6</f>
        <v>0</v>
      </c>
      <c r="O146" s="20">
        <f>P!G6</f>
        <v>0</v>
      </c>
      <c r="P146" s="20">
        <f>Q!G6</f>
        <v>0</v>
      </c>
      <c r="Q146" s="20">
        <f>'R'!G6</f>
        <v>0</v>
      </c>
      <c r="R146" s="20">
        <f>S!G6</f>
        <v>0</v>
      </c>
      <c r="S146" s="20">
        <f>T!G6</f>
        <v>0</v>
      </c>
      <c r="T146" s="20">
        <f>U!G6</f>
        <v>0</v>
      </c>
      <c r="U146" s="20">
        <f>V!G6</f>
        <v>0</v>
      </c>
      <c r="V146" s="20">
        <f>W!G6</f>
        <v>0</v>
      </c>
      <c r="W146" s="20">
        <f>X!G6</f>
        <v>0</v>
      </c>
      <c r="X146" s="21">
        <f t="shared" si="295"/>
        <v>175</v>
      </c>
      <c r="Y146" s="22">
        <f t="shared" ref="Y146:Y152" si="319">IF(AW146=0,0,X146/AW146)</f>
        <v>43.75</v>
      </c>
      <c r="Z146" s="122" t="str">
        <f t="shared" si="202"/>
        <v>ERIC</v>
      </c>
      <c r="AA146" s="17">
        <f t="shared" si="296"/>
        <v>1</v>
      </c>
      <c r="AB146">
        <f t="shared" si="297"/>
        <v>1</v>
      </c>
      <c r="AC146">
        <f t="shared" si="298"/>
        <v>1</v>
      </c>
      <c r="AD146">
        <f t="shared" si="299"/>
        <v>1</v>
      </c>
      <c r="AE146">
        <f t="shared" si="300"/>
        <v>0</v>
      </c>
      <c r="AF146">
        <f t="shared" si="301"/>
        <v>0</v>
      </c>
      <c r="AG146">
        <f t="shared" si="302"/>
        <v>0</v>
      </c>
      <c r="AH146">
        <f t="shared" si="303"/>
        <v>0</v>
      </c>
      <c r="AI146">
        <f t="shared" si="304"/>
        <v>0</v>
      </c>
      <c r="AJ146">
        <f t="shared" si="305"/>
        <v>0</v>
      </c>
      <c r="AK146">
        <f t="shared" si="306"/>
        <v>0</v>
      </c>
      <c r="AL146">
        <f t="shared" si="307"/>
        <v>0</v>
      </c>
      <c r="AM146">
        <f t="shared" si="308"/>
        <v>0</v>
      </c>
      <c r="AN146">
        <f t="shared" si="309"/>
        <v>0</v>
      </c>
      <c r="AO146">
        <f t="shared" si="310"/>
        <v>0</v>
      </c>
      <c r="AP146">
        <f t="shared" si="311"/>
        <v>0</v>
      </c>
      <c r="AQ146">
        <f t="shared" si="312"/>
        <v>0</v>
      </c>
      <c r="AR146">
        <f t="shared" si="313"/>
        <v>0</v>
      </c>
      <c r="AS146">
        <f t="shared" si="314"/>
        <v>0</v>
      </c>
      <c r="AT146">
        <f t="shared" si="315"/>
        <v>0</v>
      </c>
      <c r="AU146">
        <f t="shared" si="316"/>
        <v>0</v>
      </c>
      <c r="AV146">
        <f t="shared" si="317"/>
        <v>0</v>
      </c>
      <c r="AW146" s="23">
        <f t="shared" si="318"/>
        <v>4</v>
      </c>
      <c r="AX146" s="24">
        <f t="shared" ref="AX146:AX152" si="320">IF(X146=0,0,X146)</f>
        <v>175</v>
      </c>
      <c r="AY146" s="121" t="str">
        <f t="shared" ref="AY146:AY152" si="321">IF(X146=0,0,A146)</f>
        <v>ERIC</v>
      </c>
      <c r="AZ146" s="124" t="str">
        <f t="shared" ref="AZ146:AZ152" si="322">IF(AX146=0,0,A$144)</f>
        <v>SPAM FO LUNCH</v>
      </c>
      <c r="BA146" s="199">
        <v>0</v>
      </c>
      <c r="BB146" s="198">
        <v>0</v>
      </c>
      <c r="BC146" s="200">
        <v>0</v>
      </c>
      <c r="BD146" s="24"/>
      <c r="BE146" s="23"/>
      <c r="BF146" s="203"/>
      <c r="BG146" s="204"/>
    </row>
    <row r="147" spans="1:59">
      <c r="A147" s="19" t="str">
        <f>B!$E$28</f>
        <v>SABRINA</v>
      </c>
      <c r="B147" s="20">
        <f>'C'!G7</f>
        <v>29</v>
      </c>
      <c r="C147" s="20">
        <f>D!G7</f>
        <v>46</v>
      </c>
      <c r="D147" s="20">
        <f>E!G7</f>
        <v>39</v>
      </c>
      <c r="E147" s="20">
        <f>F!G7</f>
        <v>29</v>
      </c>
      <c r="F147" s="20">
        <f>G!G7</f>
        <v>0</v>
      </c>
      <c r="G147" s="20">
        <f>H!G7</f>
        <v>0</v>
      </c>
      <c r="H147" s="20">
        <f>I!G7</f>
        <v>0</v>
      </c>
      <c r="I147" s="20">
        <f>J!G7</f>
        <v>0</v>
      </c>
      <c r="J147" s="20">
        <f>K!G7</f>
        <v>0</v>
      </c>
      <c r="K147" s="20">
        <f>L!G7</f>
        <v>0</v>
      </c>
      <c r="L147" s="20">
        <f>M!G7</f>
        <v>0</v>
      </c>
      <c r="M147" s="20">
        <f>N!G7</f>
        <v>0</v>
      </c>
      <c r="N147" s="20">
        <f>O!G7</f>
        <v>0</v>
      </c>
      <c r="O147" s="20">
        <f>P!G7</f>
        <v>0</v>
      </c>
      <c r="P147" s="20">
        <f>Q!G7</f>
        <v>0</v>
      </c>
      <c r="Q147" s="20">
        <f>'R'!G7</f>
        <v>0</v>
      </c>
      <c r="R147" s="20">
        <f>S!G7</f>
        <v>0</v>
      </c>
      <c r="S147" s="20">
        <f>T!G7</f>
        <v>0</v>
      </c>
      <c r="T147" s="20">
        <f>U!G7</f>
        <v>0</v>
      </c>
      <c r="U147" s="20">
        <f>V!G7</f>
        <v>0</v>
      </c>
      <c r="V147" s="20">
        <f>W!G7</f>
        <v>0</v>
      </c>
      <c r="W147" s="20">
        <f>X!G7</f>
        <v>0</v>
      </c>
      <c r="X147" s="21">
        <f t="shared" si="295"/>
        <v>143</v>
      </c>
      <c r="Y147" s="22">
        <f t="shared" si="319"/>
        <v>35.75</v>
      </c>
      <c r="Z147" s="122" t="str">
        <f t="shared" si="202"/>
        <v>SABRINA</v>
      </c>
      <c r="AA147" s="17">
        <f t="shared" si="296"/>
        <v>1</v>
      </c>
      <c r="AB147">
        <f t="shared" si="297"/>
        <v>1</v>
      </c>
      <c r="AC147">
        <f t="shared" si="298"/>
        <v>1</v>
      </c>
      <c r="AD147">
        <f t="shared" si="299"/>
        <v>1</v>
      </c>
      <c r="AE147">
        <f t="shared" si="300"/>
        <v>0</v>
      </c>
      <c r="AF147">
        <f t="shared" si="301"/>
        <v>0</v>
      </c>
      <c r="AG147">
        <f t="shared" si="302"/>
        <v>0</v>
      </c>
      <c r="AH147">
        <f t="shared" si="303"/>
        <v>0</v>
      </c>
      <c r="AI147">
        <f t="shared" si="304"/>
        <v>0</v>
      </c>
      <c r="AJ147">
        <f t="shared" si="305"/>
        <v>0</v>
      </c>
      <c r="AK147">
        <f t="shared" si="306"/>
        <v>0</v>
      </c>
      <c r="AL147">
        <f t="shared" si="307"/>
        <v>0</v>
      </c>
      <c r="AM147">
        <f t="shared" si="308"/>
        <v>0</v>
      </c>
      <c r="AN147">
        <f t="shared" si="309"/>
        <v>0</v>
      </c>
      <c r="AO147">
        <f t="shared" si="310"/>
        <v>0</v>
      </c>
      <c r="AP147">
        <f t="shared" si="311"/>
        <v>0</v>
      </c>
      <c r="AQ147">
        <f t="shared" si="312"/>
        <v>0</v>
      </c>
      <c r="AR147">
        <f t="shared" si="313"/>
        <v>0</v>
      </c>
      <c r="AS147">
        <f t="shared" si="314"/>
        <v>0</v>
      </c>
      <c r="AT147">
        <f t="shared" si="315"/>
        <v>0</v>
      </c>
      <c r="AU147">
        <f t="shared" si="316"/>
        <v>0</v>
      </c>
      <c r="AV147">
        <f t="shared" si="317"/>
        <v>0</v>
      </c>
      <c r="AW147" s="23">
        <f t="shared" si="318"/>
        <v>4</v>
      </c>
      <c r="AX147" s="24">
        <f t="shared" si="320"/>
        <v>143</v>
      </c>
      <c r="AY147" s="121" t="str">
        <f t="shared" si="321"/>
        <v>SABRINA</v>
      </c>
      <c r="AZ147" s="124" t="str">
        <f t="shared" si="322"/>
        <v>SPAM FO LUNCH</v>
      </c>
      <c r="BA147" s="199">
        <v>0</v>
      </c>
      <c r="BB147" s="198">
        <v>0</v>
      </c>
      <c r="BC147" s="200">
        <v>0</v>
      </c>
      <c r="BD147" s="24"/>
      <c r="BE147" s="23"/>
      <c r="BF147" s="203"/>
      <c r="BG147" s="204"/>
    </row>
    <row r="148" spans="1:59">
      <c r="A148" s="19" t="str">
        <f>B!$E$33</f>
        <v>NICK</v>
      </c>
      <c r="B148" s="20">
        <f>'C'!G8</f>
        <v>39</v>
      </c>
      <c r="C148" s="20">
        <f>D!G8</f>
        <v>35</v>
      </c>
      <c r="D148" s="20">
        <f>E!G8</f>
        <v>33</v>
      </c>
      <c r="E148" s="20">
        <f>F!G8</f>
        <v>34</v>
      </c>
      <c r="F148" s="20">
        <f>G!G8</f>
        <v>0</v>
      </c>
      <c r="G148" s="20">
        <f>H!G8</f>
        <v>0</v>
      </c>
      <c r="H148" s="20">
        <f>I!G8</f>
        <v>0</v>
      </c>
      <c r="I148" s="20">
        <f>J!G8</f>
        <v>0</v>
      </c>
      <c r="J148" s="20">
        <f>K!G8</f>
        <v>0</v>
      </c>
      <c r="K148" s="20">
        <f>L!G8</f>
        <v>0</v>
      </c>
      <c r="L148" s="20">
        <f>M!G8</f>
        <v>0</v>
      </c>
      <c r="M148" s="20">
        <f>N!G8</f>
        <v>0</v>
      </c>
      <c r="N148" s="20">
        <f>O!G8</f>
        <v>0</v>
      </c>
      <c r="O148" s="20">
        <f>P!G8</f>
        <v>0</v>
      </c>
      <c r="P148" s="20">
        <f>Q!G8</f>
        <v>0</v>
      </c>
      <c r="Q148" s="20">
        <f>'R'!G8</f>
        <v>0</v>
      </c>
      <c r="R148" s="20">
        <f>S!G8</f>
        <v>0</v>
      </c>
      <c r="S148" s="20">
        <f>T!G8</f>
        <v>0</v>
      </c>
      <c r="T148" s="20">
        <f>U!G8</f>
        <v>0</v>
      </c>
      <c r="U148" s="20">
        <f>V!G8</f>
        <v>0</v>
      </c>
      <c r="V148" s="20">
        <f>W!G8</f>
        <v>0</v>
      </c>
      <c r="W148" s="20">
        <f>X!G8</f>
        <v>0</v>
      </c>
      <c r="X148" s="21">
        <f t="shared" si="295"/>
        <v>141</v>
      </c>
      <c r="Y148" s="22">
        <f t="shared" si="319"/>
        <v>35.25</v>
      </c>
      <c r="Z148" s="122" t="str">
        <f t="shared" si="202"/>
        <v>NICK</v>
      </c>
      <c r="AA148" s="17">
        <f t="shared" si="296"/>
        <v>1</v>
      </c>
      <c r="AB148">
        <f t="shared" si="297"/>
        <v>1</v>
      </c>
      <c r="AC148">
        <f t="shared" si="298"/>
        <v>1</v>
      </c>
      <c r="AD148">
        <f t="shared" si="299"/>
        <v>1</v>
      </c>
      <c r="AE148">
        <f t="shared" si="300"/>
        <v>0</v>
      </c>
      <c r="AF148">
        <f t="shared" si="301"/>
        <v>0</v>
      </c>
      <c r="AG148">
        <f t="shared" si="302"/>
        <v>0</v>
      </c>
      <c r="AH148">
        <f t="shared" si="303"/>
        <v>0</v>
      </c>
      <c r="AI148">
        <f t="shared" si="304"/>
        <v>0</v>
      </c>
      <c r="AJ148">
        <f t="shared" si="305"/>
        <v>0</v>
      </c>
      <c r="AK148">
        <f t="shared" si="306"/>
        <v>0</v>
      </c>
      <c r="AL148">
        <f t="shared" si="307"/>
        <v>0</v>
      </c>
      <c r="AM148">
        <f t="shared" si="308"/>
        <v>0</v>
      </c>
      <c r="AN148">
        <f t="shared" si="309"/>
        <v>0</v>
      </c>
      <c r="AO148">
        <f t="shared" si="310"/>
        <v>0</v>
      </c>
      <c r="AP148">
        <f t="shared" si="311"/>
        <v>0</v>
      </c>
      <c r="AQ148">
        <f t="shared" si="312"/>
        <v>0</v>
      </c>
      <c r="AR148">
        <f t="shared" si="313"/>
        <v>0</v>
      </c>
      <c r="AS148">
        <f t="shared" si="314"/>
        <v>0</v>
      </c>
      <c r="AT148">
        <f t="shared" si="315"/>
        <v>0</v>
      </c>
      <c r="AU148">
        <f t="shared" si="316"/>
        <v>0</v>
      </c>
      <c r="AV148">
        <f t="shared" si="317"/>
        <v>0</v>
      </c>
      <c r="AW148" s="23">
        <f t="shared" si="318"/>
        <v>4</v>
      </c>
      <c r="AX148" s="24">
        <f t="shared" si="320"/>
        <v>141</v>
      </c>
      <c r="AY148" s="121" t="str">
        <f t="shared" si="321"/>
        <v>NICK</v>
      </c>
      <c r="AZ148" s="124" t="str">
        <f t="shared" si="322"/>
        <v>SPAM FO LUNCH</v>
      </c>
      <c r="BA148" s="199">
        <v>0</v>
      </c>
      <c r="BB148" s="198">
        <v>0</v>
      </c>
      <c r="BC148" s="200">
        <v>0</v>
      </c>
      <c r="BD148" s="24"/>
      <c r="BE148" s="23"/>
      <c r="BF148" s="203"/>
      <c r="BG148" s="204"/>
    </row>
    <row r="149" spans="1:59">
      <c r="A149" s="19" t="str">
        <f>B!$E$38</f>
        <v>LON</v>
      </c>
      <c r="B149" s="20">
        <f>'C'!G9</f>
        <v>37</v>
      </c>
      <c r="C149" s="20">
        <f>D!G9</f>
        <v>45</v>
      </c>
      <c r="D149" s="20">
        <f>E!G9</f>
        <v>41</v>
      </c>
      <c r="E149" s="20">
        <f>F!G9</f>
        <v>39</v>
      </c>
      <c r="F149" s="20">
        <f>G!G9</f>
        <v>0</v>
      </c>
      <c r="G149" s="20">
        <f>H!G9</f>
        <v>0</v>
      </c>
      <c r="H149" s="20">
        <f>I!G9</f>
        <v>0</v>
      </c>
      <c r="I149" s="20">
        <f>J!G9</f>
        <v>0</v>
      </c>
      <c r="J149" s="20">
        <f>K!G9</f>
        <v>0</v>
      </c>
      <c r="K149" s="20">
        <f>L!G9</f>
        <v>0</v>
      </c>
      <c r="L149" s="20">
        <f>M!G9</f>
        <v>0</v>
      </c>
      <c r="M149" s="20">
        <f>N!G9</f>
        <v>0</v>
      </c>
      <c r="N149" s="20">
        <f>O!G9</f>
        <v>0</v>
      </c>
      <c r="O149" s="20">
        <f>P!G9</f>
        <v>0</v>
      </c>
      <c r="P149" s="20">
        <f>Q!G9</f>
        <v>0</v>
      </c>
      <c r="Q149" s="20">
        <f>'R'!G9</f>
        <v>0</v>
      </c>
      <c r="R149" s="20">
        <f>S!G9</f>
        <v>0</v>
      </c>
      <c r="S149" s="20">
        <f>T!G9</f>
        <v>0</v>
      </c>
      <c r="T149" s="20">
        <f>U!G9</f>
        <v>0</v>
      </c>
      <c r="U149" s="20">
        <f>V!G9</f>
        <v>0</v>
      </c>
      <c r="V149" s="20">
        <f>W!G9</f>
        <v>0</v>
      </c>
      <c r="W149" s="20">
        <f>X!G9</f>
        <v>0</v>
      </c>
      <c r="X149" s="21">
        <f t="shared" si="295"/>
        <v>162</v>
      </c>
      <c r="Y149" s="22">
        <f t="shared" si="319"/>
        <v>40.5</v>
      </c>
      <c r="Z149" s="122" t="str">
        <f t="shared" si="202"/>
        <v>LON</v>
      </c>
      <c r="AA149" s="17">
        <f t="shared" si="296"/>
        <v>1</v>
      </c>
      <c r="AB149">
        <f t="shared" si="297"/>
        <v>1</v>
      </c>
      <c r="AC149">
        <f t="shared" si="298"/>
        <v>1</v>
      </c>
      <c r="AD149">
        <f t="shared" si="299"/>
        <v>1</v>
      </c>
      <c r="AE149">
        <f t="shared" si="300"/>
        <v>0</v>
      </c>
      <c r="AF149">
        <f t="shared" si="301"/>
        <v>0</v>
      </c>
      <c r="AG149">
        <f t="shared" si="302"/>
        <v>0</v>
      </c>
      <c r="AH149">
        <f t="shared" si="303"/>
        <v>0</v>
      </c>
      <c r="AI149">
        <f t="shared" si="304"/>
        <v>0</v>
      </c>
      <c r="AJ149">
        <f t="shared" si="305"/>
        <v>0</v>
      </c>
      <c r="AK149">
        <f t="shared" si="306"/>
        <v>0</v>
      </c>
      <c r="AL149">
        <f t="shared" si="307"/>
        <v>0</v>
      </c>
      <c r="AM149">
        <f t="shared" si="308"/>
        <v>0</v>
      </c>
      <c r="AN149">
        <f t="shared" si="309"/>
        <v>0</v>
      </c>
      <c r="AO149">
        <f t="shared" si="310"/>
        <v>0</v>
      </c>
      <c r="AP149">
        <f t="shared" si="311"/>
        <v>0</v>
      </c>
      <c r="AQ149">
        <f t="shared" si="312"/>
        <v>0</v>
      </c>
      <c r="AR149">
        <f t="shared" si="313"/>
        <v>0</v>
      </c>
      <c r="AS149">
        <f t="shared" si="314"/>
        <v>0</v>
      </c>
      <c r="AT149">
        <f t="shared" si="315"/>
        <v>0</v>
      </c>
      <c r="AU149">
        <f t="shared" si="316"/>
        <v>0</v>
      </c>
      <c r="AV149">
        <f t="shared" si="317"/>
        <v>0</v>
      </c>
      <c r="AW149" s="23">
        <f t="shared" si="318"/>
        <v>4</v>
      </c>
      <c r="AX149" s="24">
        <f t="shared" si="320"/>
        <v>162</v>
      </c>
      <c r="AY149" s="121" t="str">
        <f t="shared" si="321"/>
        <v>LON</v>
      </c>
      <c r="AZ149" s="124" t="str">
        <f t="shared" si="322"/>
        <v>SPAM FO LUNCH</v>
      </c>
      <c r="BA149" s="199">
        <v>0</v>
      </c>
      <c r="BB149" s="198">
        <v>0</v>
      </c>
      <c r="BC149" s="200">
        <v>0</v>
      </c>
      <c r="BD149" s="24"/>
      <c r="BE149" s="23"/>
      <c r="BF149" s="203"/>
      <c r="BG149" s="204"/>
    </row>
    <row r="150" spans="1:59">
      <c r="A150" s="19">
        <f>B!$E$43</f>
        <v>0</v>
      </c>
      <c r="B150" s="20">
        <f>'C'!G10</f>
        <v>0</v>
      </c>
      <c r="C150" s="20">
        <f>D!G10</f>
        <v>0</v>
      </c>
      <c r="D150" s="20">
        <f>E!G10</f>
        <v>0</v>
      </c>
      <c r="E150" s="20">
        <f>F!G10</f>
        <v>0</v>
      </c>
      <c r="F150" s="20">
        <f>G!G10</f>
        <v>0</v>
      </c>
      <c r="G150" s="20">
        <f>H!G10</f>
        <v>0</v>
      </c>
      <c r="H150" s="20">
        <f>I!G10</f>
        <v>0</v>
      </c>
      <c r="I150" s="20">
        <f>J!G10</f>
        <v>0</v>
      </c>
      <c r="J150" s="20">
        <f>K!G10</f>
        <v>0</v>
      </c>
      <c r="K150" s="20">
        <f>L!G10</f>
        <v>0</v>
      </c>
      <c r="L150" s="20">
        <f>M!G10</f>
        <v>0</v>
      </c>
      <c r="M150" s="20">
        <f>N!G10</f>
        <v>0</v>
      </c>
      <c r="N150" s="20">
        <f>O!G10</f>
        <v>0</v>
      </c>
      <c r="O150" s="20">
        <f>P!G10</f>
        <v>0</v>
      </c>
      <c r="P150" s="20">
        <f>Q!G10</f>
        <v>0</v>
      </c>
      <c r="Q150" s="20">
        <f>'R'!G10</f>
        <v>0</v>
      </c>
      <c r="R150" s="20">
        <f>S!G10</f>
        <v>0</v>
      </c>
      <c r="S150" s="20">
        <f>T!G10</f>
        <v>0</v>
      </c>
      <c r="T150" s="20">
        <f>U!G10</f>
        <v>0</v>
      </c>
      <c r="U150" s="20">
        <f>V!G10</f>
        <v>0</v>
      </c>
      <c r="V150" s="20">
        <f>W!G10</f>
        <v>0</v>
      </c>
      <c r="W150" s="20">
        <f>X!G10</f>
        <v>0</v>
      </c>
      <c r="X150" s="21">
        <f t="shared" si="295"/>
        <v>0</v>
      </c>
      <c r="Y150" s="22">
        <f t="shared" si="319"/>
        <v>0</v>
      </c>
      <c r="Z150" s="122">
        <f t="shared" si="202"/>
        <v>0</v>
      </c>
      <c r="AA150" s="17">
        <f t="shared" si="296"/>
        <v>0</v>
      </c>
      <c r="AB150">
        <f t="shared" si="297"/>
        <v>0</v>
      </c>
      <c r="AC150">
        <f t="shared" si="298"/>
        <v>0</v>
      </c>
      <c r="AD150">
        <f t="shared" si="299"/>
        <v>0</v>
      </c>
      <c r="AE150">
        <f t="shared" si="300"/>
        <v>0</v>
      </c>
      <c r="AF150">
        <f t="shared" si="301"/>
        <v>0</v>
      </c>
      <c r="AG150">
        <f t="shared" si="302"/>
        <v>0</v>
      </c>
      <c r="AH150">
        <f t="shared" si="303"/>
        <v>0</v>
      </c>
      <c r="AI150">
        <f t="shared" si="304"/>
        <v>0</v>
      </c>
      <c r="AJ150">
        <f t="shared" si="305"/>
        <v>0</v>
      </c>
      <c r="AK150">
        <f t="shared" si="306"/>
        <v>0</v>
      </c>
      <c r="AL150">
        <f t="shared" si="307"/>
        <v>0</v>
      </c>
      <c r="AM150">
        <f t="shared" si="308"/>
        <v>0</v>
      </c>
      <c r="AN150">
        <f t="shared" si="309"/>
        <v>0</v>
      </c>
      <c r="AO150">
        <f t="shared" si="310"/>
        <v>0</v>
      </c>
      <c r="AP150">
        <f t="shared" si="311"/>
        <v>0</v>
      </c>
      <c r="AQ150">
        <f t="shared" si="312"/>
        <v>0</v>
      </c>
      <c r="AR150">
        <f t="shared" si="313"/>
        <v>0</v>
      </c>
      <c r="AS150">
        <f t="shared" si="314"/>
        <v>0</v>
      </c>
      <c r="AT150">
        <f t="shared" si="315"/>
        <v>0</v>
      </c>
      <c r="AU150">
        <f t="shared" si="316"/>
        <v>0</v>
      </c>
      <c r="AV150">
        <f t="shared" si="317"/>
        <v>0</v>
      </c>
      <c r="AW150" s="23">
        <f t="shared" si="318"/>
        <v>0</v>
      </c>
      <c r="AX150" s="24">
        <f t="shared" si="320"/>
        <v>0</v>
      </c>
      <c r="AY150" s="121">
        <f t="shared" si="321"/>
        <v>0</v>
      </c>
      <c r="AZ150" s="124">
        <f t="shared" si="322"/>
        <v>0</v>
      </c>
      <c r="BA150" s="199">
        <v>0</v>
      </c>
      <c r="BB150" s="198">
        <v>0</v>
      </c>
      <c r="BC150" s="200">
        <v>0</v>
      </c>
      <c r="BD150" s="24"/>
      <c r="BE150" s="23"/>
      <c r="BF150" s="203"/>
      <c r="BG150" s="204"/>
    </row>
    <row r="151" spans="1:59">
      <c r="A151" s="19">
        <f>B!$E$48</f>
        <v>0</v>
      </c>
      <c r="B151" s="20">
        <f>'C'!G11</f>
        <v>0</v>
      </c>
      <c r="C151" s="20">
        <f>D!G11</f>
        <v>0</v>
      </c>
      <c r="D151" s="20">
        <f>E!G11</f>
        <v>0</v>
      </c>
      <c r="E151" s="20">
        <f>F!G11</f>
        <v>0</v>
      </c>
      <c r="F151" s="20">
        <f>G!G11</f>
        <v>0</v>
      </c>
      <c r="G151" s="20">
        <f>H!G11</f>
        <v>0</v>
      </c>
      <c r="H151" s="20">
        <f>I!G11</f>
        <v>0</v>
      </c>
      <c r="I151" s="20">
        <f>J!G11</f>
        <v>0</v>
      </c>
      <c r="J151" s="20">
        <f>K!G11</f>
        <v>0</v>
      </c>
      <c r="K151" s="20">
        <f>L!G11</f>
        <v>0</v>
      </c>
      <c r="L151" s="20">
        <f>M!G11</f>
        <v>0</v>
      </c>
      <c r="M151" s="20">
        <f>N!G11</f>
        <v>0</v>
      </c>
      <c r="N151" s="20">
        <f>O!G11</f>
        <v>0</v>
      </c>
      <c r="O151" s="20">
        <f>P!G11</f>
        <v>0</v>
      </c>
      <c r="P151" s="20">
        <f>Q!G11</f>
        <v>0</v>
      </c>
      <c r="Q151" s="20">
        <f>'R'!G11</f>
        <v>0</v>
      </c>
      <c r="R151" s="20">
        <f>S!G11</f>
        <v>0</v>
      </c>
      <c r="S151" s="20">
        <f>T!G11</f>
        <v>0</v>
      </c>
      <c r="T151" s="20">
        <f>U!G11</f>
        <v>0</v>
      </c>
      <c r="U151" s="20">
        <f>V!G11</f>
        <v>0</v>
      </c>
      <c r="V151" s="20">
        <f>W!G11</f>
        <v>0</v>
      </c>
      <c r="W151" s="20">
        <f>X!G11</f>
        <v>0</v>
      </c>
      <c r="X151" s="21">
        <f t="shared" si="295"/>
        <v>0</v>
      </c>
      <c r="Y151" s="22">
        <f t="shared" si="319"/>
        <v>0</v>
      </c>
      <c r="Z151" s="122">
        <f t="shared" si="202"/>
        <v>0</v>
      </c>
      <c r="AA151" s="17">
        <f t="shared" si="296"/>
        <v>0</v>
      </c>
      <c r="AB151">
        <f t="shared" si="297"/>
        <v>0</v>
      </c>
      <c r="AC151">
        <f t="shared" si="298"/>
        <v>0</v>
      </c>
      <c r="AD151">
        <f t="shared" si="299"/>
        <v>0</v>
      </c>
      <c r="AE151">
        <f t="shared" si="300"/>
        <v>0</v>
      </c>
      <c r="AF151">
        <f t="shared" si="301"/>
        <v>0</v>
      </c>
      <c r="AG151">
        <f t="shared" si="302"/>
        <v>0</v>
      </c>
      <c r="AH151">
        <f t="shared" si="303"/>
        <v>0</v>
      </c>
      <c r="AI151">
        <f t="shared" si="304"/>
        <v>0</v>
      </c>
      <c r="AJ151">
        <f t="shared" si="305"/>
        <v>0</v>
      </c>
      <c r="AK151">
        <f t="shared" si="306"/>
        <v>0</v>
      </c>
      <c r="AL151">
        <f t="shared" si="307"/>
        <v>0</v>
      </c>
      <c r="AM151">
        <f t="shared" si="308"/>
        <v>0</v>
      </c>
      <c r="AN151">
        <f t="shared" si="309"/>
        <v>0</v>
      </c>
      <c r="AO151">
        <f t="shared" si="310"/>
        <v>0</v>
      </c>
      <c r="AP151">
        <f t="shared" si="311"/>
        <v>0</v>
      </c>
      <c r="AQ151">
        <f t="shared" si="312"/>
        <v>0</v>
      </c>
      <c r="AR151">
        <f t="shared" si="313"/>
        <v>0</v>
      </c>
      <c r="AS151">
        <f t="shared" si="314"/>
        <v>0</v>
      </c>
      <c r="AT151">
        <f t="shared" si="315"/>
        <v>0</v>
      </c>
      <c r="AU151">
        <f t="shared" si="316"/>
        <v>0</v>
      </c>
      <c r="AV151">
        <f t="shared" si="317"/>
        <v>0</v>
      </c>
      <c r="AW151" s="23">
        <f t="shared" si="318"/>
        <v>0</v>
      </c>
      <c r="AX151" s="24">
        <f t="shared" si="320"/>
        <v>0</v>
      </c>
      <c r="AY151" s="121">
        <f t="shared" si="321"/>
        <v>0</v>
      </c>
      <c r="AZ151" s="124">
        <f t="shared" si="322"/>
        <v>0</v>
      </c>
      <c r="BA151" s="199">
        <v>0</v>
      </c>
      <c r="BB151" s="198">
        <v>0</v>
      </c>
      <c r="BC151" s="200">
        <v>0</v>
      </c>
      <c r="BD151" s="24"/>
      <c r="BE151" s="23"/>
      <c r="BF151" s="203"/>
      <c r="BG151" s="204"/>
    </row>
    <row r="152" spans="1:59" ht="15.75" thickBot="1">
      <c r="A152" s="19">
        <f>B!$E$53</f>
        <v>0</v>
      </c>
      <c r="B152" s="20">
        <f>'C'!G12</f>
        <v>0</v>
      </c>
      <c r="C152" s="20">
        <f>D!G12</f>
        <v>0</v>
      </c>
      <c r="D152" s="20">
        <f>E!G12</f>
        <v>0</v>
      </c>
      <c r="E152" s="20">
        <f>F!G12</f>
        <v>0</v>
      </c>
      <c r="F152" s="20">
        <f>G!G12</f>
        <v>0</v>
      </c>
      <c r="G152" s="20">
        <f>H!G12</f>
        <v>0</v>
      </c>
      <c r="H152" s="20">
        <f>I!G12</f>
        <v>0</v>
      </c>
      <c r="I152" s="20">
        <f>J!G12</f>
        <v>0</v>
      </c>
      <c r="J152" s="20">
        <f>K!G12</f>
        <v>0</v>
      </c>
      <c r="K152" s="20">
        <f>L!G12</f>
        <v>0</v>
      </c>
      <c r="L152" s="20">
        <f>M!G12</f>
        <v>0</v>
      </c>
      <c r="M152" s="20">
        <f>N!G12</f>
        <v>0</v>
      </c>
      <c r="N152" s="20">
        <f>O!G12</f>
        <v>0</v>
      </c>
      <c r="O152" s="20">
        <f>P!G12</f>
        <v>0</v>
      </c>
      <c r="P152" s="20">
        <f>Q!G12</f>
        <v>0</v>
      </c>
      <c r="Q152" s="20">
        <f>'R'!G12</f>
        <v>0</v>
      </c>
      <c r="R152" s="20">
        <f>S!G12</f>
        <v>0</v>
      </c>
      <c r="S152" s="20">
        <f>T!G12</f>
        <v>0</v>
      </c>
      <c r="T152" s="20">
        <f>U!G12</f>
        <v>0</v>
      </c>
      <c r="U152" s="20">
        <f>V!G12</f>
        <v>0</v>
      </c>
      <c r="V152" s="20">
        <f>W!G12</f>
        <v>0</v>
      </c>
      <c r="W152" s="20">
        <f>X!G12</f>
        <v>0</v>
      </c>
      <c r="X152" s="21">
        <f t="shared" si="295"/>
        <v>0</v>
      </c>
      <c r="Y152" s="22">
        <f t="shared" si="319"/>
        <v>0</v>
      </c>
      <c r="Z152" s="122">
        <f t="shared" si="202"/>
        <v>0</v>
      </c>
      <c r="AA152" s="17">
        <f t="shared" si="296"/>
        <v>0</v>
      </c>
      <c r="AB152">
        <f t="shared" si="297"/>
        <v>0</v>
      </c>
      <c r="AC152">
        <f t="shared" si="298"/>
        <v>0</v>
      </c>
      <c r="AD152">
        <f t="shared" si="299"/>
        <v>0</v>
      </c>
      <c r="AE152">
        <f t="shared" si="300"/>
        <v>0</v>
      </c>
      <c r="AF152">
        <f t="shared" si="301"/>
        <v>0</v>
      </c>
      <c r="AG152">
        <f t="shared" si="302"/>
        <v>0</v>
      </c>
      <c r="AH152">
        <f t="shared" si="303"/>
        <v>0</v>
      </c>
      <c r="AI152">
        <f t="shared" si="304"/>
        <v>0</v>
      </c>
      <c r="AJ152">
        <f t="shared" si="305"/>
        <v>0</v>
      </c>
      <c r="AK152">
        <f t="shared" si="306"/>
        <v>0</v>
      </c>
      <c r="AL152">
        <f t="shared" si="307"/>
        <v>0</v>
      </c>
      <c r="AM152">
        <f t="shared" si="308"/>
        <v>0</v>
      </c>
      <c r="AN152">
        <f t="shared" si="309"/>
        <v>0</v>
      </c>
      <c r="AO152">
        <f t="shared" si="310"/>
        <v>0</v>
      </c>
      <c r="AP152">
        <f t="shared" si="311"/>
        <v>0</v>
      </c>
      <c r="AQ152">
        <f t="shared" si="312"/>
        <v>0</v>
      </c>
      <c r="AR152">
        <f t="shared" si="313"/>
        <v>0</v>
      </c>
      <c r="AS152">
        <f t="shared" si="314"/>
        <v>0</v>
      </c>
      <c r="AT152">
        <f t="shared" si="315"/>
        <v>0</v>
      </c>
      <c r="AU152">
        <f t="shared" si="316"/>
        <v>0</v>
      </c>
      <c r="AV152">
        <f t="shared" si="317"/>
        <v>0</v>
      </c>
      <c r="AW152" s="23">
        <f t="shared" si="318"/>
        <v>0</v>
      </c>
      <c r="AX152" s="24">
        <f t="shared" si="320"/>
        <v>0</v>
      </c>
      <c r="AY152" s="121">
        <f t="shared" si="321"/>
        <v>0</v>
      </c>
      <c r="AZ152" s="124">
        <f t="shared" si="322"/>
        <v>0</v>
      </c>
      <c r="BA152" s="199">
        <v>0</v>
      </c>
      <c r="BB152" s="198">
        <v>0</v>
      </c>
      <c r="BC152" s="200">
        <v>0</v>
      </c>
      <c r="BD152" s="24"/>
      <c r="BE152" s="23"/>
      <c r="BF152" s="203"/>
      <c r="BG152" s="204"/>
    </row>
    <row r="153" spans="1:59" ht="15.75" thickTop="1">
      <c r="A153" s="133" t="s">
        <v>134</v>
      </c>
      <c r="B153" s="134">
        <f t="shared" ref="B153:W153" si="323">SUM(B145:B152)</f>
        <v>177</v>
      </c>
      <c r="C153" s="134">
        <f t="shared" si="323"/>
        <v>222</v>
      </c>
      <c r="D153" s="134">
        <f t="shared" si="323"/>
        <v>197</v>
      </c>
      <c r="E153" s="134">
        <f t="shared" si="323"/>
        <v>186</v>
      </c>
      <c r="F153" s="134">
        <f t="shared" si="323"/>
        <v>0</v>
      </c>
      <c r="G153" s="134">
        <f t="shared" si="323"/>
        <v>0</v>
      </c>
      <c r="H153" s="134">
        <f t="shared" si="323"/>
        <v>0</v>
      </c>
      <c r="I153" s="134">
        <f t="shared" si="323"/>
        <v>0</v>
      </c>
      <c r="J153" s="134">
        <f t="shared" si="323"/>
        <v>0</v>
      </c>
      <c r="K153" s="134">
        <f t="shared" si="323"/>
        <v>0</v>
      </c>
      <c r="L153" s="134">
        <f t="shared" si="323"/>
        <v>0</v>
      </c>
      <c r="M153" s="134">
        <f t="shared" si="323"/>
        <v>0</v>
      </c>
      <c r="N153" s="134">
        <f t="shared" si="323"/>
        <v>0</v>
      </c>
      <c r="O153" s="134">
        <f t="shared" si="323"/>
        <v>0</v>
      </c>
      <c r="P153" s="134">
        <f t="shared" si="323"/>
        <v>0</v>
      </c>
      <c r="Q153" s="134">
        <f t="shared" si="323"/>
        <v>0</v>
      </c>
      <c r="R153" s="134">
        <f t="shared" si="323"/>
        <v>0</v>
      </c>
      <c r="S153" s="134">
        <f t="shared" si="323"/>
        <v>0</v>
      </c>
      <c r="T153" s="134">
        <f t="shared" si="323"/>
        <v>0</v>
      </c>
      <c r="U153" s="134">
        <f t="shared" si="323"/>
        <v>0</v>
      </c>
      <c r="V153" s="134">
        <f t="shared" si="323"/>
        <v>0</v>
      </c>
      <c r="W153" s="134">
        <f t="shared" si="323"/>
        <v>0</v>
      </c>
      <c r="X153" s="135">
        <f t="shared" si="295"/>
        <v>782</v>
      </c>
      <c r="Y153" s="137">
        <f>IF(X153=0,0,X153/AW153)</f>
        <v>195.5</v>
      </c>
      <c r="Z153" s="122"/>
      <c r="AA153" s="138">
        <f t="shared" ref="AA153:AV153" si="324">SUM(AA145:AA152)</f>
        <v>5</v>
      </c>
      <c r="AB153" s="11">
        <f t="shared" si="324"/>
        <v>5</v>
      </c>
      <c r="AC153" s="11">
        <f t="shared" si="324"/>
        <v>5</v>
      </c>
      <c r="AD153" s="11">
        <f t="shared" si="324"/>
        <v>5</v>
      </c>
      <c r="AE153" s="11">
        <f t="shared" si="324"/>
        <v>0</v>
      </c>
      <c r="AF153" s="11">
        <f t="shared" si="324"/>
        <v>0</v>
      </c>
      <c r="AG153" s="11">
        <f t="shared" si="324"/>
        <v>0</v>
      </c>
      <c r="AH153" s="11">
        <f t="shared" si="324"/>
        <v>0</v>
      </c>
      <c r="AI153" s="11">
        <f t="shared" si="324"/>
        <v>0</v>
      </c>
      <c r="AJ153" s="11">
        <f t="shared" si="324"/>
        <v>0</v>
      </c>
      <c r="AK153" s="11">
        <f t="shared" si="324"/>
        <v>0</v>
      </c>
      <c r="AL153" s="11">
        <f t="shared" si="324"/>
        <v>0</v>
      </c>
      <c r="AM153" s="11">
        <f t="shared" si="324"/>
        <v>0</v>
      </c>
      <c r="AN153" s="11">
        <f t="shared" si="324"/>
        <v>0</v>
      </c>
      <c r="AO153" s="11">
        <f t="shared" si="324"/>
        <v>0</v>
      </c>
      <c r="AP153" s="11">
        <f t="shared" si="324"/>
        <v>0</v>
      </c>
      <c r="AQ153" s="11">
        <f t="shared" si="324"/>
        <v>0</v>
      </c>
      <c r="AR153" s="11">
        <f t="shared" si="324"/>
        <v>0</v>
      </c>
      <c r="AS153" s="11">
        <f t="shared" si="324"/>
        <v>0</v>
      </c>
      <c r="AT153" s="11">
        <f t="shared" si="324"/>
        <v>0</v>
      </c>
      <c r="AU153" s="11">
        <f t="shared" si="324"/>
        <v>0</v>
      </c>
      <c r="AV153" s="11">
        <f t="shared" si="324"/>
        <v>0</v>
      </c>
      <c r="AW153" s="12">
        <f>MAXA(AW145:AW152)</f>
        <v>4</v>
      </c>
      <c r="AX153" s="24"/>
      <c r="AZ153" s="124"/>
      <c r="BA153" s="199">
        <v>0</v>
      </c>
      <c r="BB153" s="198">
        <v>0</v>
      </c>
      <c r="BC153" s="200">
        <v>0</v>
      </c>
      <c r="BD153" s="24"/>
      <c r="BE153" s="23"/>
      <c r="BF153" s="203"/>
      <c r="BG153" s="204"/>
    </row>
    <row r="154" spans="1:59" ht="16.5" thickBot="1">
      <c r="A154" s="105" t="s">
        <v>189</v>
      </c>
      <c r="B154" s="20">
        <f>'C'!G13</f>
        <v>0</v>
      </c>
      <c r="C154" s="20">
        <f>D!G13</f>
        <v>20.7</v>
      </c>
      <c r="D154" s="20">
        <f>E!G13</f>
        <v>0</v>
      </c>
      <c r="E154" s="20">
        <f>F!G13</f>
        <v>0</v>
      </c>
      <c r="F154" s="20">
        <f>G!G13</f>
        <v>0</v>
      </c>
      <c r="G154" s="20">
        <f>H!G13</f>
        <v>0</v>
      </c>
      <c r="H154" s="20">
        <f>I!G13</f>
        <v>0</v>
      </c>
      <c r="I154" s="20">
        <f>J!G13</f>
        <v>0</v>
      </c>
      <c r="J154" s="20">
        <f>K!G13</f>
        <v>0</v>
      </c>
      <c r="K154" s="20">
        <f>L!G13</f>
        <v>0</v>
      </c>
      <c r="L154" s="20">
        <f>M!G13</f>
        <v>0</v>
      </c>
      <c r="M154" s="20">
        <f>N!G13</f>
        <v>0</v>
      </c>
      <c r="N154" s="20">
        <f>O!G13</f>
        <v>0</v>
      </c>
      <c r="O154" s="20">
        <f>P!G13</f>
        <v>0</v>
      </c>
      <c r="P154" s="20">
        <f>Q!G13</f>
        <v>0</v>
      </c>
      <c r="Q154" s="20">
        <f>'R'!G13</f>
        <v>0</v>
      </c>
      <c r="R154" s="20">
        <f>S!G13</f>
        <v>0</v>
      </c>
      <c r="S154" s="20">
        <f>T!G13</f>
        <v>0</v>
      </c>
      <c r="T154" s="20">
        <f>U!G13</f>
        <v>0</v>
      </c>
      <c r="U154" s="20">
        <f>V!G13</f>
        <v>0</v>
      </c>
      <c r="V154" s="20">
        <f>W!G13</f>
        <v>0</v>
      </c>
      <c r="W154" s="20">
        <f>X!G13</f>
        <v>0</v>
      </c>
      <c r="X154" s="21">
        <f t="shared" si="295"/>
        <v>20.7</v>
      </c>
      <c r="Y154" s="120"/>
      <c r="Z154" s="122"/>
      <c r="AA154" s="17"/>
      <c r="AW154" s="23"/>
      <c r="AX154" s="24"/>
      <c r="AZ154" s="124"/>
      <c r="BA154" s="199">
        <v>0</v>
      </c>
      <c r="BB154" s="198">
        <v>0</v>
      </c>
      <c r="BC154" s="200">
        <v>0</v>
      </c>
      <c r="BD154" s="24"/>
      <c r="BE154" s="23"/>
      <c r="BF154" s="203"/>
      <c r="BG154" s="204"/>
    </row>
    <row r="155" spans="1:59" ht="16.5" thickTop="1" thickBot="1">
      <c r="A155" s="100" t="s">
        <v>53</v>
      </c>
      <c r="B155" s="68">
        <f t="shared" ref="B155:W155" si="325">SUM(B153:B154)</f>
        <v>177</v>
      </c>
      <c r="C155" s="68">
        <f t="shared" si="325"/>
        <v>242.7</v>
      </c>
      <c r="D155" s="68">
        <f t="shared" si="325"/>
        <v>197</v>
      </c>
      <c r="E155" s="68">
        <f t="shared" si="325"/>
        <v>186</v>
      </c>
      <c r="F155" s="68">
        <f t="shared" si="325"/>
        <v>0</v>
      </c>
      <c r="G155" s="68">
        <f t="shared" si="325"/>
        <v>0</v>
      </c>
      <c r="H155" s="68">
        <f t="shared" si="325"/>
        <v>0</v>
      </c>
      <c r="I155" s="68">
        <f t="shared" si="325"/>
        <v>0</v>
      </c>
      <c r="J155" s="68">
        <f t="shared" si="325"/>
        <v>0</v>
      </c>
      <c r="K155" s="68">
        <f t="shared" si="325"/>
        <v>0</v>
      </c>
      <c r="L155" s="68">
        <f t="shared" si="325"/>
        <v>0</v>
      </c>
      <c r="M155" s="68">
        <f t="shared" si="325"/>
        <v>0</v>
      </c>
      <c r="N155" s="68">
        <f t="shared" si="325"/>
        <v>0</v>
      </c>
      <c r="O155" s="68">
        <f t="shared" si="325"/>
        <v>0</v>
      </c>
      <c r="P155" s="68">
        <f t="shared" si="325"/>
        <v>0</v>
      </c>
      <c r="Q155" s="68">
        <f t="shared" si="325"/>
        <v>0</v>
      </c>
      <c r="R155" s="68">
        <f t="shared" si="325"/>
        <v>0</v>
      </c>
      <c r="S155" s="68">
        <f t="shared" si="325"/>
        <v>0</v>
      </c>
      <c r="T155" s="68">
        <f t="shared" si="325"/>
        <v>0</v>
      </c>
      <c r="U155" s="68">
        <f t="shared" si="325"/>
        <v>0</v>
      </c>
      <c r="V155" s="68">
        <f t="shared" si="325"/>
        <v>0</v>
      </c>
      <c r="W155" s="68">
        <f t="shared" si="325"/>
        <v>0</v>
      </c>
      <c r="X155" s="28">
        <f t="shared" si="295"/>
        <v>802.7</v>
      </c>
      <c r="Y155" s="136"/>
      <c r="Z155" s="122"/>
      <c r="AA155" s="17"/>
      <c r="AW155" s="23"/>
      <c r="AX155" s="24"/>
      <c r="AZ155" s="124"/>
      <c r="BA155" s="199">
        <v>0</v>
      </c>
      <c r="BB155" s="198">
        <v>0</v>
      </c>
      <c r="BC155" s="200">
        <v>0</v>
      </c>
      <c r="BD155" s="24">
        <f>X155</f>
        <v>802.7</v>
      </c>
      <c r="BE155" s="23" t="str">
        <f>A144</f>
        <v>SPAM FO LUNCH</v>
      </c>
      <c r="BF155" s="203"/>
      <c r="BG155" s="204"/>
    </row>
    <row r="156" spans="1:59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22"/>
      <c r="AA156" s="17"/>
      <c r="AW156" s="23"/>
      <c r="AX156" s="24"/>
      <c r="AZ156" s="124"/>
      <c r="BA156" s="199">
        <v>0</v>
      </c>
      <c r="BB156" s="198">
        <v>0</v>
      </c>
      <c r="BC156" s="200">
        <v>0</v>
      </c>
      <c r="BD156" s="24"/>
      <c r="BE156" s="23"/>
      <c r="BF156" s="203"/>
      <c r="BG156" s="204"/>
    </row>
    <row r="157" spans="1:59" ht="15.75" thickBot="1">
      <c r="A157" s="7" t="s">
        <v>64</v>
      </c>
      <c r="B157" s="8" t="s">
        <v>27</v>
      </c>
      <c r="C157" s="8" t="s">
        <v>28</v>
      </c>
      <c r="D157" s="8" t="s">
        <v>29</v>
      </c>
      <c r="E157" s="8" t="s">
        <v>30</v>
      </c>
      <c r="F157" s="8" t="s">
        <v>31</v>
      </c>
      <c r="G157" s="8" t="s">
        <v>32</v>
      </c>
      <c r="H157" s="8" t="s">
        <v>33</v>
      </c>
      <c r="I157" s="8" t="s">
        <v>34</v>
      </c>
      <c r="J157" s="8" t="s">
        <v>35</v>
      </c>
      <c r="K157" s="8" t="s">
        <v>36</v>
      </c>
      <c r="L157" s="8" t="s">
        <v>37</v>
      </c>
      <c r="M157" s="8" t="s">
        <v>38</v>
      </c>
      <c r="N157" s="8" t="s">
        <v>39</v>
      </c>
      <c r="O157" s="8" t="s">
        <v>40</v>
      </c>
      <c r="P157" s="8" t="s">
        <v>41</v>
      </c>
      <c r="Q157" s="8" t="s">
        <v>42</v>
      </c>
      <c r="R157" s="8" t="s">
        <v>43</v>
      </c>
      <c r="S157" s="8" t="s">
        <v>44</v>
      </c>
      <c r="T157" s="8" t="s">
        <v>45</v>
      </c>
      <c r="U157" s="8" t="s">
        <v>46</v>
      </c>
      <c r="V157" s="8" t="s">
        <v>47</v>
      </c>
      <c r="W157" s="8" t="s">
        <v>48</v>
      </c>
      <c r="X157" s="1"/>
      <c r="Y157" s="1"/>
      <c r="Z157" s="3" t="str">
        <f>A157</f>
        <v>Team #12 Name:</v>
      </c>
      <c r="AA157" s="17"/>
      <c r="AW157" s="23"/>
      <c r="AX157" s="24"/>
      <c r="AZ157" s="124"/>
      <c r="BA157" s="199">
        <v>0</v>
      </c>
      <c r="BB157" s="198">
        <v>0</v>
      </c>
      <c r="BC157" s="200">
        <v>0</v>
      </c>
      <c r="BD157" s="24"/>
      <c r="BE157" s="23"/>
      <c r="BF157" s="203"/>
      <c r="BG157" s="204"/>
    </row>
    <row r="158" spans="1:59">
      <c r="A158" s="13" t="str">
        <f>B!$E$59</f>
        <v>BYE</v>
      </c>
      <c r="B158" s="29" t="s">
        <v>50</v>
      </c>
      <c r="C158" s="29" t="s">
        <v>50</v>
      </c>
      <c r="D158" s="29" t="s">
        <v>50</v>
      </c>
      <c r="E158" s="29" t="s">
        <v>50</v>
      </c>
      <c r="F158" s="29" t="s">
        <v>50</v>
      </c>
      <c r="G158" s="29" t="s">
        <v>50</v>
      </c>
      <c r="H158" s="29" t="s">
        <v>50</v>
      </c>
      <c r="I158" s="29" t="s">
        <v>50</v>
      </c>
      <c r="J158" s="29" t="s">
        <v>50</v>
      </c>
      <c r="K158" s="29" t="s">
        <v>50</v>
      </c>
      <c r="L158" s="29" t="s">
        <v>50</v>
      </c>
      <c r="M158" s="29" t="s">
        <v>50</v>
      </c>
      <c r="N158" s="29" t="s">
        <v>50</v>
      </c>
      <c r="O158" s="29" t="s">
        <v>50</v>
      </c>
      <c r="P158" s="29" t="s">
        <v>50</v>
      </c>
      <c r="Q158" s="29" t="s">
        <v>50</v>
      </c>
      <c r="R158" s="29" t="s">
        <v>50</v>
      </c>
      <c r="S158" s="29" t="s">
        <v>50</v>
      </c>
      <c r="T158" s="29" t="s">
        <v>50</v>
      </c>
      <c r="U158" s="29" t="s">
        <v>50</v>
      </c>
      <c r="V158" s="29" t="s">
        <v>50</v>
      </c>
      <c r="W158" s="29" t="s">
        <v>50</v>
      </c>
      <c r="X158" s="15" t="s">
        <v>51</v>
      </c>
      <c r="Y158" s="16" t="s">
        <v>52</v>
      </c>
      <c r="Z158" s="123" t="str">
        <f>A158</f>
        <v>BYE</v>
      </c>
      <c r="AA158" s="17"/>
      <c r="AW158" s="4" t="s">
        <v>97</v>
      </c>
      <c r="AX158" s="24"/>
      <c r="AZ158" s="124"/>
      <c r="BA158" s="199">
        <v>0</v>
      </c>
      <c r="BB158" s="198">
        <v>0</v>
      </c>
      <c r="BC158" s="200">
        <v>0</v>
      </c>
      <c r="BD158" s="24"/>
      <c r="BE158" s="23"/>
      <c r="BF158" s="203"/>
      <c r="BG158" s="204"/>
    </row>
    <row r="159" spans="1:59">
      <c r="A159" s="19">
        <f>B!$E$61</f>
        <v>1</v>
      </c>
      <c r="B159" s="20">
        <f>'C'!G18</f>
        <v>0</v>
      </c>
      <c r="C159" s="20">
        <f>D!G18</f>
        <v>1</v>
      </c>
      <c r="D159" s="20">
        <f>E!G18</f>
        <v>1</v>
      </c>
      <c r="E159" s="20">
        <f>F!G18</f>
        <v>1</v>
      </c>
      <c r="F159" s="20">
        <f>G!G18</f>
        <v>0</v>
      </c>
      <c r="G159" s="20">
        <f>H!G18</f>
        <v>0</v>
      </c>
      <c r="H159" s="20">
        <f>I!G18</f>
        <v>0</v>
      </c>
      <c r="I159" s="20">
        <f>J!G18</f>
        <v>0</v>
      </c>
      <c r="J159" s="20">
        <f>K!G18</f>
        <v>0</v>
      </c>
      <c r="K159" s="20">
        <f>L!G18</f>
        <v>0</v>
      </c>
      <c r="L159" s="20">
        <f>M!G18</f>
        <v>0</v>
      </c>
      <c r="M159" s="20">
        <f>N!G18</f>
        <v>0</v>
      </c>
      <c r="N159" s="20">
        <f>O!G18</f>
        <v>0</v>
      </c>
      <c r="O159" s="20">
        <f>P!G18</f>
        <v>0</v>
      </c>
      <c r="P159" s="20">
        <f>Q!G18</f>
        <v>0</v>
      </c>
      <c r="Q159" s="20">
        <f>'R'!G18</f>
        <v>0</v>
      </c>
      <c r="R159" s="20">
        <f>S!G18</f>
        <v>0</v>
      </c>
      <c r="S159" s="20">
        <f>T!G18</f>
        <v>0</v>
      </c>
      <c r="T159" s="20">
        <f>U!G18</f>
        <v>0</v>
      </c>
      <c r="U159" s="20">
        <f>V!G18</f>
        <v>0</v>
      </c>
      <c r="V159" s="20">
        <f>W!G18</f>
        <v>0</v>
      </c>
      <c r="W159" s="20">
        <f>X!G18</f>
        <v>0</v>
      </c>
      <c r="X159" s="21">
        <f t="shared" ref="X159:X169" si="326">SUM(B159:W159)</f>
        <v>3</v>
      </c>
      <c r="Y159" s="22">
        <f>IF(AW159=0,0,X159/AW159)</f>
        <v>1</v>
      </c>
      <c r="Z159" s="122">
        <f t="shared" si="202"/>
        <v>1</v>
      </c>
      <c r="AA159" s="17">
        <f t="shared" ref="AA159:AA166" si="327">IF(B159=0,0,1)</f>
        <v>0</v>
      </c>
      <c r="AB159">
        <f t="shared" ref="AB159:AB166" si="328">IF(C159=0,0,1)</f>
        <v>1</v>
      </c>
      <c r="AC159">
        <f t="shared" ref="AC159:AC166" si="329">IF(D159=0,0,1)</f>
        <v>1</v>
      </c>
      <c r="AD159">
        <f t="shared" ref="AD159:AD166" si="330">IF(E159=0,0,1)</f>
        <v>1</v>
      </c>
      <c r="AE159">
        <f t="shared" ref="AE159:AE166" si="331">IF(F159=0,0,1)</f>
        <v>0</v>
      </c>
      <c r="AF159">
        <f t="shared" ref="AF159:AF166" si="332">IF(G159=0,0,1)</f>
        <v>0</v>
      </c>
      <c r="AG159">
        <f t="shared" ref="AG159:AG166" si="333">IF(H159=0,0,1)</f>
        <v>0</v>
      </c>
      <c r="AH159">
        <f t="shared" ref="AH159:AH166" si="334">IF(I159=0,0,1)</f>
        <v>0</v>
      </c>
      <c r="AI159">
        <f t="shared" ref="AI159:AI166" si="335">IF(J159=0,0,1)</f>
        <v>0</v>
      </c>
      <c r="AJ159">
        <f t="shared" ref="AJ159:AJ166" si="336">IF(K159=0,0,1)</f>
        <v>0</v>
      </c>
      <c r="AK159">
        <f t="shared" ref="AK159:AK166" si="337">IF(L159=0,0,1)</f>
        <v>0</v>
      </c>
      <c r="AL159">
        <f t="shared" ref="AL159:AL166" si="338">IF(M159=0,0,1)</f>
        <v>0</v>
      </c>
      <c r="AM159">
        <f t="shared" ref="AM159:AM166" si="339">IF(N159=0,0,1)</f>
        <v>0</v>
      </c>
      <c r="AN159">
        <f t="shared" ref="AN159:AN166" si="340">IF(O159=0,0,1)</f>
        <v>0</v>
      </c>
      <c r="AO159">
        <f t="shared" ref="AO159:AO166" si="341">IF(P159=0,0,1)</f>
        <v>0</v>
      </c>
      <c r="AP159">
        <f t="shared" ref="AP159:AP166" si="342">IF(Q159=0,0,1)</f>
        <v>0</v>
      </c>
      <c r="AQ159">
        <f t="shared" ref="AQ159:AQ166" si="343">IF(R159=0,0,1)</f>
        <v>0</v>
      </c>
      <c r="AR159">
        <f t="shared" ref="AR159:AR166" si="344">IF(S159=0,0,1)</f>
        <v>0</v>
      </c>
      <c r="AS159">
        <f t="shared" ref="AS159:AS166" si="345">IF(T159=0,0,1)</f>
        <v>0</v>
      </c>
      <c r="AT159">
        <f t="shared" ref="AT159:AT166" si="346">IF(U159=0,0,1)</f>
        <v>0</v>
      </c>
      <c r="AU159">
        <f t="shared" ref="AU159:AU166" si="347">IF(V159=0,0,1)</f>
        <v>0</v>
      </c>
      <c r="AV159">
        <f t="shared" ref="AV159:AV166" si="348">IF(W159=0,0,1)</f>
        <v>0</v>
      </c>
      <c r="AW159" s="23">
        <f t="shared" ref="AW159:AW166" si="349">SUM(AA159:AV159)</f>
        <v>3</v>
      </c>
      <c r="AX159" s="24">
        <f>IF(X159=0,0,X159)</f>
        <v>3</v>
      </c>
      <c r="AY159" s="121">
        <f>IF(X159=0,0,A159)</f>
        <v>1</v>
      </c>
      <c r="AZ159" s="124" t="str">
        <f>IF(AX159=0,0,A$158)</f>
        <v>BYE</v>
      </c>
      <c r="BA159" s="199">
        <v>0</v>
      </c>
      <c r="BB159" s="198">
        <v>0</v>
      </c>
      <c r="BC159" s="200">
        <v>0</v>
      </c>
      <c r="BD159" s="24"/>
      <c r="BE159" s="23"/>
      <c r="BF159" s="203"/>
      <c r="BG159" s="204"/>
    </row>
    <row r="160" spans="1:59">
      <c r="A160" s="19">
        <f>B!$E$66</f>
        <v>2</v>
      </c>
      <c r="B160" s="20">
        <f>'C'!G19</f>
        <v>0</v>
      </c>
      <c r="C160" s="20">
        <f>D!G19</f>
        <v>1</v>
      </c>
      <c r="D160" s="20">
        <f>E!G19</f>
        <v>1</v>
      </c>
      <c r="E160" s="20">
        <f>F!G19</f>
        <v>1</v>
      </c>
      <c r="F160" s="20">
        <f>G!G19</f>
        <v>0</v>
      </c>
      <c r="G160" s="20">
        <f>H!G19</f>
        <v>0</v>
      </c>
      <c r="H160" s="20">
        <f>I!G19</f>
        <v>0</v>
      </c>
      <c r="I160" s="20">
        <f>J!G19</f>
        <v>0</v>
      </c>
      <c r="J160" s="20">
        <f>K!G19</f>
        <v>0</v>
      </c>
      <c r="K160" s="20">
        <f>L!G19</f>
        <v>0</v>
      </c>
      <c r="L160" s="20">
        <f>M!G19</f>
        <v>0</v>
      </c>
      <c r="M160" s="20">
        <f>N!G19</f>
        <v>0</v>
      </c>
      <c r="N160" s="20">
        <f>O!G19</f>
        <v>0</v>
      </c>
      <c r="O160" s="20">
        <f>P!G19</f>
        <v>0</v>
      </c>
      <c r="P160" s="20">
        <f>Q!G19</f>
        <v>0</v>
      </c>
      <c r="Q160" s="20">
        <f>'R'!G19</f>
        <v>0</v>
      </c>
      <c r="R160" s="20">
        <f>S!G19</f>
        <v>0</v>
      </c>
      <c r="S160" s="20">
        <f>T!G19</f>
        <v>0</v>
      </c>
      <c r="T160" s="20">
        <f>U!G19</f>
        <v>0</v>
      </c>
      <c r="U160" s="20">
        <f>V!G19</f>
        <v>0</v>
      </c>
      <c r="V160" s="20">
        <f>W!G19</f>
        <v>0</v>
      </c>
      <c r="W160" s="20">
        <f>X!G19</f>
        <v>0</v>
      </c>
      <c r="X160" s="21">
        <f t="shared" si="326"/>
        <v>3</v>
      </c>
      <c r="Y160" s="22">
        <f t="shared" ref="Y160:Y166" si="350">IF(AW160=0,0,X160/AW160)</f>
        <v>1</v>
      </c>
      <c r="Z160" s="122">
        <f t="shared" si="202"/>
        <v>2</v>
      </c>
      <c r="AA160" s="17">
        <f t="shared" si="327"/>
        <v>0</v>
      </c>
      <c r="AB160">
        <f t="shared" si="328"/>
        <v>1</v>
      </c>
      <c r="AC160">
        <f t="shared" si="329"/>
        <v>1</v>
      </c>
      <c r="AD160">
        <f t="shared" si="330"/>
        <v>1</v>
      </c>
      <c r="AE160">
        <f t="shared" si="331"/>
        <v>0</v>
      </c>
      <c r="AF160">
        <f t="shared" si="332"/>
        <v>0</v>
      </c>
      <c r="AG160">
        <f t="shared" si="333"/>
        <v>0</v>
      </c>
      <c r="AH160">
        <f t="shared" si="334"/>
        <v>0</v>
      </c>
      <c r="AI160">
        <f t="shared" si="335"/>
        <v>0</v>
      </c>
      <c r="AJ160">
        <f t="shared" si="336"/>
        <v>0</v>
      </c>
      <c r="AK160">
        <f t="shared" si="337"/>
        <v>0</v>
      </c>
      <c r="AL160">
        <f t="shared" si="338"/>
        <v>0</v>
      </c>
      <c r="AM160">
        <f t="shared" si="339"/>
        <v>0</v>
      </c>
      <c r="AN160">
        <f t="shared" si="340"/>
        <v>0</v>
      </c>
      <c r="AO160">
        <f t="shared" si="341"/>
        <v>0</v>
      </c>
      <c r="AP160">
        <f t="shared" si="342"/>
        <v>0</v>
      </c>
      <c r="AQ160">
        <f t="shared" si="343"/>
        <v>0</v>
      </c>
      <c r="AR160">
        <f t="shared" si="344"/>
        <v>0</v>
      </c>
      <c r="AS160">
        <f t="shared" si="345"/>
        <v>0</v>
      </c>
      <c r="AT160">
        <f t="shared" si="346"/>
        <v>0</v>
      </c>
      <c r="AU160">
        <f t="shared" si="347"/>
        <v>0</v>
      </c>
      <c r="AV160">
        <f t="shared" si="348"/>
        <v>0</v>
      </c>
      <c r="AW160" s="23">
        <f t="shared" si="349"/>
        <v>3</v>
      </c>
      <c r="AX160" s="24">
        <f t="shared" ref="AX160:AX166" si="351">IF(X160=0,0,X160)</f>
        <v>3</v>
      </c>
      <c r="AY160" s="121">
        <f t="shared" ref="AY160:AY166" si="352">IF(X160=0,0,A160)</f>
        <v>2</v>
      </c>
      <c r="AZ160" s="124" t="str">
        <f t="shared" ref="AZ160:AZ166" si="353">IF(AX160=0,0,A$158)</f>
        <v>BYE</v>
      </c>
      <c r="BA160" s="199">
        <v>0</v>
      </c>
      <c r="BB160" s="198">
        <v>0</v>
      </c>
      <c r="BC160" s="200">
        <v>0</v>
      </c>
      <c r="BD160" s="24"/>
      <c r="BE160" s="23"/>
      <c r="BF160" s="203"/>
      <c r="BG160" s="204"/>
    </row>
    <row r="161" spans="1:59">
      <c r="A161" s="19">
        <f>B!$E$71</f>
        <v>3</v>
      </c>
      <c r="B161" s="20">
        <f>'C'!G20</f>
        <v>0</v>
      </c>
      <c r="C161" s="20">
        <f>D!G20</f>
        <v>1</v>
      </c>
      <c r="D161" s="20">
        <f>E!G20</f>
        <v>1</v>
      </c>
      <c r="E161" s="20">
        <f>F!G20</f>
        <v>1</v>
      </c>
      <c r="F161" s="20">
        <f>G!G20</f>
        <v>0</v>
      </c>
      <c r="G161" s="20">
        <f>H!G20</f>
        <v>0</v>
      </c>
      <c r="H161" s="20">
        <f>I!G20</f>
        <v>0</v>
      </c>
      <c r="I161" s="20">
        <f>J!G20</f>
        <v>0</v>
      </c>
      <c r="J161" s="20">
        <f>K!G20</f>
        <v>0</v>
      </c>
      <c r="K161" s="20">
        <f>L!G20</f>
        <v>0</v>
      </c>
      <c r="L161" s="20">
        <f>M!G20</f>
        <v>0</v>
      </c>
      <c r="M161" s="20">
        <f>N!G20</f>
        <v>0</v>
      </c>
      <c r="N161" s="20">
        <f>O!G20</f>
        <v>0</v>
      </c>
      <c r="O161" s="20">
        <f>P!G20</f>
        <v>0</v>
      </c>
      <c r="P161" s="20">
        <f>Q!G20</f>
        <v>0</v>
      </c>
      <c r="Q161" s="20">
        <f>'R'!G20</f>
        <v>0</v>
      </c>
      <c r="R161" s="20">
        <f>S!G20</f>
        <v>0</v>
      </c>
      <c r="S161" s="20">
        <f>T!G20</f>
        <v>0</v>
      </c>
      <c r="T161" s="20">
        <f>U!G20</f>
        <v>0</v>
      </c>
      <c r="U161" s="20">
        <f>V!G20</f>
        <v>0</v>
      </c>
      <c r="V161" s="20">
        <f>W!G20</f>
        <v>0</v>
      </c>
      <c r="W161" s="20">
        <f>X!G20</f>
        <v>0</v>
      </c>
      <c r="X161" s="21">
        <f t="shared" si="326"/>
        <v>3</v>
      </c>
      <c r="Y161" s="22">
        <f t="shared" si="350"/>
        <v>1</v>
      </c>
      <c r="Z161" s="122">
        <f t="shared" si="202"/>
        <v>3</v>
      </c>
      <c r="AA161" s="17">
        <f t="shared" si="327"/>
        <v>0</v>
      </c>
      <c r="AB161">
        <f t="shared" si="328"/>
        <v>1</v>
      </c>
      <c r="AC161">
        <f t="shared" si="329"/>
        <v>1</v>
      </c>
      <c r="AD161">
        <f t="shared" si="330"/>
        <v>1</v>
      </c>
      <c r="AE161">
        <f t="shared" si="331"/>
        <v>0</v>
      </c>
      <c r="AF161">
        <f t="shared" si="332"/>
        <v>0</v>
      </c>
      <c r="AG161">
        <f t="shared" si="333"/>
        <v>0</v>
      </c>
      <c r="AH161">
        <f t="shared" si="334"/>
        <v>0</v>
      </c>
      <c r="AI161">
        <f t="shared" si="335"/>
        <v>0</v>
      </c>
      <c r="AJ161">
        <f t="shared" si="336"/>
        <v>0</v>
      </c>
      <c r="AK161">
        <f t="shared" si="337"/>
        <v>0</v>
      </c>
      <c r="AL161">
        <f t="shared" si="338"/>
        <v>0</v>
      </c>
      <c r="AM161">
        <f t="shared" si="339"/>
        <v>0</v>
      </c>
      <c r="AN161">
        <f t="shared" si="340"/>
        <v>0</v>
      </c>
      <c r="AO161">
        <f t="shared" si="341"/>
        <v>0</v>
      </c>
      <c r="AP161">
        <f t="shared" si="342"/>
        <v>0</v>
      </c>
      <c r="AQ161">
        <f t="shared" si="343"/>
        <v>0</v>
      </c>
      <c r="AR161">
        <f t="shared" si="344"/>
        <v>0</v>
      </c>
      <c r="AS161">
        <f t="shared" si="345"/>
        <v>0</v>
      </c>
      <c r="AT161">
        <f t="shared" si="346"/>
        <v>0</v>
      </c>
      <c r="AU161">
        <f t="shared" si="347"/>
        <v>0</v>
      </c>
      <c r="AV161">
        <f t="shared" si="348"/>
        <v>0</v>
      </c>
      <c r="AW161" s="23">
        <f t="shared" si="349"/>
        <v>3</v>
      </c>
      <c r="AX161" s="24">
        <f t="shared" si="351"/>
        <v>3</v>
      </c>
      <c r="AY161" s="121">
        <f t="shared" si="352"/>
        <v>3</v>
      </c>
      <c r="AZ161" s="124" t="str">
        <f t="shared" si="353"/>
        <v>BYE</v>
      </c>
      <c r="BA161" s="199">
        <v>0</v>
      </c>
      <c r="BB161" s="198">
        <v>0</v>
      </c>
      <c r="BC161" s="200">
        <v>0</v>
      </c>
      <c r="BD161" s="24"/>
      <c r="BE161" s="23"/>
      <c r="BF161" s="203"/>
      <c r="BG161" s="204"/>
    </row>
    <row r="162" spans="1:59">
      <c r="A162" s="19">
        <f>B!$E$76</f>
        <v>4</v>
      </c>
      <c r="B162" s="20">
        <f>'C'!G21</f>
        <v>0</v>
      </c>
      <c r="C162" s="20">
        <f>D!G21</f>
        <v>1</v>
      </c>
      <c r="D162" s="20">
        <f>E!G21</f>
        <v>1</v>
      </c>
      <c r="E162" s="20">
        <f>F!G21</f>
        <v>1</v>
      </c>
      <c r="F162" s="20">
        <f>G!G21</f>
        <v>0</v>
      </c>
      <c r="G162" s="20">
        <f>H!G21</f>
        <v>0</v>
      </c>
      <c r="H162" s="20">
        <f>I!G21</f>
        <v>0</v>
      </c>
      <c r="I162" s="20">
        <f>J!G21</f>
        <v>0</v>
      </c>
      <c r="J162" s="20">
        <f>K!G21</f>
        <v>0</v>
      </c>
      <c r="K162" s="20">
        <f>L!G21</f>
        <v>0</v>
      </c>
      <c r="L162" s="20">
        <f>M!G21</f>
        <v>0</v>
      </c>
      <c r="M162" s="20">
        <f>N!G21</f>
        <v>0</v>
      </c>
      <c r="N162" s="20">
        <f>O!G21</f>
        <v>0</v>
      </c>
      <c r="O162" s="20">
        <f>P!G21</f>
        <v>0</v>
      </c>
      <c r="P162" s="20">
        <f>Q!G21</f>
        <v>0</v>
      </c>
      <c r="Q162" s="20">
        <f>'R'!G21</f>
        <v>0</v>
      </c>
      <c r="R162" s="20">
        <f>S!G21</f>
        <v>0</v>
      </c>
      <c r="S162" s="20">
        <f>T!G21</f>
        <v>0</v>
      </c>
      <c r="T162" s="20">
        <f>U!G21</f>
        <v>0</v>
      </c>
      <c r="U162" s="20">
        <f>V!G21</f>
        <v>0</v>
      </c>
      <c r="V162" s="20">
        <f>W!G21</f>
        <v>0</v>
      </c>
      <c r="W162" s="20">
        <f>X!G21</f>
        <v>0</v>
      </c>
      <c r="X162" s="21">
        <f t="shared" si="326"/>
        <v>3</v>
      </c>
      <c r="Y162" s="22">
        <f t="shared" si="350"/>
        <v>1</v>
      </c>
      <c r="Z162" s="122">
        <f t="shared" si="202"/>
        <v>4</v>
      </c>
      <c r="AA162" s="17">
        <f t="shared" si="327"/>
        <v>0</v>
      </c>
      <c r="AB162">
        <f t="shared" si="328"/>
        <v>1</v>
      </c>
      <c r="AC162">
        <f t="shared" si="329"/>
        <v>1</v>
      </c>
      <c r="AD162">
        <f t="shared" si="330"/>
        <v>1</v>
      </c>
      <c r="AE162">
        <f t="shared" si="331"/>
        <v>0</v>
      </c>
      <c r="AF162">
        <f t="shared" si="332"/>
        <v>0</v>
      </c>
      <c r="AG162">
        <f t="shared" si="333"/>
        <v>0</v>
      </c>
      <c r="AH162">
        <f t="shared" si="334"/>
        <v>0</v>
      </c>
      <c r="AI162">
        <f t="shared" si="335"/>
        <v>0</v>
      </c>
      <c r="AJ162">
        <f t="shared" si="336"/>
        <v>0</v>
      </c>
      <c r="AK162">
        <f t="shared" si="337"/>
        <v>0</v>
      </c>
      <c r="AL162">
        <f t="shared" si="338"/>
        <v>0</v>
      </c>
      <c r="AM162">
        <f t="shared" si="339"/>
        <v>0</v>
      </c>
      <c r="AN162">
        <f t="shared" si="340"/>
        <v>0</v>
      </c>
      <c r="AO162">
        <f t="shared" si="341"/>
        <v>0</v>
      </c>
      <c r="AP162">
        <f t="shared" si="342"/>
        <v>0</v>
      </c>
      <c r="AQ162">
        <f t="shared" si="343"/>
        <v>0</v>
      </c>
      <c r="AR162">
        <f t="shared" si="344"/>
        <v>0</v>
      </c>
      <c r="AS162">
        <f t="shared" si="345"/>
        <v>0</v>
      </c>
      <c r="AT162">
        <f t="shared" si="346"/>
        <v>0</v>
      </c>
      <c r="AU162">
        <f t="shared" si="347"/>
        <v>0</v>
      </c>
      <c r="AV162">
        <f t="shared" si="348"/>
        <v>0</v>
      </c>
      <c r="AW162" s="23">
        <f t="shared" si="349"/>
        <v>3</v>
      </c>
      <c r="AX162" s="24">
        <f t="shared" si="351"/>
        <v>3</v>
      </c>
      <c r="AY162" s="121">
        <f t="shared" si="352"/>
        <v>4</v>
      </c>
      <c r="AZ162" s="124" t="str">
        <f t="shared" si="353"/>
        <v>BYE</v>
      </c>
      <c r="BA162" s="199">
        <v>0</v>
      </c>
      <c r="BB162" s="198">
        <v>0</v>
      </c>
      <c r="BC162" s="200">
        <v>0</v>
      </c>
      <c r="BD162" s="24"/>
      <c r="BE162" s="23"/>
      <c r="BF162" s="203"/>
      <c r="BG162" s="204"/>
    </row>
    <row r="163" spans="1:59">
      <c r="A163" s="19">
        <f>B!$E$81</f>
        <v>5</v>
      </c>
      <c r="B163" s="20">
        <f>'C'!G22</f>
        <v>0</v>
      </c>
      <c r="C163" s="20">
        <f>D!G22</f>
        <v>1</v>
      </c>
      <c r="D163" s="20">
        <f>E!G22</f>
        <v>1</v>
      </c>
      <c r="E163" s="20">
        <f>F!G22</f>
        <v>1</v>
      </c>
      <c r="F163" s="20">
        <f>G!G22</f>
        <v>0</v>
      </c>
      <c r="G163" s="20">
        <f>H!G22</f>
        <v>0</v>
      </c>
      <c r="H163" s="20">
        <f>I!G22</f>
        <v>0</v>
      </c>
      <c r="I163" s="20">
        <f>J!G22</f>
        <v>0</v>
      </c>
      <c r="J163" s="20">
        <f>K!G22</f>
        <v>0</v>
      </c>
      <c r="K163" s="20">
        <f>L!G22</f>
        <v>0</v>
      </c>
      <c r="L163" s="20">
        <f>M!G22</f>
        <v>0</v>
      </c>
      <c r="M163" s="20">
        <f>N!G22</f>
        <v>0</v>
      </c>
      <c r="N163" s="20">
        <f>O!G22</f>
        <v>0</v>
      </c>
      <c r="O163" s="20">
        <f>P!G22</f>
        <v>0</v>
      </c>
      <c r="P163" s="20">
        <f>Q!G22</f>
        <v>0</v>
      </c>
      <c r="Q163" s="20">
        <f>'R'!G22</f>
        <v>0</v>
      </c>
      <c r="R163" s="20">
        <f>S!G22</f>
        <v>0</v>
      </c>
      <c r="S163" s="20">
        <f>T!G22</f>
        <v>0</v>
      </c>
      <c r="T163" s="20">
        <f>U!G22</f>
        <v>0</v>
      </c>
      <c r="U163" s="20">
        <f>V!G22</f>
        <v>0</v>
      </c>
      <c r="V163" s="20">
        <f>W!G22</f>
        <v>0</v>
      </c>
      <c r="W163" s="20">
        <f>X!G22</f>
        <v>0</v>
      </c>
      <c r="X163" s="21">
        <f t="shared" si="326"/>
        <v>3</v>
      </c>
      <c r="Y163" s="22">
        <f t="shared" si="350"/>
        <v>1</v>
      </c>
      <c r="Z163" s="122">
        <f t="shared" si="202"/>
        <v>5</v>
      </c>
      <c r="AA163" s="17">
        <f t="shared" si="327"/>
        <v>0</v>
      </c>
      <c r="AB163">
        <f t="shared" si="328"/>
        <v>1</v>
      </c>
      <c r="AC163">
        <f t="shared" si="329"/>
        <v>1</v>
      </c>
      <c r="AD163">
        <f t="shared" si="330"/>
        <v>1</v>
      </c>
      <c r="AE163">
        <f t="shared" si="331"/>
        <v>0</v>
      </c>
      <c r="AF163">
        <f t="shared" si="332"/>
        <v>0</v>
      </c>
      <c r="AG163">
        <f t="shared" si="333"/>
        <v>0</v>
      </c>
      <c r="AH163">
        <f t="shared" si="334"/>
        <v>0</v>
      </c>
      <c r="AI163">
        <f t="shared" si="335"/>
        <v>0</v>
      </c>
      <c r="AJ163">
        <f t="shared" si="336"/>
        <v>0</v>
      </c>
      <c r="AK163">
        <f t="shared" si="337"/>
        <v>0</v>
      </c>
      <c r="AL163">
        <f t="shared" si="338"/>
        <v>0</v>
      </c>
      <c r="AM163">
        <f t="shared" si="339"/>
        <v>0</v>
      </c>
      <c r="AN163">
        <f t="shared" si="340"/>
        <v>0</v>
      </c>
      <c r="AO163">
        <f t="shared" si="341"/>
        <v>0</v>
      </c>
      <c r="AP163">
        <f t="shared" si="342"/>
        <v>0</v>
      </c>
      <c r="AQ163">
        <f t="shared" si="343"/>
        <v>0</v>
      </c>
      <c r="AR163">
        <f t="shared" si="344"/>
        <v>0</v>
      </c>
      <c r="AS163">
        <f t="shared" si="345"/>
        <v>0</v>
      </c>
      <c r="AT163">
        <f t="shared" si="346"/>
        <v>0</v>
      </c>
      <c r="AU163">
        <f t="shared" si="347"/>
        <v>0</v>
      </c>
      <c r="AV163">
        <f t="shared" si="348"/>
        <v>0</v>
      </c>
      <c r="AW163" s="23">
        <f t="shared" si="349"/>
        <v>3</v>
      </c>
      <c r="AX163" s="24">
        <f t="shared" si="351"/>
        <v>3</v>
      </c>
      <c r="AY163" s="121">
        <f t="shared" si="352"/>
        <v>5</v>
      </c>
      <c r="AZ163" s="124" t="str">
        <f t="shared" si="353"/>
        <v>BYE</v>
      </c>
      <c r="BA163" s="199">
        <v>0</v>
      </c>
      <c r="BB163" s="198">
        <v>0</v>
      </c>
      <c r="BC163" s="200">
        <v>0</v>
      </c>
      <c r="BD163" s="24"/>
      <c r="BE163" s="23"/>
      <c r="BF163" s="203"/>
      <c r="BG163" s="204"/>
    </row>
    <row r="164" spans="1:59">
      <c r="A164" s="19">
        <f>B!$E$86</f>
        <v>0</v>
      </c>
      <c r="B164" s="20">
        <f>'C'!G23</f>
        <v>0</v>
      </c>
      <c r="C164" s="20">
        <f>D!G23</f>
        <v>0</v>
      </c>
      <c r="D164" s="20">
        <f>E!G23</f>
        <v>0</v>
      </c>
      <c r="E164" s="20">
        <f>F!G23</f>
        <v>0</v>
      </c>
      <c r="F164" s="20">
        <f>G!G23</f>
        <v>0</v>
      </c>
      <c r="G164" s="20">
        <f>H!G23</f>
        <v>0</v>
      </c>
      <c r="H164" s="20">
        <f>I!G23</f>
        <v>0</v>
      </c>
      <c r="I164" s="20">
        <f>J!G23</f>
        <v>0</v>
      </c>
      <c r="J164" s="20">
        <f>K!G23</f>
        <v>0</v>
      </c>
      <c r="K164" s="20">
        <f>L!G23</f>
        <v>0</v>
      </c>
      <c r="L164" s="20">
        <f>M!G23</f>
        <v>0</v>
      </c>
      <c r="M164" s="20">
        <f>N!G23</f>
        <v>0</v>
      </c>
      <c r="N164" s="20">
        <f>O!G23</f>
        <v>0</v>
      </c>
      <c r="O164" s="20">
        <f>P!G23</f>
        <v>0</v>
      </c>
      <c r="P164" s="20">
        <f>Q!G23</f>
        <v>0</v>
      </c>
      <c r="Q164" s="20">
        <f>'R'!G23</f>
        <v>0</v>
      </c>
      <c r="R164" s="20">
        <f>S!G23</f>
        <v>0</v>
      </c>
      <c r="S164" s="20">
        <f>T!G23</f>
        <v>0</v>
      </c>
      <c r="T164" s="20">
        <f>U!G23</f>
        <v>0</v>
      </c>
      <c r="U164" s="20">
        <f>V!G23</f>
        <v>0</v>
      </c>
      <c r="V164" s="20">
        <f>W!G23</f>
        <v>0</v>
      </c>
      <c r="W164" s="20">
        <f>X!G23</f>
        <v>0</v>
      </c>
      <c r="X164" s="21">
        <f t="shared" si="326"/>
        <v>0</v>
      </c>
      <c r="Y164" s="22">
        <f t="shared" si="350"/>
        <v>0</v>
      </c>
      <c r="Z164" s="122">
        <f t="shared" si="202"/>
        <v>0</v>
      </c>
      <c r="AA164" s="17">
        <f t="shared" si="327"/>
        <v>0</v>
      </c>
      <c r="AB164">
        <f t="shared" si="328"/>
        <v>0</v>
      </c>
      <c r="AC164">
        <f t="shared" si="329"/>
        <v>0</v>
      </c>
      <c r="AD164">
        <f t="shared" si="330"/>
        <v>0</v>
      </c>
      <c r="AE164">
        <f t="shared" si="331"/>
        <v>0</v>
      </c>
      <c r="AF164">
        <f t="shared" si="332"/>
        <v>0</v>
      </c>
      <c r="AG164">
        <f t="shared" si="333"/>
        <v>0</v>
      </c>
      <c r="AH164">
        <f t="shared" si="334"/>
        <v>0</v>
      </c>
      <c r="AI164">
        <f t="shared" si="335"/>
        <v>0</v>
      </c>
      <c r="AJ164">
        <f t="shared" si="336"/>
        <v>0</v>
      </c>
      <c r="AK164">
        <f t="shared" si="337"/>
        <v>0</v>
      </c>
      <c r="AL164">
        <f t="shared" si="338"/>
        <v>0</v>
      </c>
      <c r="AM164">
        <f t="shared" si="339"/>
        <v>0</v>
      </c>
      <c r="AN164">
        <f t="shared" si="340"/>
        <v>0</v>
      </c>
      <c r="AO164">
        <f t="shared" si="341"/>
        <v>0</v>
      </c>
      <c r="AP164">
        <f t="shared" si="342"/>
        <v>0</v>
      </c>
      <c r="AQ164">
        <f t="shared" si="343"/>
        <v>0</v>
      </c>
      <c r="AR164">
        <f t="shared" si="344"/>
        <v>0</v>
      </c>
      <c r="AS164">
        <f t="shared" si="345"/>
        <v>0</v>
      </c>
      <c r="AT164">
        <f t="shared" si="346"/>
        <v>0</v>
      </c>
      <c r="AU164">
        <f t="shared" si="347"/>
        <v>0</v>
      </c>
      <c r="AV164">
        <f t="shared" si="348"/>
        <v>0</v>
      </c>
      <c r="AW164" s="23">
        <f t="shared" si="349"/>
        <v>0</v>
      </c>
      <c r="AX164" s="24">
        <f t="shared" si="351"/>
        <v>0</v>
      </c>
      <c r="AY164" s="121">
        <f t="shared" si="352"/>
        <v>0</v>
      </c>
      <c r="AZ164" s="124">
        <f t="shared" si="353"/>
        <v>0</v>
      </c>
      <c r="BA164" s="199">
        <v>0</v>
      </c>
      <c r="BB164" s="198">
        <v>0</v>
      </c>
      <c r="BC164" s="200">
        <v>0</v>
      </c>
      <c r="BD164" s="24"/>
      <c r="BE164" s="23"/>
      <c r="BF164" s="203"/>
      <c r="BG164" s="204"/>
    </row>
    <row r="165" spans="1:59">
      <c r="A165" s="19">
        <f>B!$E$91</f>
        <v>0</v>
      </c>
      <c r="B165" s="20">
        <f>'C'!G24</f>
        <v>0</v>
      </c>
      <c r="C165" s="20">
        <f>D!G24</f>
        <v>0</v>
      </c>
      <c r="D165" s="20">
        <f>E!G24</f>
        <v>0</v>
      </c>
      <c r="E165" s="20">
        <f>F!G24</f>
        <v>0</v>
      </c>
      <c r="F165" s="20">
        <f>G!G24</f>
        <v>0</v>
      </c>
      <c r="G165" s="20">
        <f>H!G24</f>
        <v>0</v>
      </c>
      <c r="H165" s="20">
        <f>I!G24</f>
        <v>0</v>
      </c>
      <c r="I165" s="20">
        <f>J!G24</f>
        <v>0</v>
      </c>
      <c r="J165" s="20">
        <f>K!G24</f>
        <v>0</v>
      </c>
      <c r="K165" s="20">
        <f>L!G24</f>
        <v>0</v>
      </c>
      <c r="L165" s="20">
        <f>M!G24</f>
        <v>0</v>
      </c>
      <c r="M165" s="20">
        <f>N!G24</f>
        <v>0</v>
      </c>
      <c r="N165" s="20">
        <f>O!G24</f>
        <v>0</v>
      </c>
      <c r="O165" s="20">
        <f>P!G24</f>
        <v>0</v>
      </c>
      <c r="P165" s="20">
        <f>Q!G24</f>
        <v>0</v>
      </c>
      <c r="Q165" s="20">
        <f>'R'!G24</f>
        <v>0</v>
      </c>
      <c r="R165" s="20">
        <f>S!G24</f>
        <v>0</v>
      </c>
      <c r="S165" s="20">
        <f>T!G24</f>
        <v>0</v>
      </c>
      <c r="T165" s="20">
        <f>U!G24</f>
        <v>0</v>
      </c>
      <c r="U165" s="20">
        <f>V!G24</f>
        <v>0</v>
      </c>
      <c r="V165" s="20">
        <f>W!G24</f>
        <v>0</v>
      </c>
      <c r="W165" s="20">
        <f>X!G24</f>
        <v>0</v>
      </c>
      <c r="X165" s="21">
        <f t="shared" si="326"/>
        <v>0</v>
      </c>
      <c r="Y165" s="22">
        <f t="shared" si="350"/>
        <v>0</v>
      </c>
      <c r="Z165" s="122">
        <f t="shared" si="202"/>
        <v>0</v>
      </c>
      <c r="AA165" s="17">
        <f t="shared" si="327"/>
        <v>0</v>
      </c>
      <c r="AB165">
        <f t="shared" si="328"/>
        <v>0</v>
      </c>
      <c r="AC165">
        <f t="shared" si="329"/>
        <v>0</v>
      </c>
      <c r="AD165">
        <f t="shared" si="330"/>
        <v>0</v>
      </c>
      <c r="AE165">
        <f t="shared" si="331"/>
        <v>0</v>
      </c>
      <c r="AF165">
        <f t="shared" si="332"/>
        <v>0</v>
      </c>
      <c r="AG165">
        <f t="shared" si="333"/>
        <v>0</v>
      </c>
      <c r="AH165">
        <f t="shared" si="334"/>
        <v>0</v>
      </c>
      <c r="AI165">
        <f t="shared" si="335"/>
        <v>0</v>
      </c>
      <c r="AJ165">
        <f t="shared" si="336"/>
        <v>0</v>
      </c>
      <c r="AK165">
        <f t="shared" si="337"/>
        <v>0</v>
      </c>
      <c r="AL165">
        <f t="shared" si="338"/>
        <v>0</v>
      </c>
      <c r="AM165">
        <f t="shared" si="339"/>
        <v>0</v>
      </c>
      <c r="AN165">
        <f t="shared" si="340"/>
        <v>0</v>
      </c>
      <c r="AO165">
        <f t="shared" si="341"/>
        <v>0</v>
      </c>
      <c r="AP165">
        <f t="shared" si="342"/>
        <v>0</v>
      </c>
      <c r="AQ165">
        <f t="shared" si="343"/>
        <v>0</v>
      </c>
      <c r="AR165">
        <f t="shared" si="344"/>
        <v>0</v>
      </c>
      <c r="AS165">
        <f t="shared" si="345"/>
        <v>0</v>
      </c>
      <c r="AT165">
        <f t="shared" si="346"/>
        <v>0</v>
      </c>
      <c r="AU165">
        <f t="shared" si="347"/>
        <v>0</v>
      </c>
      <c r="AV165">
        <f t="shared" si="348"/>
        <v>0</v>
      </c>
      <c r="AW165" s="23">
        <f t="shared" si="349"/>
        <v>0</v>
      </c>
      <c r="AX165" s="24">
        <f t="shared" si="351"/>
        <v>0</v>
      </c>
      <c r="AY165" s="121">
        <f t="shared" si="352"/>
        <v>0</v>
      </c>
      <c r="AZ165" s="124">
        <f t="shared" si="353"/>
        <v>0</v>
      </c>
      <c r="BA165" s="199"/>
      <c r="BB165" s="198"/>
      <c r="BC165" s="200"/>
      <c r="BD165" s="24"/>
      <c r="BE165" s="23"/>
      <c r="BF165" s="203"/>
      <c r="BG165" s="204"/>
    </row>
    <row r="166" spans="1:59" ht="15.75" thickBot="1">
      <c r="A166" s="19">
        <f>B!$E$96</f>
        <v>0</v>
      </c>
      <c r="B166" s="20">
        <f>'C'!G25</f>
        <v>0</v>
      </c>
      <c r="C166" s="20">
        <f>D!G25</f>
        <v>0</v>
      </c>
      <c r="D166" s="20">
        <f>E!G25</f>
        <v>0</v>
      </c>
      <c r="E166" s="20">
        <f>F!G25</f>
        <v>0</v>
      </c>
      <c r="F166" s="20">
        <f>G!G25</f>
        <v>0</v>
      </c>
      <c r="G166" s="20">
        <f>H!G25</f>
        <v>0</v>
      </c>
      <c r="H166" s="20">
        <f>I!G25</f>
        <v>0</v>
      </c>
      <c r="I166" s="20">
        <f>J!G25</f>
        <v>0</v>
      </c>
      <c r="J166" s="20">
        <f>K!G25</f>
        <v>0</v>
      </c>
      <c r="K166" s="20">
        <f>L!G25</f>
        <v>0</v>
      </c>
      <c r="L166" s="20">
        <f>M!G25</f>
        <v>0</v>
      </c>
      <c r="M166" s="20">
        <f>N!G25</f>
        <v>0</v>
      </c>
      <c r="N166" s="20">
        <f>O!G25</f>
        <v>0</v>
      </c>
      <c r="O166" s="20">
        <f>P!G25</f>
        <v>0</v>
      </c>
      <c r="P166" s="20">
        <f>Q!G25</f>
        <v>0</v>
      </c>
      <c r="Q166" s="20">
        <f>'R'!G25</f>
        <v>0</v>
      </c>
      <c r="R166" s="20">
        <f>S!G25</f>
        <v>0</v>
      </c>
      <c r="S166" s="20">
        <f>T!G25</f>
        <v>0</v>
      </c>
      <c r="T166" s="20">
        <f>U!G25</f>
        <v>0</v>
      </c>
      <c r="U166" s="20">
        <f>V!G25</f>
        <v>0</v>
      </c>
      <c r="V166" s="20">
        <f>W!G25</f>
        <v>0</v>
      </c>
      <c r="W166" s="20">
        <f>X!G25</f>
        <v>0</v>
      </c>
      <c r="X166" s="21">
        <f t="shared" si="326"/>
        <v>0</v>
      </c>
      <c r="Y166" s="22">
        <f t="shared" si="350"/>
        <v>0</v>
      </c>
      <c r="Z166" s="122">
        <f t="shared" si="202"/>
        <v>0</v>
      </c>
      <c r="AA166" s="17">
        <f t="shared" si="327"/>
        <v>0</v>
      </c>
      <c r="AB166">
        <f t="shared" si="328"/>
        <v>0</v>
      </c>
      <c r="AC166">
        <f t="shared" si="329"/>
        <v>0</v>
      </c>
      <c r="AD166">
        <f t="shared" si="330"/>
        <v>0</v>
      </c>
      <c r="AE166">
        <f t="shared" si="331"/>
        <v>0</v>
      </c>
      <c r="AF166">
        <f t="shared" si="332"/>
        <v>0</v>
      </c>
      <c r="AG166">
        <f t="shared" si="333"/>
        <v>0</v>
      </c>
      <c r="AH166">
        <f t="shared" si="334"/>
        <v>0</v>
      </c>
      <c r="AI166">
        <f t="shared" si="335"/>
        <v>0</v>
      </c>
      <c r="AJ166">
        <f t="shared" si="336"/>
        <v>0</v>
      </c>
      <c r="AK166">
        <f t="shared" si="337"/>
        <v>0</v>
      </c>
      <c r="AL166">
        <f t="shared" si="338"/>
        <v>0</v>
      </c>
      <c r="AM166">
        <f t="shared" si="339"/>
        <v>0</v>
      </c>
      <c r="AN166">
        <f t="shared" si="340"/>
        <v>0</v>
      </c>
      <c r="AO166">
        <f t="shared" si="341"/>
        <v>0</v>
      </c>
      <c r="AP166">
        <f t="shared" si="342"/>
        <v>0</v>
      </c>
      <c r="AQ166">
        <f t="shared" si="343"/>
        <v>0</v>
      </c>
      <c r="AR166">
        <f t="shared" si="344"/>
        <v>0</v>
      </c>
      <c r="AS166">
        <f t="shared" si="345"/>
        <v>0</v>
      </c>
      <c r="AT166">
        <f t="shared" si="346"/>
        <v>0</v>
      </c>
      <c r="AU166">
        <f t="shared" si="347"/>
        <v>0</v>
      </c>
      <c r="AV166">
        <f t="shared" si="348"/>
        <v>0</v>
      </c>
      <c r="AW166" s="23">
        <f t="shared" si="349"/>
        <v>0</v>
      </c>
      <c r="AX166" s="24">
        <f t="shared" si="351"/>
        <v>0</v>
      </c>
      <c r="AY166" s="121">
        <f t="shared" si="352"/>
        <v>0</v>
      </c>
      <c r="AZ166" s="124">
        <f t="shared" si="353"/>
        <v>0</v>
      </c>
      <c r="BA166" s="199"/>
      <c r="BB166" s="198"/>
      <c r="BC166" s="200"/>
      <c r="BD166" s="24"/>
      <c r="BE166" s="23"/>
      <c r="BF166" s="203"/>
      <c r="BG166" s="204"/>
    </row>
    <row r="167" spans="1:59" ht="15.75" thickTop="1">
      <c r="A167" s="133" t="s">
        <v>134</v>
      </c>
      <c r="B167" s="134">
        <f t="shared" ref="B167:W167" si="354">SUM(B159:B166)</f>
        <v>0</v>
      </c>
      <c r="C167" s="134">
        <f t="shared" si="354"/>
        <v>5</v>
      </c>
      <c r="D167" s="134">
        <f t="shared" si="354"/>
        <v>5</v>
      </c>
      <c r="E167" s="134">
        <f t="shared" si="354"/>
        <v>5</v>
      </c>
      <c r="F167" s="134">
        <f t="shared" si="354"/>
        <v>0</v>
      </c>
      <c r="G167" s="134">
        <f t="shared" si="354"/>
        <v>0</v>
      </c>
      <c r="H167" s="134">
        <f t="shared" si="354"/>
        <v>0</v>
      </c>
      <c r="I167" s="134">
        <f t="shared" si="354"/>
        <v>0</v>
      </c>
      <c r="J167" s="134">
        <f t="shared" si="354"/>
        <v>0</v>
      </c>
      <c r="K167" s="134">
        <f t="shared" si="354"/>
        <v>0</v>
      </c>
      <c r="L167" s="134">
        <f t="shared" si="354"/>
        <v>0</v>
      </c>
      <c r="M167" s="134">
        <f t="shared" si="354"/>
        <v>0</v>
      </c>
      <c r="N167" s="134">
        <f t="shared" si="354"/>
        <v>0</v>
      </c>
      <c r="O167" s="134">
        <f t="shared" si="354"/>
        <v>0</v>
      </c>
      <c r="P167" s="134">
        <f t="shared" si="354"/>
        <v>0</v>
      </c>
      <c r="Q167" s="134">
        <f t="shared" si="354"/>
        <v>0</v>
      </c>
      <c r="R167" s="134">
        <f t="shared" si="354"/>
        <v>0</v>
      </c>
      <c r="S167" s="134">
        <f t="shared" si="354"/>
        <v>0</v>
      </c>
      <c r="T167" s="134">
        <f t="shared" si="354"/>
        <v>0</v>
      </c>
      <c r="U167" s="134">
        <f t="shared" si="354"/>
        <v>0</v>
      </c>
      <c r="V167" s="134">
        <f t="shared" si="354"/>
        <v>0</v>
      </c>
      <c r="W167" s="134">
        <f t="shared" si="354"/>
        <v>0</v>
      </c>
      <c r="X167" s="135">
        <f t="shared" si="326"/>
        <v>15</v>
      </c>
      <c r="Y167" s="137">
        <f>IF(X167=0,0,X167/AW167)</f>
        <v>5</v>
      </c>
      <c r="Z167" s="122"/>
      <c r="AA167" s="138">
        <f t="shared" ref="AA167:AV167" si="355">SUM(AA159:AA166)</f>
        <v>0</v>
      </c>
      <c r="AB167" s="11">
        <f t="shared" si="355"/>
        <v>5</v>
      </c>
      <c r="AC167" s="11">
        <f t="shared" si="355"/>
        <v>5</v>
      </c>
      <c r="AD167" s="11">
        <f t="shared" si="355"/>
        <v>5</v>
      </c>
      <c r="AE167" s="11">
        <f t="shared" si="355"/>
        <v>0</v>
      </c>
      <c r="AF167" s="11">
        <f t="shared" si="355"/>
        <v>0</v>
      </c>
      <c r="AG167" s="11">
        <f t="shared" si="355"/>
        <v>0</v>
      </c>
      <c r="AH167" s="11">
        <f t="shared" si="355"/>
        <v>0</v>
      </c>
      <c r="AI167" s="11">
        <f t="shared" si="355"/>
        <v>0</v>
      </c>
      <c r="AJ167" s="11">
        <f t="shared" si="355"/>
        <v>0</v>
      </c>
      <c r="AK167" s="11">
        <f t="shared" si="355"/>
        <v>0</v>
      </c>
      <c r="AL167" s="11">
        <f t="shared" si="355"/>
        <v>0</v>
      </c>
      <c r="AM167" s="11">
        <f t="shared" si="355"/>
        <v>0</v>
      </c>
      <c r="AN167" s="11">
        <f t="shared" si="355"/>
        <v>0</v>
      </c>
      <c r="AO167" s="11">
        <f t="shared" si="355"/>
        <v>0</v>
      </c>
      <c r="AP167" s="11">
        <f t="shared" si="355"/>
        <v>0</v>
      </c>
      <c r="AQ167" s="11">
        <f t="shared" si="355"/>
        <v>0</v>
      </c>
      <c r="AR167" s="11">
        <f t="shared" si="355"/>
        <v>0</v>
      </c>
      <c r="AS167" s="11">
        <f t="shared" si="355"/>
        <v>0</v>
      </c>
      <c r="AT167" s="11">
        <f t="shared" si="355"/>
        <v>0</v>
      </c>
      <c r="AU167" s="11">
        <f t="shared" si="355"/>
        <v>0</v>
      </c>
      <c r="AV167" s="11">
        <f t="shared" si="355"/>
        <v>0</v>
      </c>
      <c r="AW167" s="12">
        <f>MAXA(AW159:AW166)</f>
        <v>3</v>
      </c>
      <c r="AX167" s="24"/>
      <c r="AZ167" s="124"/>
      <c r="BA167" s="199"/>
      <c r="BB167" s="198"/>
      <c r="BC167" s="200"/>
      <c r="BD167" s="24"/>
      <c r="BE167" s="23"/>
      <c r="BF167" s="203"/>
      <c r="BG167" s="204"/>
    </row>
    <row r="168" spans="1:59" ht="16.5" thickBot="1">
      <c r="A168" s="105" t="s">
        <v>189</v>
      </c>
      <c r="B168" s="20">
        <f>'C'!G26</f>
        <v>0</v>
      </c>
      <c r="C168" s="20">
        <f>D!G26</f>
        <v>0</v>
      </c>
      <c r="D168" s="20">
        <f>E!G26</f>
        <v>0</v>
      </c>
      <c r="E168" s="20">
        <f>F!G26</f>
        <v>0</v>
      </c>
      <c r="F168" s="20">
        <f>G!G26</f>
        <v>0</v>
      </c>
      <c r="G168" s="20">
        <f>H!G26</f>
        <v>0</v>
      </c>
      <c r="H168" s="20">
        <f>I!G26</f>
        <v>0</v>
      </c>
      <c r="I168" s="20">
        <f>J!G26</f>
        <v>0</v>
      </c>
      <c r="J168" s="20">
        <f>K!G26</f>
        <v>0</v>
      </c>
      <c r="K168" s="20">
        <f>L!G26</f>
        <v>0</v>
      </c>
      <c r="L168" s="20">
        <f>M!G26</f>
        <v>0</v>
      </c>
      <c r="M168" s="20">
        <f>N!G26</f>
        <v>0</v>
      </c>
      <c r="N168" s="20">
        <f>O!G26</f>
        <v>0</v>
      </c>
      <c r="O168" s="20">
        <f>P!G26</f>
        <v>0</v>
      </c>
      <c r="P168" s="20">
        <f>Q!G26</f>
        <v>0</v>
      </c>
      <c r="Q168" s="20">
        <f>'R'!G26</f>
        <v>0</v>
      </c>
      <c r="R168" s="20">
        <f>S!G26</f>
        <v>0</v>
      </c>
      <c r="S168" s="20">
        <f>T!G26</f>
        <v>0</v>
      </c>
      <c r="T168" s="20">
        <f>U!G26</f>
        <v>0</v>
      </c>
      <c r="U168" s="20">
        <f>V!G26</f>
        <v>0</v>
      </c>
      <c r="V168" s="20">
        <f>W!G26</f>
        <v>0</v>
      </c>
      <c r="W168" s="20">
        <f>X!G26</f>
        <v>0</v>
      </c>
      <c r="X168" s="21">
        <f t="shared" si="326"/>
        <v>0</v>
      </c>
      <c r="Y168" s="120"/>
      <c r="Z168" s="122"/>
      <c r="AA168" s="17"/>
      <c r="AW168" s="23"/>
      <c r="AX168" s="24"/>
      <c r="AZ168" s="124"/>
      <c r="BA168" s="199"/>
      <c r="BB168" s="198"/>
      <c r="BC168" s="200"/>
      <c r="BD168" s="24"/>
      <c r="BE168" s="23"/>
      <c r="BF168" s="203"/>
      <c r="BG168" s="204"/>
    </row>
    <row r="169" spans="1:59" ht="16.5" thickTop="1" thickBot="1">
      <c r="A169" s="100" t="s">
        <v>53</v>
      </c>
      <c r="B169" s="68">
        <f t="shared" ref="B169:W169" si="356">SUM(B167:B168)</f>
        <v>0</v>
      </c>
      <c r="C169" s="68">
        <f t="shared" si="356"/>
        <v>5</v>
      </c>
      <c r="D169" s="68">
        <f t="shared" si="356"/>
        <v>5</v>
      </c>
      <c r="E169" s="68">
        <f t="shared" si="356"/>
        <v>5</v>
      </c>
      <c r="F169" s="68">
        <f t="shared" si="356"/>
        <v>0</v>
      </c>
      <c r="G169" s="68">
        <f t="shared" si="356"/>
        <v>0</v>
      </c>
      <c r="H169" s="68">
        <f t="shared" si="356"/>
        <v>0</v>
      </c>
      <c r="I169" s="68">
        <f t="shared" si="356"/>
        <v>0</v>
      </c>
      <c r="J169" s="68">
        <f t="shared" si="356"/>
        <v>0</v>
      </c>
      <c r="K169" s="68">
        <f t="shared" si="356"/>
        <v>0</v>
      </c>
      <c r="L169" s="68">
        <f t="shared" si="356"/>
        <v>0</v>
      </c>
      <c r="M169" s="68">
        <f t="shared" si="356"/>
        <v>0</v>
      </c>
      <c r="N169" s="68">
        <f t="shared" si="356"/>
        <v>0</v>
      </c>
      <c r="O169" s="68">
        <f t="shared" si="356"/>
        <v>0</v>
      </c>
      <c r="P169" s="68">
        <f t="shared" si="356"/>
        <v>0</v>
      </c>
      <c r="Q169" s="68">
        <f t="shared" si="356"/>
        <v>0</v>
      </c>
      <c r="R169" s="68">
        <f t="shared" si="356"/>
        <v>0</v>
      </c>
      <c r="S169" s="68">
        <f t="shared" si="356"/>
        <v>0</v>
      </c>
      <c r="T169" s="68">
        <f t="shared" si="356"/>
        <v>0</v>
      </c>
      <c r="U169" s="68">
        <f t="shared" si="356"/>
        <v>0</v>
      </c>
      <c r="V169" s="68">
        <f t="shared" si="356"/>
        <v>0</v>
      </c>
      <c r="W169" s="68">
        <f t="shared" si="356"/>
        <v>0</v>
      </c>
      <c r="X169" s="28">
        <f t="shared" si="326"/>
        <v>15</v>
      </c>
      <c r="Y169" s="136"/>
      <c r="Z169" s="122"/>
      <c r="AA169" s="17"/>
      <c r="AW169" s="23"/>
      <c r="AX169" s="24"/>
      <c r="AZ169" s="124"/>
      <c r="BA169" s="199"/>
      <c r="BB169" s="198"/>
      <c r="BC169" s="200"/>
      <c r="BD169" s="24">
        <f>X169</f>
        <v>15</v>
      </c>
      <c r="BE169" s="23" t="str">
        <f>A158</f>
        <v>BYE</v>
      </c>
      <c r="BF169" s="203"/>
      <c r="BG169" s="204"/>
    </row>
    <row r="170" spans="1:59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22"/>
      <c r="AA170" s="17"/>
      <c r="AW170" s="23"/>
      <c r="AX170" s="24"/>
      <c r="AZ170" s="124"/>
      <c r="BA170" s="199"/>
      <c r="BB170" s="198"/>
      <c r="BC170" s="200"/>
      <c r="BD170" s="24"/>
      <c r="BE170" s="23"/>
      <c r="BF170" s="203"/>
      <c r="BG170" s="204"/>
    </row>
    <row r="171" spans="1:59" ht="15.75" thickBot="1">
      <c r="A171" s="7" t="s">
        <v>65</v>
      </c>
      <c r="B171" s="8" t="s">
        <v>27</v>
      </c>
      <c r="C171" s="8" t="s">
        <v>28</v>
      </c>
      <c r="D171" s="8" t="s">
        <v>29</v>
      </c>
      <c r="E171" s="8" t="s">
        <v>30</v>
      </c>
      <c r="F171" s="8" t="s">
        <v>31</v>
      </c>
      <c r="G171" s="8" t="s">
        <v>32</v>
      </c>
      <c r="H171" s="8" t="s">
        <v>33</v>
      </c>
      <c r="I171" s="8" t="s">
        <v>34</v>
      </c>
      <c r="J171" s="8" t="s">
        <v>35</v>
      </c>
      <c r="K171" s="8" t="s">
        <v>36</v>
      </c>
      <c r="L171" s="8" t="s">
        <v>37</v>
      </c>
      <c r="M171" s="8" t="s">
        <v>38</v>
      </c>
      <c r="N171" s="8" t="s">
        <v>39</v>
      </c>
      <c r="O171" s="8" t="s">
        <v>40</v>
      </c>
      <c r="P171" s="8" t="s">
        <v>41</v>
      </c>
      <c r="Q171" s="8" t="s">
        <v>42</v>
      </c>
      <c r="R171" s="8" t="s">
        <v>43</v>
      </c>
      <c r="S171" s="8" t="s">
        <v>44</v>
      </c>
      <c r="T171" s="8" t="s">
        <v>45</v>
      </c>
      <c r="U171" s="8" t="s">
        <v>46</v>
      </c>
      <c r="V171" s="8" t="s">
        <v>47</v>
      </c>
      <c r="W171" s="8" t="s">
        <v>48</v>
      </c>
      <c r="X171" s="1"/>
      <c r="Y171" s="1"/>
      <c r="Z171" s="3" t="str">
        <f>A171</f>
        <v>Team #13 Name:</v>
      </c>
      <c r="AA171" s="17"/>
      <c r="AW171" s="23"/>
      <c r="AX171" s="24"/>
      <c r="AZ171" s="124"/>
      <c r="BA171" s="199"/>
      <c r="BB171" s="198"/>
      <c r="BC171" s="200"/>
      <c r="BD171" s="24"/>
      <c r="BE171" s="23"/>
      <c r="BF171" s="203"/>
      <c r="BG171" s="204"/>
    </row>
    <row r="172" spans="1:59">
      <c r="A172" s="13">
        <f>B!$E$102</f>
        <v>0</v>
      </c>
      <c r="B172" s="29" t="s">
        <v>50</v>
      </c>
      <c r="C172" s="29" t="s">
        <v>50</v>
      </c>
      <c r="D172" s="29" t="s">
        <v>50</v>
      </c>
      <c r="E172" s="29" t="s">
        <v>50</v>
      </c>
      <c r="F172" s="29" t="s">
        <v>50</v>
      </c>
      <c r="G172" s="29" t="s">
        <v>50</v>
      </c>
      <c r="H172" s="29" t="s">
        <v>50</v>
      </c>
      <c r="I172" s="29" t="s">
        <v>50</v>
      </c>
      <c r="J172" s="29" t="s">
        <v>50</v>
      </c>
      <c r="K172" s="29" t="s">
        <v>50</v>
      </c>
      <c r="L172" s="29" t="s">
        <v>50</v>
      </c>
      <c r="M172" s="29" t="s">
        <v>50</v>
      </c>
      <c r="N172" s="29" t="s">
        <v>50</v>
      </c>
      <c r="O172" s="29" t="s">
        <v>50</v>
      </c>
      <c r="P172" s="29" t="s">
        <v>50</v>
      </c>
      <c r="Q172" s="29" t="s">
        <v>50</v>
      </c>
      <c r="R172" s="29" t="s">
        <v>50</v>
      </c>
      <c r="S172" s="29" t="s">
        <v>50</v>
      </c>
      <c r="T172" s="29" t="s">
        <v>50</v>
      </c>
      <c r="U172" s="29" t="s">
        <v>50</v>
      </c>
      <c r="V172" s="29" t="s">
        <v>50</v>
      </c>
      <c r="W172" s="29" t="s">
        <v>50</v>
      </c>
      <c r="X172" s="15" t="s">
        <v>51</v>
      </c>
      <c r="Y172" s="16" t="s">
        <v>52</v>
      </c>
      <c r="Z172" s="123">
        <f>A172</f>
        <v>0</v>
      </c>
      <c r="AA172" s="17"/>
      <c r="AW172" s="4" t="s">
        <v>97</v>
      </c>
      <c r="AX172" s="24"/>
      <c r="AZ172" s="124"/>
      <c r="BA172" s="199"/>
      <c r="BB172" s="198"/>
      <c r="BC172" s="200"/>
      <c r="BD172" s="24"/>
      <c r="BE172" s="23"/>
      <c r="BF172" s="203"/>
      <c r="BG172" s="204"/>
    </row>
    <row r="173" spans="1:59">
      <c r="A173" s="19">
        <f>B!$E$104</f>
        <v>0</v>
      </c>
      <c r="B173" s="20">
        <f>'C'!G31</f>
        <v>0</v>
      </c>
      <c r="C173" s="20">
        <f>D!G31</f>
        <v>0</v>
      </c>
      <c r="D173" s="20">
        <f>E!G31</f>
        <v>0</v>
      </c>
      <c r="E173" s="20">
        <f>F!G31</f>
        <v>0</v>
      </c>
      <c r="F173" s="20">
        <f>G!G31</f>
        <v>0</v>
      </c>
      <c r="G173" s="20">
        <f>H!G31</f>
        <v>0</v>
      </c>
      <c r="H173" s="20">
        <f>I!G31</f>
        <v>0</v>
      </c>
      <c r="I173" s="20">
        <f>J!G31</f>
        <v>0</v>
      </c>
      <c r="J173" s="20">
        <f>K!G31</f>
        <v>0</v>
      </c>
      <c r="K173" s="20">
        <f>L!G31</f>
        <v>0</v>
      </c>
      <c r="L173" s="20">
        <f>M!G31</f>
        <v>0</v>
      </c>
      <c r="M173" s="20">
        <f>N!G31</f>
        <v>0</v>
      </c>
      <c r="N173" s="20">
        <f>O!G31</f>
        <v>0</v>
      </c>
      <c r="O173" s="20">
        <f>P!G31</f>
        <v>0</v>
      </c>
      <c r="P173" s="20">
        <f>Q!G31</f>
        <v>0</v>
      </c>
      <c r="Q173" s="20">
        <f>'R'!G31</f>
        <v>0</v>
      </c>
      <c r="R173" s="20">
        <f>S!G31</f>
        <v>0</v>
      </c>
      <c r="S173" s="20">
        <f>T!G31</f>
        <v>0</v>
      </c>
      <c r="T173" s="20">
        <f>U!G31</f>
        <v>0</v>
      </c>
      <c r="U173" s="20">
        <f>V!G31</f>
        <v>0</v>
      </c>
      <c r="V173" s="20">
        <f>W!G31</f>
        <v>0</v>
      </c>
      <c r="W173" s="20">
        <f>X!G31</f>
        <v>0</v>
      </c>
      <c r="X173" s="21">
        <f t="shared" ref="X173:X183" si="357">SUM(B173:W173)</f>
        <v>0</v>
      </c>
      <c r="Y173" s="22">
        <f>IF(AW173=0,0,X173/AW173)</f>
        <v>0</v>
      </c>
      <c r="Z173" s="122">
        <f t="shared" ref="Z173:Z236" si="358">A173</f>
        <v>0</v>
      </c>
      <c r="AA173" s="17">
        <f t="shared" ref="AA173:AA180" si="359">IF(B173=0,0,1)</f>
        <v>0</v>
      </c>
      <c r="AB173">
        <f t="shared" ref="AB173:AB180" si="360">IF(C173=0,0,1)</f>
        <v>0</v>
      </c>
      <c r="AC173">
        <f t="shared" ref="AC173:AC180" si="361">IF(D173=0,0,1)</f>
        <v>0</v>
      </c>
      <c r="AD173">
        <f t="shared" ref="AD173:AD180" si="362">IF(E173=0,0,1)</f>
        <v>0</v>
      </c>
      <c r="AE173">
        <f t="shared" ref="AE173:AE180" si="363">IF(F173=0,0,1)</f>
        <v>0</v>
      </c>
      <c r="AF173">
        <f t="shared" ref="AF173:AF180" si="364">IF(G173=0,0,1)</f>
        <v>0</v>
      </c>
      <c r="AG173">
        <f t="shared" ref="AG173:AG180" si="365">IF(H173=0,0,1)</f>
        <v>0</v>
      </c>
      <c r="AH173">
        <f t="shared" ref="AH173:AH180" si="366">IF(I173=0,0,1)</f>
        <v>0</v>
      </c>
      <c r="AI173">
        <f t="shared" ref="AI173:AI180" si="367">IF(J173=0,0,1)</f>
        <v>0</v>
      </c>
      <c r="AJ173">
        <f t="shared" ref="AJ173:AJ180" si="368">IF(K173=0,0,1)</f>
        <v>0</v>
      </c>
      <c r="AK173">
        <f t="shared" ref="AK173:AK180" si="369">IF(L173=0,0,1)</f>
        <v>0</v>
      </c>
      <c r="AL173">
        <f t="shared" ref="AL173:AL180" si="370">IF(M173=0,0,1)</f>
        <v>0</v>
      </c>
      <c r="AM173">
        <f t="shared" ref="AM173:AM180" si="371">IF(N173=0,0,1)</f>
        <v>0</v>
      </c>
      <c r="AN173">
        <f t="shared" ref="AN173:AN180" si="372">IF(O173=0,0,1)</f>
        <v>0</v>
      </c>
      <c r="AO173">
        <f t="shared" ref="AO173:AO180" si="373">IF(P173=0,0,1)</f>
        <v>0</v>
      </c>
      <c r="AP173">
        <f t="shared" ref="AP173:AP180" si="374">IF(Q173=0,0,1)</f>
        <v>0</v>
      </c>
      <c r="AQ173">
        <f t="shared" ref="AQ173:AQ180" si="375">IF(R173=0,0,1)</f>
        <v>0</v>
      </c>
      <c r="AR173">
        <f t="shared" ref="AR173:AR180" si="376">IF(S173=0,0,1)</f>
        <v>0</v>
      </c>
      <c r="AS173">
        <f t="shared" ref="AS173:AS180" si="377">IF(T173=0,0,1)</f>
        <v>0</v>
      </c>
      <c r="AT173">
        <f t="shared" ref="AT173:AT180" si="378">IF(U173=0,0,1)</f>
        <v>0</v>
      </c>
      <c r="AU173">
        <f t="shared" ref="AU173:AU180" si="379">IF(V173=0,0,1)</f>
        <v>0</v>
      </c>
      <c r="AV173">
        <f t="shared" ref="AV173:AV180" si="380">IF(W173=0,0,1)</f>
        <v>0</v>
      </c>
      <c r="AW173" s="23">
        <f t="shared" ref="AW173:AW180" si="381">SUM(AA173:AV173)</f>
        <v>0</v>
      </c>
      <c r="AX173" s="24">
        <f>IF(X173=0,0,X173)</f>
        <v>0</v>
      </c>
      <c r="AY173" s="121">
        <f>IF(X173=0,0,A173)</f>
        <v>0</v>
      </c>
      <c r="AZ173" s="124">
        <f>IF(AX173=0,0,A$172)</f>
        <v>0</v>
      </c>
      <c r="BA173" s="199"/>
      <c r="BB173" s="198"/>
      <c r="BC173" s="200"/>
      <c r="BD173" s="24"/>
      <c r="BE173" s="23"/>
      <c r="BF173" s="203"/>
      <c r="BG173" s="204"/>
    </row>
    <row r="174" spans="1:59">
      <c r="A174" s="19">
        <f>B!$E$109</f>
        <v>0</v>
      </c>
      <c r="B174" s="20">
        <f>'C'!G32</f>
        <v>0</v>
      </c>
      <c r="C174" s="20">
        <f>D!G32</f>
        <v>0</v>
      </c>
      <c r="D174" s="20">
        <f>E!G32</f>
        <v>0</v>
      </c>
      <c r="E174" s="20">
        <f>F!G32</f>
        <v>0</v>
      </c>
      <c r="F174" s="20">
        <f>G!G32</f>
        <v>0</v>
      </c>
      <c r="G174" s="20">
        <f>H!G32</f>
        <v>0</v>
      </c>
      <c r="H174" s="20">
        <f>I!G32</f>
        <v>0</v>
      </c>
      <c r="I174" s="20">
        <f>J!G32</f>
        <v>0</v>
      </c>
      <c r="J174" s="20">
        <f>K!G32</f>
        <v>0</v>
      </c>
      <c r="K174" s="20">
        <f>L!G32</f>
        <v>0</v>
      </c>
      <c r="L174" s="20">
        <f>M!G32</f>
        <v>0</v>
      </c>
      <c r="M174" s="20">
        <f>N!G32</f>
        <v>0</v>
      </c>
      <c r="N174" s="20">
        <f>O!G32</f>
        <v>0</v>
      </c>
      <c r="O174" s="20">
        <f>P!G32</f>
        <v>0</v>
      </c>
      <c r="P174" s="20">
        <f>Q!G32</f>
        <v>0</v>
      </c>
      <c r="Q174" s="20">
        <f>'R'!G32</f>
        <v>0</v>
      </c>
      <c r="R174" s="20">
        <f>S!G32</f>
        <v>0</v>
      </c>
      <c r="S174" s="20">
        <f>T!G32</f>
        <v>0</v>
      </c>
      <c r="T174" s="20">
        <f>U!G32</f>
        <v>0</v>
      </c>
      <c r="U174" s="20">
        <f>V!G32</f>
        <v>0</v>
      </c>
      <c r="V174" s="20">
        <f>W!G32</f>
        <v>0</v>
      </c>
      <c r="W174" s="20">
        <f>X!G32</f>
        <v>0</v>
      </c>
      <c r="X174" s="21">
        <f t="shared" si="357"/>
        <v>0</v>
      </c>
      <c r="Y174" s="22">
        <f t="shared" ref="Y174:Y180" si="382">IF(AW174=0,0,X174/AW174)</f>
        <v>0</v>
      </c>
      <c r="Z174" s="122">
        <f t="shared" si="358"/>
        <v>0</v>
      </c>
      <c r="AA174" s="17">
        <f t="shared" si="359"/>
        <v>0</v>
      </c>
      <c r="AB174">
        <f t="shared" si="360"/>
        <v>0</v>
      </c>
      <c r="AC174">
        <f t="shared" si="361"/>
        <v>0</v>
      </c>
      <c r="AD174">
        <f t="shared" si="362"/>
        <v>0</v>
      </c>
      <c r="AE174">
        <f t="shared" si="363"/>
        <v>0</v>
      </c>
      <c r="AF174">
        <f t="shared" si="364"/>
        <v>0</v>
      </c>
      <c r="AG174">
        <f t="shared" si="365"/>
        <v>0</v>
      </c>
      <c r="AH174">
        <f t="shared" si="366"/>
        <v>0</v>
      </c>
      <c r="AI174">
        <f t="shared" si="367"/>
        <v>0</v>
      </c>
      <c r="AJ174">
        <f t="shared" si="368"/>
        <v>0</v>
      </c>
      <c r="AK174">
        <f t="shared" si="369"/>
        <v>0</v>
      </c>
      <c r="AL174">
        <f t="shared" si="370"/>
        <v>0</v>
      </c>
      <c r="AM174">
        <f t="shared" si="371"/>
        <v>0</v>
      </c>
      <c r="AN174">
        <f t="shared" si="372"/>
        <v>0</v>
      </c>
      <c r="AO174">
        <f t="shared" si="373"/>
        <v>0</v>
      </c>
      <c r="AP174">
        <f t="shared" si="374"/>
        <v>0</v>
      </c>
      <c r="AQ174">
        <f t="shared" si="375"/>
        <v>0</v>
      </c>
      <c r="AR174">
        <f t="shared" si="376"/>
        <v>0</v>
      </c>
      <c r="AS174">
        <f t="shared" si="377"/>
        <v>0</v>
      </c>
      <c r="AT174">
        <f t="shared" si="378"/>
        <v>0</v>
      </c>
      <c r="AU174">
        <f t="shared" si="379"/>
        <v>0</v>
      </c>
      <c r="AV174">
        <f t="shared" si="380"/>
        <v>0</v>
      </c>
      <c r="AW174" s="23">
        <f t="shared" si="381"/>
        <v>0</v>
      </c>
      <c r="AX174" s="24">
        <f t="shared" ref="AX174:AX180" si="383">IF(X174=0,0,X174)</f>
        <v>0</v>
      </c>
      <c r="AY174" s="121">
        <f t="shared" ref="AY174:AY180" si="384">IF(X174=0,0,A174)</f>
        <v>0</v>
      </c>
      <c r="AZ174" s="124">
        <f t="shared" ref="AZ174:AZ180" si="385">IF(AX174=0,0,A$172)</f>
        <v>0</v>
      </c>
      <c r="BA174" s="199"/>
      <c r="BB174" s="198"/>
      <c r="BC174" s="200"/>
      <c r="BD174" s="24"/>
      <c r="BE174" s="23"/>
      <c r="BF174" s="203"/>
      <c r="BG174" s="204"/>
    </row>
    <row r="175" spans="1:59">
      <c r="A175" s="19">
        <f>B!$E$114</f>
        <v>0</v>
      </c>
      <c r="B175" s="20">
        <f>'C'!G33</f>
        <v>0</v>
      </c>
      <c r="C175" s="20">
        <f>D!G33</f>
        <v>0</v>
      </c>
      <c r="D175" s="20">
        <f>E!G33</f>
        <v>0</v>
      </c>
      <c r="E175" s="20">
        <f>F!G33</f>
        <v>0</v>
      </c>
      <c r="F175" s="20">
        <f>G!G33</f>
        <v>0</v>
      </c>
      <c r="G175" s="20">
        <f>H!G33</f>
        <v>0</v>
      </c>
      <c r="H175" s="20">
        <f>I!G33</f>
        <v>0</v>
      </c>
      <c r="I175" s="20">
        <f>J!G33</f>
        <v>0</v>
      </c>
      <c r="J175" s="20">
        <f>K!G33</f>
        <v>0</v>
      </c>
      <c r="K175" s="20">
        <f>L!G33</f>
        <v>0</v>
      </c>
      <c r="L175" s="20">
        <f>M!G33</f>
        <v>0</v>
      </c>
      <c r="M175" s="20">
        <f>N!G33</f>
        <v>0</v>
      </c>
      <c r="N175" s="20">
        <f>O!G33</f>
        <v>0</v>
      </c>
      <c r="O175" s="20">
        <f>P!G33</f>
        <v>0</v>
      </c>
      <c r="P175" s="20">
        <f>Q!G33</f>
        <v>0</v>
      </c>
      <c r="Q175" s="20">
        <f>'R'!G33</f>
        <v>0</v>
      </c>
      <c r="R175" s="20">
        <f>S!G33</f>
        <v>0</v>
      </c>
      <c r="S175" s="20">
        <f>T!G33</f>
        <v>0</v>
      </c>
      <c r="T175" s="20">
        <f>U!G33</f>
        <v>0</v>
      </c>
      <c r="U175" s="20">
        <f>V!G33</f>
        <v>0</v>
      </c>
      <c r="V175" s="20">
        <f>W!G33</f>
        <v>0</v>
      </c>
      <c r="W175" s="20">
        <f>X!G33</f>
        <v>0</v>
      </c>
      <c r="X175" s="21">
        <f t="shared" si="357"/>
        <v>0</v>
      </c>
      <c r="Y175" s="22">
        <f t="shared" si="382"/>
        <v>0</v>
      </c>
      <c r="Z175" s="122">
        <f t="shared" si="358"/>
        <v>0</v>
      </c>
      <c r="AA175" s="17">
        <f t="shared" si="359"/>
        <v>0</v>
      </c>
      <c r="AB175">
        <f t="shared" si="360"/>
        <v>0</v>
      </c>
      <c r="AC175">
        <f t="shared" si="361"/>
        <v>0</v>
      </c>
      <c r="AD175">
        <f t="shared" si="362"/>
        <v>0</v>
      </c>
      <c r="AE175">
        <f t="shared" si="363"/>
        <v>0</v>
      </c>
      <c r="AF175">
        <f t="shared" si="364"/>
        <v>0</v>
      </c>
      <c r="AG175">
        <f t="shared" si="365"/>
        <v>0</v>
      </c>
      <c r="AH175">
        <f t="shared" si="366"/>
        <v>0</v>
      </c>
      <c r="AI175">
        <f t="shared" si="367"/>
        <v>0</v>
      </c>
      <c r="AJ175">
        <f t="shared" si="368"/>
        <v>0</v>
      </c>
      <c r="AK175">
        <f t="shared" si="369"/>
        <v>0</v>
      </c>
      <c r="AL175">
        <f t="shared" si="370"/>
        <v>0</v>
      </c>
      <c r="AM175">
        <f t="shared" si="371"/>
        <v>0</v>
      </c>
      <c r="AN175">
        <f t="shared" si="372"/>
        <v>0</v>
      </c>
      <c r="AO175">
        <f t="shared" si="373"/>
        <v>0</v>
      </c>
      <c r="AP175">
        <f t="shared" si="374"/>
        <v>0</v>
      </c>
      <c r="AQ175">
        <f t="shared" si="375"/>
        <v>0</v>
      </c>
      <c r="AR175">
        <f t="shared" si="376"/>
        <v>0</v>
      </c>
      <c r="AS175">
        <f t="shared" si="377"/>
        <v>0</v>
      </c>
      <c r="AT175">
        <f t="shared" si="378"/>
        <v>0</v>
      </c>
      <c r="AU175">
        <f t="shared" si="379"/>
        <v>0</v>
      </c>
      <c r="AV175">
        <f t="shared" si="380"/>
        <v>0</v>
      </c>
      <c r="AW175" s="23">
        <f t="shared" si="381"/>
        <v>0</v>
      </c>
      <c r="AX175" s="24">
        <f t="shared" si="383"/>
        <v>0</v>
      </c>
      <c r="AY175" s="121">
        <f t="shared" si="384"/>
        <v>0</v>
      </c>
      <c r="AZ175" s="124">
        <f t="shared" si="385"/>
        <v>0</v>
      </c>
      <c r="BA175" s="199"/>
      <c r="BB175" s="198"/>
      <c r="BC175" s="200"/>
      <c r="BD175" s="24"/>
      <c r="BE175" s="23"/>
      <c r="BF175" s="203"/>
      <c r="BG175" s="204"/>
    </row>
    <row r="176" spans="1:59">
      <c r="A176" s="19">
        <f>B!$E$119</f>
        <v>0</v>
      </c>
      <c r="B176" s="20">
        <f>'C'!G34</f>
        <v>0</v>
      </c>
      <c r="C176" s="20">
        <f>D!G34</f>
        <v>0</v>
      </c>
      <c r="D176" s="20">
        <f>E!G34</f>
        <v>0</v>
      </c>
      <c r="E176" s="20">
        <f>F!G34</f>
        <v>0</v>
      </c>
      <c r="F176" s="20">
        <f>G!G34</f>
        <v>0</v>
      </c>
      <c r="G176" s="20">
        <f>H!G34</f>
        <v>0</v>
      </c>
      <c r="H176" s="20">
        <f>I!G34</f>
        <v>0</v>
      </c>
      <c r="I176" s="20">
        <f>J!G34</f>
        <v>0</v>
      </c>
      <c r="J176" s="20">
        <f>K!G34</f>
        <v>0</v>
      </c>
      <c r="K176" s="20">
        <f>L!G34</f>
        <v>0</v>
      </c>
      <c r="L176" s="20">
        <f>M!G34</f>
        <v>0</v>
      </c>
      <c r="M176" s="20">
        <f>N!G34</f>
        <v>0</v>
      </c>
      <c r="N176" s="20">
        <f>O!G34</f>
        <v>0</v>
      </c>
      <c r="O176" s="20">
        <f>P!G34</f>
        <v>0</v>
      </c>
      <c r="P176" s="20">
        <f>Q!G34</f>
        <v>0</v>
      </c>
      <c r="Q176" s="20">
        <f>'R'!G34</f>
        <v>0</v>
      </c>
      <c r="R176" s="20">
        <f>S!G34</f>
        <v>0</v>
      </c>
      <c r="S176" s="20">
        <f>T!G34</f>
        <v>0</v>
      </c>
      <c r="T176" s="20">
        <f>U!G34</f>
        <v>0</v>
      </c>
      <c r="U176" s="20">
        <f>V!G34</f>
        <v>0</v>
      </c>
      <c r="V176" s="20">
        <f>W!G34</f>
        <v>0</v>
      </c>
      <c r="W176" s="20">
        <f>X!G34</f>
        <v>0</v>
      </c>
      <c r="X176" s="21">
        <f t="shared" si="357"/>
        <v>0</v>
      </c>
      <c r="Y176" s="22">
        <f t="shared" si="382"/>
        <v>0</v>
      </c>
      <c r="Z176" s="122">
        <f t="shared" si="358"/>
        <v>0</v>
      </c>
      <c r="AA176" s="17">
        <f t="shared" si="359"/>
        <v>0</v>
      </c>
      <c r="AB176">
        <f t="shared" si="360"/>
        <v>0</v>
      </c>
      <c r="AC176">
        <f t="shared" si="361"/>
        <v>0</v>
      </c>
      <c r="AD176">
        <f t="shared" si="362"/>
        <v>0</v>
      </c>
      <c r="AE176">
        <f t="shared" si="363"/>
        <v>0</v>
      </c>
      <c r="AF176">
        <f t="shared" si="364"/>
        <v>0</v>
      </c>
      <c r="AG176">
        <f t="shared" si="365"/>
        <v>0</v>
      </c>
      <c r="AH176">
        <f t="shared" si="366"/>
        <v>0</v>
      </c>
      <c r="AI176">
        <f t="shared" si="367"/>
        <v>0</v>
      </c>
      <c r="AJ176">
        <f t="shared" si="368"/>
        <v>0</v>
      </c>
      <c r="AK176">
        <f t="shared" si="369"/>
        <v>0</v>
      </c>
      <c r="AL176">
        <f t="shared" si="370"/>
        <v>0</v>
      </c>
      <c r="AM176">
        <f t="shared" si="371"/>
        <v>0</v>
      </c>
      <c r="AN176">
        <f t="shared" si="372"/>
        <v>0</v>
      </c>
      <c r="AO176">
        <f t="shared" si="373"/>
        <v>0</v>
      </c>
      <c r="AP176">
        <f t="shared" si="374"/>
        <v>0</v>
      </c>
      <c r="AQ176">
        <f t="shared" si="375"/>
        <v>0</v>
      </c>
      <c r="AR176">
        <f t="shared" si="376"/>
        <v>0</v>
      </c>
      <c r="AS176">
        <f t="shared" si="377"/>
        <v>0</v>
      </c>
      <c r="AT176">
        <f t="shared" si="378"/>
        <v>0</v>
      </c>
      <c r="AU176">
        <f t="shared" si="379"/>
        <v>0</v>
      </c>
      <c r="AV176">
        <f t="shared" si="380"/>
        <v>0</v>
      </c>
      <c r="AW176" s="23">
        <f t="shared" si="381"/>
        <v>0</v>
      </c>
      <c r="AX176" s="24">
        <f t="shared" si="383"/>
        <v>0</v>
      </c>
      <c r="AY176" s="121">
        <f t="shared" si="384"/>
        <v>0</v>
      </c>
      <c r="AZ176" s="124">
        <f t="shared" si="385"/>
        <v>0</v>
      </c>
      <c r="BA176" s="199"/>
      <c r="BB176" s="198"/>
      <c r="BC176" s="200"/>
      <c r="BD176" s="24"/>
      <c r="BE176" s="23"/>
      <c r="BF176" s="203"/>
      <c r="BG176" s="204"/>
    </row>
    <row r="177" spans="1:59">
      <c r="A177" s="19">
        <f>B!$E$124</f>
        <v>0</v>
      </c>
      <c r="B177" s="20">
        <f>'C'!G35</f>
        <v>0</v>
      </c>
      <c r="C177" s="20">
        <f>D!G35</f>
        <v>0</v>
      </c>
      <c r="D177" s="20">
        <f>E!G35</f>
        <v>0</v>
      </c>
      <c r="E177" s="20">
        <f>F!G35</f>
        <v>0</v>
      </c>
      <c r="F177" s="20">
        <f>G!G35</f>
        <v>0</v>
      </c>
      <c r="G177" s="20">
        <f>H!G35</f>
        <v>0</v>
      </c>
      <c r="H177" s="20">
        <f>I!G35</f>
        <v>0</v>
      </c>
      <c r="I177" s="20">
        <f>J!G35</f>
        <v>0</v>
      </c>
      <c r="J177" s="20">
        <f>K!G35</f>
        <v>0</v>
      </c>
      <c r="K177" s="20">
        <f>L!G35</f>
        <v>0</v>
      </c>
      <c r="L177" s="20">
        <f>M!G35</f>
        <v>0</v>
      </c>
      <c r="M177" s="20">
        <f>N!G35</f>
        <v>0</v>
      </c>
      <c r="N177" s="20">
        <f>O!G35</f>
        <v>0</v>
      </c>
      <c r="O177" s="20">
        <f>P!G35</f>
        <v>0</v>
      </c>
      <c r="P177" s="20">
        <f>Q!G35</f>
        <v>0</v>
      </c>
      <c r="Q177" s="20">
        <f>'R'!G35</f>
        <v>0</v>
      </c>
      <c r="R177" s="20">
        <f>S!G35</f>
        <v>0</v>
      </c>
      <c r="S177" s="20">
        <f>T!G35</f>
        <v>0</v>
      </c>
      <c r="T177" s="20">
        <f>U!G35</f>
        <v>0</v>
      </c>
      <c r="U177" s="20">
        <f>V!G35</f>
        <v>0</v>
      </c>
      <c r="V177" s="20">
        <f>W!G35</f>
        <v>0</v>
      </c>
      <c r="W177" s="20">
        <f>X!G35</f>
        <v>0</v>
      </c>
      <c r="X177" s="21">
        <f t="shared" si="357"/>
        <v>0</v>
      </c>
      <c r="Y177" s="22">
        <f t="shared" si="382"/>
        <v>0</v>
      </c>
      <c r="Z177" s="122">
        <f t="shared" si="358"/>
        <v>0</v>
      </c>
      <c r="AA177" s="17">
        <f t="shared" si="359"/>
        <v>0</v>
      </c>
      <c r="AB177">
        <f t="shared" si="360"/>
        <v>0</v>
      </c>
      <c r="AC177">
        <f t="shared" si="361"/>
        <v>0</v>
      </c>
      <c r="AD177">
        <f t="shared" si="362"/>
        <v>0</v>
      </c>
      <c r="AE177">
        <f t="shared" si="363"/>
        <v>0</v>
      </c>
      <c r="AF177">
        <f t="shared" si="364"/>
        <v>0</v>
      </c>
      <c r="AG177">
        <f t="shared" si="365"/>
        <v>0</v>
      </c>
      <c r="AH177">
        <f t="shared" si="366"/>
        <v>0</v>
      </c>
      <c r="AI177">
        <f t="shared" si="367"/>
        <v>0</v>
      </c>
      <c r="AJ177">
        <f t="shared" si="368"/>
        <v>0</v>
      </c>
      <c r="AK177">
        <f t="shared" si="369"/>
        <v>0</v>
      </c>
      <c r="AL177">
        <f t="shared" si="370"/>
        <v>0</v>
      </c>
      <c r="AM177">
        <f t="shared" si="371"/>
        <v>0</v>
      </c>
      <c r="AN177">
        <f t="shared" si="372"/>
        <v>0</v>
      </c>
      <c r="AO177">
        <f t="shared" si="373"/>
        <v>0</v>
      </c>
      <c r="AP177">
        <f t="shared" si="374"/>
        <v>0</v>
      </c>
      <c r="AQ177">
        <f t="shared" si="375"/>
        <v>0</v>
      </c>
      <c r="AR177">
        <f t="shared" si="376"/>
        <v>0</v>
      </c>
      <c r="AS177">
        <f t="shared" si="377"/>
        <v>0</v>
      </c>
      <c r="AT177">
        <f t="shared" si="378"/>
        <v>0</v>
      </c>
      <c r="AU177">
        <f t="shared" si="379"/>
        <v>0</v>
      </c>
      <c r="AV177">
        <f t="shared" si="380"/>
        <v>0</v>
      </c>
      <c r="AW177" s="23">
        <f t="shared" si="381"/>
        <v>0</v>
      </c>
      <c r="AX177" s="24">
        <f t="shared" si="383"/>
        <v>0</v>
      </c>
      <c r="AY177" s="121">
        <f t="shared" si="384"/>
        <v>0</v>
      </c>
      <c r="AZ177" s="124">
        <f t="shared" si="385"/>
        <v>0</v>
      </c>
      <c r="BA177" s="199"/>
      <c r="BB177" s="198"/>
      <c r="BC177" s="200"/>
      <c r="BD177" s="24"/>
      <c r="BE177" s="23"/>
      <c r="BF177" s="203"/>
      <c r="BG177" s="204"/>
    </row>
    <row r="178" spans="1:59">
      <c r="A178" s="19">
        <f>B!$E$129</f>
        <v>0</v>
      </c>
      <c r="B178" s="20">
        <f>'C'!G36</f>
        <v>0</v>
      </c>
      <c r="C178" s="20">
        <f>D!G36</f>
        <v>0</v>
      </c>
      <c r="D178" s="20">
        <f>E!G36</f>
        <v>0</v>
      </c>
      <c r="E178" s="20">
        <f>F!G36</f>
        <v>0</v>
      </c>
      <c r="F178" s="20">
        <f>G!G36</f>
        <v>0</v>
      </c>
      <c r="G178" s="20">
        <f>H!G36</f>
        <v>0</v>
      </c>
      <c r="H178" s="20">
        <f>I!G36</f>
        <v>0</v>
      </c>
      <c r="I178" s="20">
        <f>J!G36</f>
        <v>0</v>
      </c>
      <c r="J178" s="20">
        <f>K!G36</f>
        <v>0</v>
      </c>
      <c r="K178" s="20">
        <f>L!G36</f>
        <v>0</v>
      </c>
      <c r="L178" s="20">
        <f>M!G36</f>
        <v>0</v>
      </c>
      <c r="M178" s="20">
        <f>N!G36</f>
        <v>0</v>
      </c>
      <c r="N178" s="20">
        <f>O!G36</f>
        <v>0</v>
      </c>
      <c r="O178" s="20">
        <f>P!G36</f>
        <v>0</v>
      </c>
      <c r="P178" s="20">
        <f>Q!G36</f>
        <v>0</v>
      </c>
      <c r="Q178" s="20">
        <f>'R'!G36</f>
        <v>0</v>
      </c>
      <c r="R178" s="20">
        <f>S!G36</f>
        <v>0</v>
      </c>
      <c r="S178" s="20">
        <f>T!G36</f>
        <v>0</v>
      </c>
      <c r="T178" s="20">
        <f>U!G36</f>
        <v>0</v>
      </c>
      <c r="U178" s="20">
        <f>V!G36</f>
        <v>0</v>
      </c>
      <c r="V178" s="20">
        <f>W!G36</f>
        <v>0</v>
      </c>
      <c r="W178" s="20">
        <f>X!G36</f>
        <v>0</v>
      </c>
      <c r="X178" s="21">
        <f t="shared" si="357"/>
        <v>0</v>
      </c>
      <c r="Y178" s="22">
        <f t="shared" si="382"/>
        <v>0</v>
      </c>
      <c r="Z178" s="122">
        <f t="shared" si="358"/>
        <v>0</v>
      </c>
      <c r="AA178" s="17">
        <f t="shared" si="359"/>
        <v>0</v>
      </c>
      <c r="AB178">
        <f t="shared" si="360"/>
        <v>0</v>
      </c>
      <c r="AC178">
        <f t="shared" si="361"/>
        <v>0</v>
      </c>
      <c r="AD178">
        <f t="shared" si="362"/>
        <v>0</v>
      </c>
      <c r="AE178">
        <f t="shared" si="363"/>
        <v>0</v>
      </c>
      <c r="AF178">
        <f t="shared" si="364"/>
        <v>0</v>
      </c>
      <c r="AG178">
        <f t="shared" si="365"/>
        <v>0</v>
      </c>
      <c r="AH178">
        <f t="shared" si="366"/>
        <v>0</v>
      </c>
      <c r="AI178">
        <f t="shared" si="367"/>
        <v>0</v>
      </c>
      <c r="AJ178">
        <f t="shared" si="368"/>
        <v>0</v>
      </c>
      <c r="AK178">
        <f t="shared" si="369"/>
        <v>0</v>
      </c>
      <c r="AL178">
        <f t="shared" si="370"/>
        <v>0</v>
      </c>
      <c r="AM178">
        <f t="shared" si="371"/>
        <v>0</v>
      </c>
      <c r="AN178">
        <f t="shared" si="372"/>
        <v>0</v>
      </c>
      <c r="AO178">
        <f t="shared" si="373"/>
        <v>0</v>
      </c>
      <c r="AP178">
        <f t="shared" si="374"/>
        <v>0</v>
      </c>
      <c r="AQ178">
        <f t="shared" si="375"/>
        <v>0</v>
      </c>
      <c r="AR178">
        <f t="shared" si="376"/>
        <v>0</v>
      </c>
      <c r="AS178">
        <f t="shared" si="377"/>
        <v>0</v>
      </c>
      <c r="AT178">
        <f t="shared" si="378"/>
        <v>0</v>
      </c>
      <c r="AU178">
        <f t="shared" si="379"/>
        <v>0</v>
      </c>
      <c r="AV178">
        <f t="shared" si="380"/>
        <v>0</v>
      </c>
      <c r="AW178" s="23">
        <f t="shared" si="381"/>
        <v>0</v>
      </c>
      <c r="AX178" s="24">
        <f t="shared" si="383"/>
        <v>0</v>
      </c>
      <c r="AY178" s="121">
        <f t="shared" si="384"/>
        <v>0</v>
      </c>
      <c r="AZ178" s="124">
        <f t="shared" si="385"/>
        <v>0</v>
      </c>
      <c r="BA178" s="199"/>
      <c r="BB178" s="198"/>
      <c r="BC178" s="200"/>
      <c r="BD178" s="24"/>
      <c r="BE178" s="23"/>
      <c r="BF178" s="203"/>
      <c r="BG178" s="204"/>
    </row>
    <row r="179" spans="1:59">
      <c r="A179" s="19">
        <f>B!$E$134</f>
        <v>0</v>
      </c>
      <c r="B179" s="20">
        <f>'C'!G37</f>
        <v>0</v>
      </c>
      <c r="C179" s="20">
        <f>D!G37</f>
        <v>0</v>
      </c>
      <c r="D179" s="20">
        <f>E!G37</f>
        <v>0</v>
      </c>
      <c r="E179" s="20">
        <f>F!G37</f>
        <v>0</v>
      </c>
      <c r="F179" s="20">
        <f>G!G37</f>
        <v>0</v>
      </c>
      <c r="G179" s="20">
        <f>H!G37</f>
        <v>0</v>
      </c>
      <c r="H179" s="20">
        <f>I!G37</f>
        <v>0</v>
      </c>
      <c r="I179" s="20">
        <f>J!G37</f>
        <v>0</v>
      </c>
      <c r="J179" s="20">
        <f>K!G37</f>
        <v>0</v>
      </c>
      <c r="K179" s="20">
        <f>L!G37</f>
        <v>0</v>
      </c>
      <c r="L179" s="20">
        <f>M!G37</f>
        <v>0</v>
      </c>
      <c r="M179" s="20">
        <f>N!G37</f>
        <v>0</v>
      </c>
      <c r="N179" s="20">
        <f>O!G37</f>
        <v>0</v>
      </c>
      <c r="O179" s="20">
        <f>P!G37</f>
        <v>0</v>
      </c>
      <c r="P179" s="20">
        <f>Q!G37</f>
        <v>0</v>
      </c>
      <c r="Q179" s="20">
        <f>'R'!G37</f>
        <v>0</v>
      </c>
      <c r="R179" s="20">
        <f>S!G37</f>
        <v>0</v>
      </c>
      <c r="S179" s="20">
        <f>T!G37</f>
        <v>0</v>
      </c>
      <c r="T179" s="20">
        <f>U!G37</f>
        <v>0</v>
      </c>
      <c r="U179" s="20">
        <f>V!G37</f>
        <v>0</v>
      </c>
      <c r="V179" s="20">
        <f>W!G37</f>
        <v>0</v>
      </c>
      <c r="W179" s="20">
        <f>X!G37</f>
        <v>0</v>
      </c>
      <c r="X179" s="21">
        <f t="shared" si="357"/>
        <v>0</v>
      </c>
      <c r="Y179" s="22">
        <f t="shared" si="382"/>
        <v>0</v>
      </c>
      <c r="Z179" s="122">
        <f t="shared" si="358"/>
        <v>0</v>
      </c>
      <c r="AA179" s="17">
        <f t="shared" si="359"/>
        <v>0</v>
      </c>
      <c r="AB179">
        <f t="shared" si="360"/>
        <v>0</v>
      </c>
      <c r="AC179">
        <f t="shared" si="361"/>
        <v>0</v>
      </c>
      <c r="AD179">
        <f t="shared" si="362"/>
        <v>0</v>
      </c>
      <c r="AE179">
        <f t="shared" si="363"/>
        <v>0</v>
      </c>
      <c r="AF179">
        <f t="shared" si="364"/>
        <v>0</v>
      </c>
      <c r="AG179">
        <f t="shared" si="365"/>
        <v>0</v>
      </c>
      <c r="AH179">
        <f t="shared" si="366"/>
        <v>0</v>
      </c>
      <c r="AI179">
        <f t="shared" si="367"/>
        <v>0</v>
      </c>
      <c r="AJ179">
        <f t="shared" si="368"/>
        <v>0</v>
      </c>
      <c r="AK179">
        <f t="shared" si="369"/>
        <v>0</v>
      </c>
      <c r="AL179">
        <f t="shared" si="370"/>
        <v>0</v>
      </c>
      <c r="AM179">
        <f t="shared" si="371"/>
        <v>0</v>
      </c>
      <c r="AN179">
        <f t="shared" si="372"/>
        <v>0</v>
      </c>
      <c r="AO179">
        <f t="shared" si="373"/>
        <v>0</v>
      </c>
      <c r="AP179">
        <f t="shared" si="374"/>
        <v>0</v>
      </c>
      <c r="AQ179">
        <f t="shared" si="375"/>
        <v>0</v>
      </c>
      <c r="AR179">
        <f t="shared" si="376"/>
        <v>0</v>
      </c>
      <c r="AS179">
        <f t="shared" si="377"/>
        <v>0</v>
      </c>
      <c r="AT179">
        <f t="shared" si="378"/>
        <v>0</v>
      </c>
      <c r="AU179">
        <f t="shared" si="379"/>
        <v>0</v>
      </c>
      <c r="AV179">
        <f t="shared" si="380"/>
        <v>0</v>
      </c>
      <c r="AW179" s="23">
        <f t="shared" si="381"/>
        <v>0</v>
      </c>
      <c r="AX179" s="24">
        <f t="shared" si="383"/>
        <v>0</v>
      </c>
      <c r="AY179" s="121">
        <f t="shared" si="384"/>
        <v>0</v>
      </c>
      <c r="AZ179" s="124">
        <f t="shared" si="385"/>
        <v>0</v>
      </c>
      <c r="BA179" s="199"/>
      <c r="BB179" s="198"/>
      <c r="BC179" s="200"/>
      <c r="BD179" s="24"/>
      <c r="BE179" s="23"/>
      <c r="BF179" s="203"/>
      <c r="BG179" s="204"/>
    </row>
    <row r="180" spans="1:59" ht="15.75" thickBot="1">
      <c r="A180" s="19">
        <f>B!$E$139</f>
        <v>0</v>
      </c>
      <c r="B180" s="20">
        <f>'C'!G38</f>
        <v>0</v>
      </c>
      <c r="C180" s="20">
        <f>D!G38</f>
        <v>0</v>
      </c>
      <c r="D180" s="20">
        <f>E!G38</f>
        <v>0</v>
      </c>
      <c r="E180" s="20">
        <f>F!G38</f>
        <v>0</v>
      </c>
      <c r="F180" s="20">
        <f>G!G38</f>
        <v>0</v>
      </c>
      <c r="G180" s="20">
        <f>H!G38</f>
        <v>0</v>
      </c>
      <c r="H180" s="20">
        <f>I!G38</f>
        <v>0</v>
      </c>
      <c r="I180" s="20">
        <f>J!G38</f>
        <v>0</v>
      </c>
      <c r="J180" s="20">
        <f>K!G38</f>
        <v>0</v>
      </c>
      <c r="K180" s="20">
        <f>L!G38</f>
        <v>0</v>
      </c>
      <c r="L180" s="20">
        <f>M!G38</f>
        <v>0</v>
      </c>
      <c r="M180" s="20">
        <f>N!G38</f>
        <v>0</v>
      </c>
      <c r="N180" s="20">
        <f>O!G38</f>
        <v>0</v>
      </c>
      <c r="O180" s="20">
        <f>P!G38</f>
        <v>0</v>
      </c>
      <c r="P180" s="20">
        <f>Q!G38</f>
        <v>0</v>
      </c>
      <c r="Q180" s="20">
        <f>'R'!G38</f>
        <v>0</v>
      </c>
      <c r="R180" s="20">
        <f>S!G38</f>
        <v>0</v>
      </c>
      <c r="S180" s="20">
        <f>T!G38</f>
        <v>0</v>
      </c>
      <c r="T180" s="20">
        <f>U!G38</f>
        <v>0</v>
      </c>
      <c r="U180" s="20">
        <f>V!G38</f>
        <v>0</v>
      </c>
      <c r="V180" s="20">
        <f>W!G38</f>
        <v>0</v>
      </c>
      <c r="W180" s="20">
        <f>X!G38</f>
        <v>0</v>
      </c>
      <c r="X180" s="21">
        <f t="shared" si="357"/>
        <v>0</v>
      </c>
      <c r="Y180" s="22">
        <f t="shared" si="382"/>
        <v>0</v>
      </c>
      <c r="Z180" s="122">
        <f t="shared" si="358"/>
        <v>0</v>
      </c>
      <c r="AA180" s="17">
        <f t="shared" si="359"/>
        <v>0</v>
      </c>
      <c r="AB180">
        <f t="shared" si="360"/>
        <v>0</v>
      </c>
      <c r="AC180">
        <f t="shared" si="361"/>
        <v>0</v>
      </c>
      <c r="AD180">
        <f t="shared" si="362"/>
        <v>0</v>
      </c>
      <c r="AE180">
        <f t="shared" si="363"/>
        <v>0</v>
      </c>
      <c r="AF180">
        <f t="shared" si="364"/>
        <v>0</v>
      </c>
      <c r="AG180">
        <f t="shared" si="365"/>
        <v>0</v>
      </c>
      <c r="AH180">
        <f t="shared" si="366"/>
        <v>0</v>
      </c>
      <c r="AI180">
        <f t="shared" si="367"/>
        <v>0</v>
      </c>
      <c r="AJ180">
        <f t="shared" si="368"/>
        <v>0</v>
      </c>
      <c r="AK180">
        <f t="shared" si="369"/>
        <v>0</v>
      </c>
      <c r="AL180">
        <f t="shared" si="370"/>
        <v>0</v>
      </c>
      <c r="AM180">
        <f t="shared" si="371"/>
        <v>0</v>
      </c>
      <c r="AN180">
        <f t="shared" si="372"/>
        <v>0</v>
      </c>
      <c r="AO180">
        <f t="shared" si="373"/>
        <v>0</v>
      </c>
      <c r="AP180">
        <f t="shared" si="374"/>
        <v>0</v>
      </c>
      <c r="AQ180">
        <f t="shared" si="375"/>
        <v>0</v>
      </c>
      <c r="AR180">
        <f t="shared" si="376"/>
        <v>0</v>
      </c>
      <c r="AS180">
        <f t="shared" si="377"/>
        <v>0</v>
      </c>
      <c r="AT180">
        <f t="shared" si="378"/>
        <v>0</v>
      </c>
      <c r="AU180">
        <f t="shared" si="379"/>
        <v>0</v>
      </c>
      <c r="AV180">
        <f t="shared" si="380"/>
        <v>0</v>
      </c>
      <c r="AW180" s="23">
        <f t="shared" si="381"/>
        <v>0</v>
      </c>
      <c r="AX180" s="24">
        <f t="shared" si="383"/>
        <v>0</v>
      </c>
      <c r="AY180" s="121">
        <f t="shared" si="384"/>
        <v>0</v>
      </c>
      <c r="AZ180" s="124">
        <f t="shared" si="385"/>
        <v>0</v>
      </c>
      <c r="BA180" s="199"/>
      <c r="BB180" s="198"/>
      <c r="BC180" s="200"/>
      <c r="BD180" s="24"/>
      <c r="BE180" s="23"/>
      <c r="BF180" s="203"/>
      <c r="BG180" s="204"/>
    </row>
    <row r="181" spans="1:59" ht="15.75" thickTop="1">
      <c r="A181" s="133" t="s">
        <v>134</v>
      </c>
      <c r="B181" s="134">
        <f t="shared" ref="B181:W181" si="386">SUM(B173:B180)</f>
        <v>0</v>
      </c>
      <c r="C181" s="134">
        <f t="shared" si="386"/>
        <v>0</v>
      </c>
      <c r="D181" s="134">
        <f t="shared" si="386"/>
        <v>0</v>
      </c>
      <c r="E181" s="134">
        <f t="shared" si="386"/>
        <v>0</v>
      </c>
      <c r="F181" s="134">
        <f t="shared" si="386"/>
        <v>0</v>
      </c>
      <c r="G181" s="134">
        <f t="shared" si="386"/>
        <v>0</v>
      </c>
      <c r="H181" s="134">
        <f t="shared" si="386"/>
        <v>0</v>
      </c>
      <c r="I181" s="134">
        <f t="shared" si="386"/>
        <v>0</v>
      </c>
      <c r="J181" s="134">
        <f t="shared" si="386"/>
        <v>0</v>
      </c>
      <c r="K181" s="134">
        <f t="shared" si="386"/>
        <v>0</v>
      </c>
      <c r="L181" s="134">
        <f t="shared" si="386"/>
        <v>0</v>
      </c>
      <c r="M181" s="134">
        <f t="shared" si="386"/>
        <v>0</v>
      </c>
      <c r="N181" s="134">
        <f t="shared" si="386"/>
        <v>0</v>
      </c>
      <c r="O181" s="134">
        <f t="shared" si="386"/>
        <v>0</v>
      </c>
      <c r="P181" s="134">
        <f t="shared" si="386"/>
        <v>0</v>
      </c>
      <c r="Q181" s="134">
        <f t="shared" si="386"/>
        <v>0</v>
      </c>
      <c r="R181" s="134">
        <f t="shared" si="386"/>
        <v>0</v>
      </c>
      <c r="S181" s="134">
        <f t="shared" si="386"/>
        <v>0</v>
      </c>
      <c r="T181" s="134">
        <f t="shared" si="386"/>
        <v>0</v>
      </c>
      <c r="U181" s="134">
        <f t="shared" si="386"/>
        <v>0</v>
      </c>
      <c r="V181" s="134">
        <f t="shared" si="386"/>
        <v>0</v>
      </c>
      <c r="W181" s="134">
        <f t="shared" si="386"/>
        <v>0</v>
      </c>
      <c r="X181" s="135">
        <f t="shared" si="357"/>
        <v>0</v>
      </c>
      <c r="Y181" s="137">
        <f>IF(X181=0,0,X181/AW181)</f>
        <v>0</v>
      </c>
      <c r="Z181" s="122"/>
      <c r="AA181" s="138">
        <f t="shared" ref="AA181:AV181" si="387">SUM(AA173:AA180)</f>
        <v>0</v>
      </c>
      <c r="AB181" s="11">
        <f t="shared" si="387"/>
        <v>0</v>
      </c>
      <c r="AC181" s="11">
        <f t="shared" si="387"/>
        <v>0</v>
      </c>
      <c r="AD181" s="11">
        <f t="shared" si="387"/>
        <v>0</v>
      </c>
      <c r="AE181" s="11">
        <f t="shared" si="387"/>
        <v>0</v>
      </c>
      <c r="AF181" s="11">
        <f t="shared" si="387"/>
        <v>0</v>
      </c>
      <c r="AG181" s="11">
        <f t="shared" si="387"/>
        <v>0</v>
      </c>
      <c r="AH181" s="11">
        <f t="shared" si="387"/>
        <v>0</v>
      </c>
      <c r="AI181" s="11">
        <f t="shared" si="387"/>
        <v>0</v>
      </c>
      <c r="AJ181" s="11">
        <f t="shared" si="387"/>
        <v>0</v>
      </c>
      <c r="AK181" s="11">
        <f t="shared" si="387"/>
        <v>0</v>
      </c>
      <c r="AL181" s="11">
        <f t="shared" si="387"/>
        <v>0</v>
      </c>
      <c r="AM181" s="11">
        <f t="shared" si="387"/>
        <v>0</v>
      </c>
      <c r="AN181" s="11">
        <f t="shared" si="387"/>
        <v>0</v>
      </c>
      <c r="AO181" s="11">
        <f t="shared" si="387"/>
        <v>0</v>
      </c>
      <c r="AP181" s="11">
        <f t="shared" si="387"/>
        <v>0</v>
      </c>
      <c r="AQ181" s="11">
        <f t="shared" si="387"/>
        <v>0</v>
      </c>
      <c r="AR181" s="11">
        <f t="shared" si="387"/>
        <v>0</v>
      </c>
      <c r="AS181" s="11">
        <f t="shared" si="387"/>
        <v>0</v>
      </c>
      <c r="AT181" s="11">
        <f t="shared" si="387"/>
        <v>0</v>
      </c>
      <c r="AU181" s="11">
        <f t="shared" si="387"/>
        <v>0</v>
      </c>
      <c r="AV181" s="11">
        <f t="shared" si="387"/>
        <v>0</v>
      </c>
      <c r="AW181" s="12">
        <f>MAXA(AW173:AW180)</f>
        <v>0</v>
      </c>
      <c r="AX181" s="24"/>
      <c r="AZ181" s="124"/>
      <c r="BA181" s="199"/>
      <c r="BB181" s="198"/>
      <c r="BC181" s="200"/>
      <c r="BD181" s="24"/>
      <c r="BE181" s="23"/>
      <c r="BF181" s="203"/>
      <c r="BG181" s="204"/>
    </row>
    <row r="182" spans="1:59" ht="16.5" thickBot="1">
      <c r="A182" s="105" t="s">
        <v>189</v>
      </c>
      <c r="B182" s="20">
        <f>'C'!G39</f>
        <v>0</v>
      </c>
      <c r="C182" s="20">
        <f>D!G39</f>
        <v>0</v>
      </c>
      <c r="D182" s="20">
        <f>E!G39</f>
        <v>0</v>
      </c>
      <c r="E182" s="20">
        <f>F!G39</f>
        <v>0</v>
      </c>
      <c r="F182" s="20">
        <f>G!G39</f>
        <v>0</v>
      </c>
      <c r="G182" s="20">
        <f>H!G39</f>
        <v>0</v>
      </c>
      <c r="H182" s="20">
        <f>I!G39</f>
        <v>0</v>
      </c>
      <c r="I182" s="20">
        <f>J!G39</f>
        <v>0</v>
      </c>
      <c r="J182" s="20">
        <f>K!G39</f>
        <v>0</v>
      </c>
      <c r="K182" s="20">
        <f>L!G39</f>
        <v>0</v>
      </c>
      <c r="L182" s="20">
        <f>M!G39</f>
        <v>0</v>
      </c>
      <c r="M182" s="20">
        <f>N!G39</f>
        <v>0</v>
      </c>
      <c r="N182" s="20">
        <f>O!G39</f>
        <v>0</v>
      </c>
      <c r="O182" s="20">
        <f>P!G39</f>
        <v>0</v>
      </c>
      <c r="P182" s="20">
        <f>Q!G39</f>
        <v>0</v>
      </c>
      <c r="Q182" s="20">
        <f>'R'!G39</f>
        <v>0</v>
      </c>
      <c r="R182" s="20">
        <f>S!G39</f>
        <v>0</v>
      </c>
      <c r="S182" s="20">
        <f>T!G39</f>
        <v>0</v>
      </c>
      <c r="T182" s="20">
        <f>U!G39</f>
        <v>0</v>
      </c>
      <c r="U182" s="20">
        <f>V!G39</f>
        <v>0</v>
      </c>
      <c r="V182" s="20">
        <f>W!G39</f>
        <v>0</v>
      </c>
      <c r="W182" s="20">
        <f>X!G39</f>
        <v>0</v>
      </c>
      <c r="X182" s="21">
        <f t="shared" si="357"/>
        <v>0</v>
      </c>
      <c r="Y182" s="120"/>
      <c r="Z182" s="122"/>
      <c r="AA182" s="17"/>
      <c r="AW182" s="23"/>
      <c r="AX182" s="24"/>
      <c r="AZ182" s="124"/>
      <c r="BA182" s="199"/>
      <c r="BB182" s="198"/>
      <c r="BC182" s="200"/>
      <c r="BD182" s="24"/>
      <c r="BE182" s="23"/>
      <c r="BF182" s="203"/>
      <c r="BG182" s="204"/>
    </row>
    <row r="183" spans="1:59" ht="16.5" thickTop="1" thickBot="1">
      <c r="A183" s="100" t="s">
        <v>53</v>
      </c>
      <c r="B183" s="68">
        <f t="shared" ref="B183:W183" si="388">SUM(B181:B182)</f>
        <v>0</v>
      </c>
      <c r="C183" s="68">
        <f t="shared" si="388"/>
        <v>0</v>
      </c>
      <c r="D183" s="68">
        <f t="shared" si="388"/>
        <v>0</v>
      </c>
      <c r="E183" s="68">
        <f t="shared" si="388"/>
        <v>0</v>
      </c>
      <c r="F183" s="68">
        <f t="shared" si="388"/>
        <v>0</v>
      </c>
      <c r="G183" s="68">
        <f t="shared" si="388"/>
        <v>0</v>
      </c>
      <c r="H183" s="68">
        <f t="shared" si="388"/>
        <v>0</v>
      </c>
      <c r="I183" s="68">
        <f t="shared" si="388"/>
        <v>0</v>
      </c>
      <c r="J183" s="68">
        <f t="shared" si="388"/>
        <v>0</v>
      </c>
      <c r="K183" s="68">
        <f t="shared" si="388"/>
        <v>0</v>
      </c>
      <c r="L183" s="68">
        <f t="shared" si="388"/>
        <v>0</v>
      </c>
      <c r="M183" s="68">
        <f t="shared" si="388"/>
        <v>0</v>
      </c>
      <c r="N183" s="68">
        <f t="shared" si="388"/>
        <v>0</v>
      </c>
      <c r="O183" s="68">
        <f t="shared" si="388"/>
        <v>0</v>
      </c>
      <c r="P183" s="68">
        <f t="shared" si="388"/>
        <v>0</v>
      </c>
      <c r="Q183" s="68">
        <f t="shared" si="388"/>
        <v>0</v>
      </c>
      <c r="R183" s="68">
        <f t="shared" si="388"/>
        <v>0</v>
      </c>
      <c r="S183" s="68">
        <f t="shared" si="388"/>
        <v>0</v>
      </c>
      <c r="T183" s="68">
        <f t="shared" si="388"/>
        <v>0</v>
      </c>
      <c r="U183" s="68">
        <f t="shared" si="388"/>
        <v>0</v>
      </c>
      <c r="V183" s="68">
        <f t="shared" si="388"/>
        <v>0</v>
      </c>
      <c r="W183" s="68">
        <f t="shared" si="388"/>
        <v>0</v>
      </c>
      <c r="X183" s="28">
        <f t="shared" si="357"/>
        <v>0</v>
      </c>
      <c r="Y183" s="136"/>
      <c r="Z183" s="122"/>
      <c r="AA183" s="17"/>
      <c r="AW183" s="23"/>
      <c r="AX183" s="24"/>
      <c r="AZ183" s="124"/>
      <c r="BA183" s="199"/>
      <c r="BB183" s="198"/>
      <c r="BC183" s="200"/>
      <c r="BD183" s="24">
        <f>X183</f>
        <v>0</v>
      </c>
      <c r="BE183" s="23">
        <f>A172</f>
        <v>0</v>
      </c>
      <c r="BF183" s="203"/>
      <c r="BG183" s="204"/>
    </row>
    <row r="184" spans="1:59"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22"/>
      <c r="AA184" s="17"/>
      <c r="AW184" s="23"/>
      <c r="AX184" s="24"/>
      <c r="AZ184" s="124"/>
      <c r="BA184" s="199"/>
      <c r="BB184" s="198"/>
      <c r="BC184" s="200"/>
      <c r="BD184" s="24"/>
      <c r="BE184" s="23"/>
      <c r="BF184" s="203"/>
      <c r="BG184" s="204"/>
    </row>
    <row r="185" spans="1:59" ht="15.75" thickBot="1">
      <c r="A185" s="7" t="s">
        <v>66</v>
      </c>
      <c r="B185" s="8" t="s">
        <v>27</v>
      </c>
      <c r="C185" s="8" t="s">
        <v>28</v>
      </c>
      <c r="D185" s="8" t="s">
        <v>29</v>
      </c>
      <c r="E185" s="8" t="s">
        <v>30</v>
      </c>
      <c r="F185" s="8" t="s">
        <v>31</v>
      </c>
      <c r="G185" s="8" t="s">
        <v>32</v>
      </c>
      <c r="H185" s="8" t="s">
        <v>33</v>
      </c>
      <c r="I185" s="8" t="s">
        <v>34</v>
      </c>
      <c r="J185" s="8" t="s">
        <v>35</v>
      </c>
      <c r="K185" s="8" t="s">
        <v>36</v>
      </c>
      <c r="L185" s="8" t="s">
        <v>37</v>
      </c>
      <c r="M185" s="8" t="s">
        <v>38</v>
      </c>
      <c r="N185" s="8" t="s">
        <v>39</v>
      </c>
      <c r="O185" s="8" t="s">
        <v>40</v>
      </c>
      <c r="P185" s="8" t="s">
        <v>41</v>
      </c>
      <c r="Q185" s="8" t="s">
        <v>42</v>
      </c>
      <c r="R185" s="8" t="s">
        <v>43</v>
      </c>
      <c r="S185" s="8" t="s">
        <v>44</v>
      </c>
      <c r="T185" s="8" t="s">
        <v>45</v>
      </c>
      <c r="U185" s="8" t="s">
        <v>46</v>
      </c>
      <c r="V185" s="8" t="s">
        <v>47</v>
      </c>
      <c r="W185" s="8" t="s">
        <v>48</v>
      </c>
      <c r="X185" s="1"/>
      <c r="Y185" s="1"/>
      <c r="Z185" s="3" t="str">
        <f>A185</f>
        <v>Team #14 Name:</v>
      </c>
      <c r="AA185" s="17"/>
      <c r="AW185" s="23"/>
      <c r="AX185" s="24"/>
      <c r="AZ185" s="124"/>
      <c r="BA185" s="199"/>
      <c r="BB185" s="198"/>
      <c r="BC185" s="200"/>
      <c r="BD185" s="24"/>
      <c r="BE185" s="23"/>
      <c r="BF185" s="203"/>
      <c r="BG185" s="204"/>
    </row>
    <row r="186" spans="1:59">
      <c r="A186" s="13">
        <f>B!$E$145</f>
        <v>0</v>
      </c>
      <c r="B186" s="29" t="s">
        <v>50</v>
      </c>
      <c r="C186" s="29" t="s">
        <v>50</v>
      </c>
      <c r="D186" s="29" t="s">
        <v>50</v>
      </c>
      <c r="E186" s="29" t="s">
        <v>50</v>
      </c>
      <c r="F186" s="29" t="s">
        <v>50</v>
      </c>
      <c r="G186" s="29" t="s">
        <v>50</v>
      </c>
      <c r="H186" s="29" t="s">
        <v>50</v>
      </c>
      <c r="I186" s="29" t="s">
        <v>50</v>
      </c>
      <c r="J186" s="29" t="s">
        <v>50</v>
      </c>
      <c r="K186" s="29" t="s">
        <v>50</v>
      </c>
      <c r="L186" s="29" t="s">
        <v>50</v>
      </c>
      <c r="M186" s="29" t="s">
        <v>50</v>
      </c>
      <c r="N186" s="29" t="s">
        <v>50</v>
      </c>
      <c r="O186" s="29" t="s">
        <v>50</v>
      </c>
      <c r="P186" s="29" t="s">
        <v>50</v>
      </c>
      <c r="Q186" s="29" t="s">
        <v>50</v>
      </c>
      <c r="R186" s="29" t="s">
        <v>50</v>
      </c>
      <c r="S186" s="29" t="s">
        <v>50</v>
      </c>
      <c r="T186" s="29" t="s">
        <v>50</v>
      </c>
      <c r="U186" s="29" t="s">
        <v>50</v>
      </c>
      <c r="V186" s="29" t="s">
        <v>50</v>
      </c>
      <c r="W186" s="29" t="s">
        <v>50</v>
      </c>
      <c r="X186" s="15" t="s">
        <v>51</v>
      </c>
      <c r="Y186" s="16" t="s">
        <v>52</v>
      </c>
      <c r="Z186" s="123">
        <f>A186</f>
        <v>0</v>
      </c>
      <c r="AA186" s="17"/>
      <c r="AW186" s="4" t="s">
        <v>97</v>
      </c>
      <c r="AX186" s="24"/>
      <c r="AZ186" s="124"/>
      <c r="BA186" s="199"/>
      <c r="BB186" s="198"/>
      <c r="BC186" s="200"/>
      <c r="BD186" s="24"/>
      <c r="BE186" s="23"/>
      <c r="BF186" s="203"/>
      <c r="BG186" s="204"/>
    </row>
    <row r="187" spans="1:59">
      <c r="A187" s="19">
        <f>B!$E$147</f>
        <v>0</v>
      </c>
      <c r="B187" s="20">
        <f>'C'!G44</f>
        <v>0</v>
      </c>
      <c r="C187" s="20">
        <f>D!G44</f>
        <v>0</v>
      </c>
      <c r="D187" s="20">
        <f>E!G44</f>
        <v>0</v>
      </c>
      <c r="E187" s="20">
        <f>F!G44</f>
        <v>0</v>
      </c>
      <c r="F187" s="20">
        <f>G!G44</f>
        <v>0</v>
      </c>
      <c r="G187" s="20">
        <f>H!G44</f>
        <v>0</v>
      </c>
      <c r="H187" s="20">
        <f>I!G44</f>
        <v>0</v>
      </c>
      <c r="I187" s="20">
        <f>J!G44</f>
        <v>0</v>
      </c>
      <c r="J187" s="20">
        <f>K!G44</f>
        <v>0</v>
      </c>
      <c r="K187" s="20">
        <f>L!G44</f>
        <v>0</v>
      </c>
      <c r="L187" s="20">
        <f>M!G44</f>
        <v>0</v>
      </c>
      <c r="M187" s="20">
        <f>N!G44</f>
        <v>0</v>
      </c>
      <c r="N187" s="20">
        <f>O!G44</f>
        <v>0</v>
      </c>
      <c r="O187" s="20">
        <f>P!G44</f>
        <v>0</v>
      </c>
      <c r="P187" s="20">
        <f>Q!G44</f>
        <v>0</v>
      </c>
      <c r="Q187" s="20">
        <f>'R'!G44</f>
        <v>0</v>
      </c>
      <c r="R187" s="20">
        <f>S!G44</f>
        <v>0</v>
      </c>
      <c r="S187" s="20">
        <f>T!G44</f>
        <v>0</v>
      </c>
      <c r="T187" s="20">
        <f>U!G44</f>
        <v>0</v>
      </c>
      <c r="U187" s="20">
        <f>V!G44</f>
        <v>0</v>
      </c>
      <c r="V187" s="20">
        <f>W!G44</f>
        <v>0</v>
      </c>
      <c r="W187" s="20">
        <f>X!G44</f>
        <v>0</v>
      </c>
      <c r="X187" s="21">
        <f t="shared" ref="X187:X197" si="389">SUM(B187:W187)</f>
        <v>0</v>
      </c>
      <c r="Y187" s="22">
        <f>IF(AW187=0,0,X187/AW187)</f>
        <v>0</v>
      </c>
      <c r="Z187" s="122">
        <f t="shared" si="358"/>
        <v>0</v>
      </c>
      <c r="AA187" s="17">
        <f t="shared" ref="AA187:AA194" si="390">IF(B187=0,0,1)</f>
        <v>0</v>
      </c>
      <c r="AB187">
        <f t="shared" ref="AB187:AB194" si="391">IF(C187=0,0,1)</f>
        <v>0</v>
      </c>
      <c r="AC187">
        <f t="shared" ref="AC187:AC194" si="392">IF(D187=0,0,1)</f>
        <v>0</v>
      </c>
      <c r="AD187">
        <f t="shared" ref="AD187:AD194" si="393">IF(E187=0,0,1)</f>
        <v>0</v>
      </c>
      <c r="AE187">
        <f t="shared" ref="AE187:AE194" si="394">IF(F187=0,0,1)</f>
        <v>0</v>
      </c>
      <c r="AF187">
        <f t="shared" ref="AF187:AF194" si="395">IF(G187=0,0,1)</f>
        <v>0</v>
      </c>
      <c r="AG187">
        <f t="shared" ref="AG187:AG194" si="396">IF(H187=0,0,1)</f>
        <v>0</v>
      </c>
      <c r="AH187">
        <f t="shared" ref="AH187:AH194" si="397">IF(I187=0,0,1)</f>
        <v>0</v>
      </c>
      <c r="AI187">
        <f t="shared" ref="AI187:AI194" si="398">IF(J187=0,0,1)</f>
        <v>0</v>
      </c>
      <c r="AJ187">
        <f t="shared" ref="AJ187:AJ194" si="399">IF(K187=0,0,1)</f>
        <v>0</v>
      </c>
      <c r="AK187">
        <f t="shared" ref="AK187:AK194" si="400">IF(L187=0,0,1)</f>
        <v>0</v>
      </c>
      <c r="AL187">
        <f t="shared" ref="AL187:AL194" si="401">IF(M187=0,0,1)</f>
        <v>0</v>
      </c>
      <c r="AM187">
        <f t="shared" ref="AM187:AM194" si="402">IF(N187=0,0,1)</f>
        <v>0</v>
      </c>
      <c r="AN187">
        <f t="shared" ref="AN187:AN194" si="403">IF(O187=0,0,1)</f>
        <v>0</v>
      </c>
      <c r="AO187">
        <f t="shared" ref="AO187:AO194" si="404">IF(P187=0,0,1)</f>
        <v>0</v>
      </c>
      <c r="AP187">
        <f t="shared" ref="AP187:AP194" si="405">IF(Q187=0,0,1)</f>
        <v>0</v>
      </c>
      <c r="AQ187">
        <f t="shared" ref="AQ187:AQ194" si="406">IF(R187=0,0,1)</f>
        <v>0</v>
      </c>
      <c r="AR187">
        <f t="shared" ref="AR187:AR194" si="407">IF(S187=0,0,1)</f>
        <v>0</v>
      </c>
      <c r="AS187">
        <f t="shared" ref="AS187:AS194" si="408">IF(T187=0,0,1)</f>
        <v>0</v>
      </c>
      <c r="AT187">
        <f t="shared" ref="AT187:AT194" si="409">IF(U187=0,0,1)</f>
        <v>0</v>
      </c>
      <c r="AU187">
        <f t="shared" ref="AU187:AU194" si="410">IF(V187=0,0,1)</f>
        <v>0</v>
      </c>
      <c r="AV187">
        <f t="shared" ref="AV187:AV194" si="411">IF(W187=0,0,1)</f>
        <v>0</v>
      </c>
      <c r="AW187" s="23">
        <f t="shared" ref="AW187:AW194" si="412">SUM(AA187:AV187)</f>
        <v>0</v>
      </c>
      <c r="AX187" s="24">
        <f>IF(X187=0,0,X187)</f>
        <v>0</v>
      </c>
      <c r="AY187" s="121">
        <f>IF(X187=0,0,A187)</f>
        <v>0</v>
      </c>
      <c r="AZ187" s="124">
        <f>IF(AX187=0,0,A$186)</f>
        <v>0</v>
      </c>
      <c r="BA187" s="199"/>
      <c r="BB187" s="198"/>
      <c r="BC187" s="200"/>
      <c r="BD187" s="24"/>
      <c r="BE187" s="23"/>
      <c r="BF187" s="203"/>
      <c r="BG187" s="204"/>
    </row>
    <row r="188" spans="1:59">
      <c r="A188" s="19">
        <f>B!$E$152</f>
        <v>0</v>
      </c>
      <c r="B188" s="20">
        <f>'C'!G45</f>
        <v>0</v>
      </c>
      <c r="C188" s="20">
        <f>D!G45</f>
        <v>0</v>
      </c>
      <c r="D188" s="20">
        <f>E!G45</f>
        <v>0</v>
      </c>
      <c r="E188" s="20">
        <f>F!G45</f>
        <v>0</v>
      </c>
      <c r="F188" s="20">
        <f>G!G45</f>
        <v>0</v>
      </c>
      <c r="G188" s="20">
        <f>H!G45</f>
        <v>0</v>
      </c>
      <c r="H188" s="20">
        <f>I!G45</f>
        <v>0</v>
      </c>
      <c r="I188" s="20">
        <f>J!G45</f>
        <v>0</v>
      </c>
      <c r="J188" s="20">
        <f>K!G45</f>
        <v>0</v>
      </c>
      <c r="K188" s="20">
        <f>L!G45</f>
        <v>0</v>
      </c>
      <c r="L188" s="20">
        <f>M!G45</f>
        <v>0</v>
      </c>
      <c r="M188" s="20">
        <f>N!G45</f>
        <v>0</v>
      </c>
      <c r="N188" s="20">
        <f>O!G45</f>
        <v>0</v>
      </c>
      <c r="O188" s="20">
        <f>P!G45</f>
        <v>0</v>
      </c>
      <c r="P188" s="20">
        <f>Q!G45</f>
        <v>0</v>
      </c>
      <c r="Q188" s="20">
        <f>'R'!G45</f>
        <v>0</v>
      </c>
      <c r="R188" s="20">
        <f>S!G45</f>
        <v>0</v>
      </c>
      <c r="S188" s="20">
        <f>T!G45</f>
        <v>0</v>
      </c>
      <c r="T188" s="20">
        <f>U!G45</f>
        <v>0</v>
      </c>
      <c r="U188" s="20">
        <f>V!G45</f>
        <v>0</v>
      </c>
      <c r="V188" s="20">
        <f>W!G45</f>
        <v>0</v>
      </c>
      <c r="W188" s="20">
        <f>X!G45</f>
        <v>0</v>
      </c>
      <c r="X188" s="21">
        <f t="shared" si="389"/>
        <v>0</v>
      </c>
      <c r="Y188" s="22">
        <f t="shared" ref="Y188:Y194" si="413">IF(AW188=0,0,X188/AW188)</f>
        <v>0</v>
      </c>
      <c r="Z188" s="122">
        <f t="shared" si="358"/>
        <v>0</v>
      </c>
      <c r="AA188" s="17">
        <f t="shared" si="390"/>
        <v>0</v>
      </c>
      <c r="AB188">
        <f t="shared" si="391"/>
        <v>0</v>
      </c>
      <c r="AC188">
        <f t="shared" si="392"/>
        <v>0</v>
      </c>
      <c r="AD188">
        <f t="shared" si="393"/>
        <v>0</v>
      </c>
      <c r="AE188">
        <f t="shared" si="394"/>
        <v>0</v>
      </c>
      <c r="AF188">
        <f t="shared" si="395"/>
        <v>0</v>
      </c>
      <c r="AG188">
        <f t="shared" si="396"/>
        <v>0</v>
      </c>
      <c r="AH188">
        <f t="shared" si="397"/>
        <v>0</v>
      </c>
      <c r="AI188">
        <f t="shared" si="398"/>
        <v>0</v>
      </c>
      <c r="AJ188">
        <f t="shared" si="399"/>
        <v>0</v>
      </c>
      <c r="AK188">
        <f t="shared" si="400"/>
        <v>0</v>
      </c>
      <c r="AL188">
        <f t="shared" si="401"/>
        <v>0</v>
      </c>
      <c r="AM188">
        <f t="shared" si="402"/>
        <v>0</v>
      </c>
      <c r="AN188">
        <f t="shared" si="403"/>
        <v>0</v>
      </c>
      <c r="AO188">
        <f t="shared" si="404"/>
        <v>0</v>
      </c>
      <c r="AP188">
        <f t="shared" si="405"/>
        <v>0</v>
      </c>
      <c r="AQ188">
        <f t="shared" si="406"/>
        <v>0</v>
      </c>
      <c r="AR188">
        <f t="shared" si="407"/>
        <v>0</v>
      </c>
      <c r="AS188">
        <f t="shared" si="408"/>
        <v>0</v>
      </c>
      <c r="AT188">
        <f t="shared" si="409"/>
        <v>0</v>
      </c>
      <c r="AU188">
        <f t="shared" si="410"/>
        <v>0</v>
      </c>
      <c r="AV188">
        <f t="shared" si="411"/>
        <v>0</v>
      </c>
      <c r="AW188" s="23">
        <f t="shared" si="412"/>
        <v>0</v>
      </c>
      <c r="AX188" s="24">
        <f t="shared" ref="AX188:AX194" si="414">IF(X188=0,0,X188)</f>
        <v>0</v>
      </c>
      <c r="AY188" s="121">
        <f t="shared" ref="AY188:AY194" si="415">IF(X188=0,0,A188)</f>
        <v>0</v>
      </c>
      <c r="AZ188" s="124">
        <f t="shared" ref="AZ188:AZ194" si="416">IF(AX188=0,0,A$186)</f>
        <v>0</v>
      </c>
      <c r="BA188" s="199"/>
      <c r="BB188" s="198"/>
      <c r="BC188" s="200"/>
      <c r="BD188" s="24"/>
      <c r="BE188" s="23"/>
      <c r="BF188" s="203"/>
      <c r="BG188" s="204"/>
    </row>
    <row r="189" spans="1:59">
      <c r="A189" s="19">
        <f>B!$E$157</f>
        <v>0</v>
      </c>
      <c r="B189" s="20">
        <f>'C'!G46</f>
        <v>0</v>
      </c>
      <c r="C189" s="20">
        <f>D!G46</f>
        <v>0</v>
      </c>
      <c r="D189" s="20">
        <f>E!G46</f>
        <v>0</v>
      </c>
      <c r="E189" s="20">
        <f>F!G46</f>
        <v>0</v>
      </c>
      <c r="F189" s="20">
        <f>G!G46</f>
        <v>0</v>
      </c>
      <c r="G189" s="20">
        <f>H!G46</f>
        <v>0</v>
      </c>
      <c r="H189" s="20">
        <f>I!G46</f>
        <v>0</v>
      </c>
      <c r="I189" s="20">
        <f>J!G46</f>
        <v>0</v>
      </c>
      <c r="J189" s="20">
        <f>K!G46</f>
        <v>0</v>
      </c>
      <c r="K189" s="20">
        <f>L!G46</f>
        <v>0</v>
      </c>
      <c r="L189" s="20">
        <f>M!G46</f>
        <v>0</v>
      </c>
      <c r="M189" s="20">
        <f>N!G46</f>
        <v>0</v>
      </c>
      <c r="N189" s="20">
        <f>O!G46</f>
        <v>0</v>
      </c>
      <c r="O189" s="20">
        <f>P!G46</f>
        <v>0</v>
      </c>
      <c r="P189" s="20">
        <f>Q!G46</f>
        <v>0</v>
      </c>
      <c r="Q189" s="20">
        <f>'R'!G46</f>
        <v>0</v>
      </c>
      <c r="R189" s="20">
        <f>S!G46</f>
        <v>0</v>
      </c>
      <c r="S189" s="20">
        <f>T!G46</f>
        <v>0</v>
      </c>
      <c r="T189" s="20">
        <f>U!G46</f>
        <v>0</v>
      </c>
      <c r="U189" s="20">
        <f>V!G46</f>
        <v>0</v>
      </c>
      <c r="V189" s="20">
        <f>W!G46</f>
        <v>0</v>
      </c>
      <c r="W189" s="20">
        <f>X!G46</f>
        <v>0</v>
      </c>
      <c r="X189" s="21">
        <f t="shared" si="389"/>
        <v>0</v>
      </c>
      <c r="Y189" s="22">
        <f t="shared" si="413"/>
        <v>0</v>
      </c>
      <c r="Z189" s="122">
        <f t="shared" si="358"/>
        <v>0</v>
      </c>
      <c r="AA189" s="17">
        <f t="shared" si="390"/>
        <v>0</v>
      </c>
      <c r="AB189">
        <f t="shared" si="391"/>
        <v>0</v>
      </c>
      <c r="AC189">
        <f t="shared" si="392"/>
        <v>0</v>
      </c>
      <c r="AD189">
        <f t="shared" si="393"/>
        <v>0</v>
      </c>
      <c r="AE189">
        <f t="shared" si="394"/>
        <v>0</v>
      </c>
      <c r="AF189">
        <f t="shared" si="395"/>
        <v>0</v>
      </c>
      <c r="AG189">
        <f t="shared" si="396"/>
        <v>0</v>
      </c>
      <c r="AH189">
        <f t="shared" si="397"/>
        <v>0</v>
      </c>
      <c r="AI189">
        <f t="shared" si="398"/>
        <v>0</v>
      </c>
      <c r="AJ189">
        <f t="shared" si="399"/>
        <v>0</v>
      </c>
      <c r="AK189">
        <f t="shared" si="400"/>
        <v>0</v>
      </c>
      <c r="AL189">
        <f t="shared" si="401"/>
        <v>0</v>
      </c>
      <c r="AM189">
        <f t="shared" si="402"/>
        <v>0</v>
      </c>
      <c r="AN189">
        <f t="shared" si="403"/>
        <v>0</v>
      </c>
      <c r="AO189">
        <f t="shared" si="404"/>
        <v>0</v>
      </c>
      <c r="AP189">
        <f t="shared" si="405"/>
        <v>0</v>
      </c>
      <c r="AQ189">
        <f t="shared" si="406"/>
        <v>0</v>
      </c>
      <c r="AR189">
        <f t="shared" si="407"/>
        <v>0</v>
      </c>
      <c r="AS189">
        <f t="shared" si="408"/>
        <v>0</v>
      </c>
      <c r="AT189">
        <f t="shared" si="409"/>
        <v>0</v>
      </c>
      <c r="AU189">
        <f t="shared" si="410"/>
        <v>0</v>
      </c>
      <c r="AV189">
        <f t="shared" si="411"/>
        <v>0</v>
      </c>
      <c r="AW189" s="23">
        <f t="shared" si="412"/>
        <v>0</v>
      </c>
      <c r="AX189" s="24">
        <f t="shared" si="414"/>
        <v>0</v>
      </c>
      <c r="AY189" s="121">
        <f t="shared" si="415"/>
        <v>0</v>
      </c>
      <c r="AZ189" s="124">
        <f t="shared" si="416"/>
        <v>0</v>
      </c>
      <c r="BA189" s="199"/>
      <c r="BB189" s="198"/>
      <c r="BC189" s="200"/>
      <c r="BD189" s="24"/>
      <c r="BE189" s="23"/>
      <c r="BF189" s="203"/>
      <c r="BG189" s="204"/>
    </row>
    <row r="190" spans="1:59">
      <c r="A190" s="19">
        <f>B!$E$162</f>
        <v>0</v>
      </c>
      <c r="B190" s="20">
        <f>'C'!G47</f>
        <v>0</v>
      </c>
      <c r="C190" s="20">
        <f>D!G47</f>
        <v>0</v>
      </c>
      <c r="D190" s="20">
        <f>E!G47</f>
        <v>0</v>
      </c>
      <c r="E190" s="20">
        <f>F!G47</f>
        <v>0</v>
      </c>
      <c r="F190" s="20">
        <f>G!G47</f>
        <v>0</v>
      </c>
      <c r="G190" s="20">
        <f>H!G47</f>
        <v>0</v>
      </c>
      <c r="H190" s="20">
        <f>I!G47</f>
        <v>0</v>
      </c>
      <c r="I190" s="20">
        <f>J!G47</f>
        <v>0</v>
      </c>
      <c r="J190" s="20">
        <f>K!G47</f>
        <v>0</v>
      </c>
      <c r="K190" s="20">
        <f>L!G47</f>
        <v>0</v>
      </c>
      <c r="L190" s="20">
        <f>M!G47</f>
        <v>0</v>
      </c>
      <c r="M190" s="20">
        <f>N!G47</f>
        <v>0</v>
      </c>
      <c r="N190" s="20">
        <f>O!G47</f>
        <v>0</v>
      </c>
      <c r="O190" s="20">
        <f>P!G47</f>
        <v>0</v>
      </c>
      <c r="P190" s="20">
        <f>Q!G47</f>
        <v>0</v>
      </c>
      <c r="Q190" s="20">
        <f>'R'!G47</f>
        <v>0</v>
      </c>
      <c r="R190" s="20">
        <f>S!G47</f>
        <v>0</v>
      </c>
      <c r="S190" s="20">
        <f>T!G47</f>
        <v>0</v>
      </c>
      <c r="T190" s="20">
        <f>U!G47</f>
        <v>0</v>
      </c>
      <c r="U190" s="20">
        <f>V!G47</f>
        <v>0</v>
      </c>
      <c r="V190" s="20">
        <f>W!G47</f>
        <v>0</v>
      </c>
      <c r="W190" s="20">
        <f>X!G47</f>
        <v>0</v>
      </c>
      <c r="X190" s="21">
        <f t="shared" si="389"/>
        <v>0</v>
      </c>
      <c r="Y190" s="22">
        <f t="shared" si="413"/>
        <v>0</v>
      </c>
      <c r="Z190" s="122">
        <f t="shared" si="358"/>
        <v>0</v>
      </c>
      <c r="AA190" s="17">
        <f t="shared" si="390"/>
        <v>0</v>
      </c>
      <c r="AB190">
        <f t="shared" si="391"/>
        <v>0</v>
      </c>
      <c r="AC190">
        <f t="shared" si="392"/>
        <v>0</v>
      </c>
      <c r="AD190">
        <f t="shared" si="393"/>
        <v>0</v>
      </c>
      <c r="AE190">
        <f t="shared" si="394"/>
        <v>0</v>
      </c>
      <c r="AF190">
        <f t="shared" si="395"/>
        <v>0</v>
      </c>
      <c r="AG190">
        <f t="shared" si="396"/>
        <v>0</v>
      </c>
      <c r="AH190">
        <f t="shared" si="397"/>
        <v>0</v>
      </c>
      <c r="AI190">
        <f t="shared" si="398"/>
        <v>0</v>
      </c>
      <c r="AJ190">
        <f t="shared" si="399"/>
        <v>0</v>
      </c>
      <c r="AK190">
        <f t="shared" si="400"/>
        <v>0</v>
      </c>
      <c r="AL190">
        <f t="shared" si="401"/>
        <v>0</v>
      </c>
      <c r="AM190">
        <f t="shared" si="402"/>
        <v>0</v>
      </c>
      <c r="AN190">
        <f t="shared" si="403"/>
        <v>0</v>
      </c>
      <c r="AO190">
        <f t="shared" si="404"/>
        <v>0</v>
      </c>
      <c r="AP190">
        <f t="shared" si="405"/>
        <v>0</v>
      </c>
      <c r="AQ190">
        <f t="shared" si="406"/>
        <v>0</v>
      </c>
      <c r="AR190">
        <f t="shared" si="407"/>
        <v>0</v>
      </c>
      <c r="AS190">
        <f t="shared" si="408"/>
        <v>0</v>
      </c>
      <c r="AT190">
        <f t="shared" si="409"/>
        <v>0</v>
      </c>
      <c r="AU190">
        <f t="shared" si="410"/>
        <v>0</v>
      </c>
      <c r="AV190">
        <f t="shared" si="411"/>
        <v>0</v>
      </c>
      <c r="AW190" s="23">
        <f t="shared" si="412"/>
        <v>0</v>
      </c>
      <c r="AX190" s="24">
        <f t="shared" si="414"/>
        <v>0</v>
      </c>
      <c r="AY190" s="121">
        <f t="shared" si="415"/>
        <v>0</v>
      </c>
      <c r="AZ190" s="124">
        <f t="shared" si="416"/>
        <v>0</v>
      </c>
      <c r="BA190" s="201"/>
      <c r="BB190" s="198"/>
      <c r="BC190" s="202"/>
      <c r="BD190" s="1"/>
      <c r="BE190" s="23"/>
      <c r="BF190" s="203"/>
      <c r="BG190" s="204"/>
    </row>
    <row r="191" spans="1:59">
      <c r="A191" s="19">
        <f>B!$E$167</f>
        <v>0</v>
      </c>
      <c r="B191" s="20">
        <f>'C'!G48</f>
        <v>0</v>
      </c>
      <c r="C191" s="20">
        <f>D!G48</f>
        <v>0</v>
      </c>
      <c r="D191" s="20">
        <f>E!G48</f>
        <v>0</v>
      </c>
      <c r="E191" s="20">
        <f>F!G48</f>
        <v>0</v>
      </c>
      <c r="F191" s="20">
        <f>G!G48</f>
        <v>0</v>
      </c>
      <c r="G191" s="20">
        <f>H!G48</f>
        <v>0</v>
      </c>
      <c r="H191" s="20">
        <f>I!G48</f>
        <v>0</v>
      </c>
      <c r="I191" s="20">
        <f>J!G48</f>
        <v>0</v>
      </c>
      <c r="J191" s="20">
        <f>K!G48</f>
        <v>0</v>
      </c>
      <c r="K191" s="20">
        <f>L!G48</f>
        <v>0</v>
      </c>
      <c r="L191" s="20">
        <f>M!G48</f>
        <v>0</v>
      </c>
      <c r="M191" s="20">
        <f>N!G48</f>
        <v>0</v>
      </c>
      <c r="N191" s="20">
        <f>O!G48</f>
        <v>0</v>
      </c>
      <c r="O191" s="20">
        <f>P!G48</f>
        <v>0</v>
      </c>
      <c r="P191" s="20">
        <f>Q!G48</f>
        <v>0</v>
      </c>
      <c r="Q191" s="20">
        <f>'R'!G48</f>
        <v>0</v>
      </c>
      <c r="R191" s="20">
        <f>S!G48</f>
        <v>0</v>
      </c>
      <c r="S191" s="20">
        <f>T!G48</f>
        <v>0</v>
      </c>
      <c r="T191" s="20">
        <f>U!G48</f>
        <v>0</v>
      </c>
      <c r="U191" s="20">
        <f>V!G48</f>
        <v>0</v>
      </c>
      <c r="V191" s="20">
        <f>W!G48</f>
        <v>0</v>
      </c>
      <c r="W191" s="20">
        <f>X!G48</f>
        <v>0</v>
      </c>
      <c r="X191" s="21">
        <f t="shared" si="389"/>
        <v>0</v>
      </c>
      <c r="Y191" s="22">
        <f t="shared" si="413"/>
        <v>0</v>
      </c>
      <c r="Z191" s="122">
        <f t="shared" si="358"/>
        <v>0</v>
      </c>
      <c r="AA191" s="17">
        <f t="shared" si="390"/>
        <v>0</v>
      </c>
      <c r="AB191">
        <f t="shared" si="391"/>
        <v>0</v>
      </c>
      <c r="AC191">
        <f t="shared" si="392"/>
        <v>0</v>
      </c>
      <c r="AD191">
        <f t="shared" si="393"/>
        <v>0</v>
      </c>
      <c r="AE191">
        <f t="shared" si="394"/>
        <v>0</v>
      </c>
      <c r="AF191">
        <f t="shared" si="395"/>
        <v>0</v>
      </c>
      <c r="AG191">
        <f t="shared" si="396"/>
        <v>0</v>
      </c>
      <c r="AH191">
        <f t="shared" si="397"/>
        <v>0</v>
      </c>
      <c r="AI191">
        <f t="shared" si="398"/>
        <v>0</v>
      </c>
      <c r="AJ191">
        <f t="shared" si="399"/>
        <v>0</v>
      </c>
      <c r="AK191">
        <f t="shared" si="400"/>
        <v>0</v>
      </c>
      <c r="AL191">
        <f t="shared" si="401"/>
        <v>0</v>
      </c>
      <c r="AM191">
        <f t="shared" si="402"/>
        <v>0</v>
      </c>
      <c r="AN191">
        <f t="shared" si="403"/>
        <v>0</v>
      </c>
      <c r="AO191">
        <f t="shared" si="404"/>
        <v>0</v>
      </c>
      <c r="AP191">
        <f t="shared" si="405"/>
        <v>0</v>
      </c>
      <c r="AQ191">
        <f t="shared" si="406"/>
        <v>0</v>
      </c>
      <c r="AR191">
        <f t="shared" si="407"/>
        <v>0</v>
      </c>
      <c r="AS191">
        <f t="shared" si="408"/>
        <v>0</v>
      </c>
      <c r="AT191">
        <f t="shared" si="409"/>
        <v>0</v>
      </c>
      <c r="AU191">
        <f t="shared" si="410"/>
        <v>0</v>
      </c>
      <c r="AV191">
        <f t="shared" si="411"/>
        <v>0</v>
      </c>
      <c r="AW191" s="23">
        <f t="shared" si="412"/>
        <v>0</v>
      </c>
      <c r="AX191" s="24">
        <f t="shared" si="414"/>
        <v>0</v>
      </c>
      <c r="AY191" s="121">
        <f t="shared" si="415"/>
        <v>0</v>
      </c>
      <c r="AZ191" s="124">
        <f t="shared" si="416"/>
        <v>0</v>
      </c>
      <c r="BA191" s="199"/>
      <c r="BB191" s="198"/>
      <c r="BC191" s="200"/>
      <c r="BD191" s="24"/>
      <c r="BE191" s="23"/>
      <c r="BF191" s="203"/>
      <c r="BG191" s="204"/>
    </row>
    <row r="192" spans="1:59">
      <c r="A192" s="19">
        <f>B!$E$172</f>
        <v>0</v>
      </c>
      <c r="B192" s="20">
        <f>'C'!G49</f>
        <v>0</v>
      </c>
      <c r="C192" s="20">
        <f>D!G49</f>
        <v>0</v>
      </c>
      <c r="D192" s="20">
        <f>E!G49</f>
        <v>0</v>
      </c>
      <c r="E192" s="20">
        <f>F!G49</f>
        <v>0</v>
      </c>
      <c r="F192" s="20">
        <f>G!G49</f>
        <v>0</v>
      </c>
      <c r="G192" s="20">
        <f>H!G49</f>
        <v>0</v>
      </c>
      <c r="H192" s="20">
        <f>I!G49</f>
        <v>0</v>
      </c>
      <c r="I192" s="20">
        <f>J!G49</f>
        <v>0</v>
      </c>
      <c r="J192" s="20">
        <f>K!G49</f>
        <v>0</v>
      </c>
      <c r="K192" s="20">
        <f>L!G49</f>
        <v>0</v>
      </c>
      <c r="L192" s="20">
        <f>M!G49</f>
        <v>0</v>
      </c>
      <c r="M192" s="20">
        <f>N!G49</f>
        <v>0</v>
      </c>
      <c r="N192" s="20">
        <f>O!G49</f>
        <v>0</v>
      </c>
      <c r="O192" s="20">
        <f>P!G49</f>
        <v>0</v>
      </c>
      <c r="P192" s="20">
        <f>Q!G49</f>
        <v>0</v>
      </c>
      <c r="Q192" s="20">
        <f>'R'!G49</f>
        <v>0</v>
      </c>
      <c r="R192" s="20">
        <f>S!G49</f>
        <v>0</v>
      </c>
      <c r="S192" s="20">
        <f>T!G49</f>
        <v>0</v>
      </c>
      <c r="T192" s="20">
        <f>U!G49</f>
        <v>0</v>
      </c>
      <c r="U192" s="20">
        <f>V!G49</f>
        <v>0</v>
      </c>
      <c r="V192" s="20">
        <f>W!G49</f>
        <v>0</v>
      </c>
      <c r="W192" s="20">
        <f>X!G49</f>
        <v>0</v>
      </c>
      <c r="X192" s="21">
        <f t="shared" si="389"/>
        <v>0</v>
      </c>
      <c r="Y192" s="22">
        <f t="shared" si="413"/>
        <v>0</v>
      </c>
      <c r="Z192" s="122">
        <f t="shared" si="358"/>
        <v>0</v>
      </c>
      <c r="AA192" s="17">
        <f t="shared" si="390"/>
        <v>0</v>
      </c>
      <c r="AB192">
        <f t="shared" si="391"/>
        <v>0</v>
      </c>
      <c r="AC192">
        <f t="shared" si="392"/>
        <v>0</v>
      </c>
      <c r="AD192">
        <f t="shared" si="393"/>
        <v>0</v>
      </c>
      <c r="AE192">
        <f t="shared" si="394"/>
        <v>0</v>
      </c>
      <c r="AF192">
        <f t="shared" si="395"/>
        <v>0</v>
      </c>
      <c r="AG192">
        <f t="shared" si="396"/>
        <v>0</v>
      </c>
      <c r="AH192">
        <f t="shared" si="397"/>
        <v>0</v>
      </c>
      <c r="AI192">
        <f t="shared" si="398"/>
        <v>0</v>
      </c>
      <c r="AJ192">
        <f t="shared" si="399"/>
        <v>0</v>
      </c>
      <c r="AK192">
        <f t="shared" si="400"/>
        <v>0</v>
      </c>
      <c r="AL192">
        <f t="shared" si="401"/>
        <v>0</v>
      </c>
      <c r="AM192">
        <f t="shared" si="402"/>
        <v>0</v>
      </c>
      <c r="AN192">
        <f t="shared" si="403"/>
        <v>0</v>
      </c>
      <c r="AO192">
        <f t="shared" si="404"/>
        <v>0</v>
      </c>
      <c r="AP192">
        <f t="shared" si="405"/>
        <v>0</v>
      </c>
      <c r="AQ192">
        <f t="shared" si="406"/>
        <v>0</v>
      </c>
      <c r="AR192">
        <f t="shared" si="407"/>
        <v>0</v>
      </c>
      <c r="AS192">
        <f t="shared" si="408"/>
        <v>0</v>
      </c>
      <c r="AT192">
        <f t="shared" si="409"/>
        <v>0</v>
      </c>
      <c r="AU192">
        <f t="shared" si="410"/>
        <v>0</v>
      </c>
      <c r="AV192">
        <f t="shared" si="411"/>
        <v>0</v>
      </c>
      <c r="AW192" s="23">
        <f t="shared" si="412"/>
        <v>0</v>
      </c>
      <c r="AX192" s="24">
        <f t="shared" si="414"/>
        <v>0</v>
      </c>
      <c r="AY192" s="121">
        <f t="shared" si="415"/>
        <v>0</v>
      </c>
      <c r="AZ192" s="124">
        <f t="shared" si="416"/>
        <v>0</v>
      </c>
      <c r="BA192" s="199"/>
      <c r="BB192" s="198"/>
      <c r="BC192" s="200"/>
      <c r="BD192" s="24"/>
      <c r="BE192" s="23"/>
      <c r="BF192" s="203"/>
      <c r="BG192" s="204"/>
    </row>
    <row r="193" spans="1:59">
      <c r="A193" s="19">
        <f>B!$E$177</f>
        <v>0</v>
      </c>
      <c r="B193" s="20">
        <f>'C'!G50</f>
        <v>0</v>
      </c>
      <c r="C193" s="20">
        <f>D!G50</f>
        <v>0</v>
      </c>
      <c r="D193" s="20">
        <f>E!G50</f>
        <v>0</v>
      </c>
      <c r="E193" s="20">
        <f>F!G50</f>
        <v>0</v>
      </c>
      <c r="F193" s="20">
        <f>G!G50</f>
        <v>0</v>
      </c>
      <c r="G193" s="20">
        <f>H!G50</f>
        <v>0</v>
      </c>
      <c r="H193" s="20">
        <f>I!G50</f>
        <v>0</v>
      </c>
      <c r="I193" s="20">
        <f>J!G50</f>
        <v>0</v>
      </c>
      <c r="J193" s="20">
        <f>K!G50</f>
        <v>0</v>
      </c>
      <c r="K193" s="20">
        <f>L!G50</f>
        <v>0</v>
      </c>
      <c r="L193" s="20">
        <f>M!G50</f>
        <v>0</v>
      </c>
      <c r="M193" s="20">
        <f>N!G50</f>
        <v>0</v>
      </c>
      <c r="N193" s="20">
        <f>O!G50</f>
        <v>0</v>
      </c>
      <c r="O193" s="20">
        <f>P!G50</f>
        <v>0</v>
      </c>
      <c r="P193" s="20">
        <f>Q!G50</f>
        <v>0</v>
      </c>
      <c r="Q193" s="20">
        <f>'R'!G50</f>
        <v>0</v>
      </c>
      <c r="R193" s="20">
        <f>S!G50</f>
        <v>0</v>
      </c>
      <c r="S193" s="20">
        <f>T!G50</f>
        <v>0</v>
      </c>
      <c r="T193" s="20">
        <f>U!G50</f>
        <v>0</v>
      </c>
      <c r="U193" s="20">
        <f>V!G50</f>
        <v>0</v>
      </c>
      <c r="V193" s="20">
        <f>W!G50</f>
        <v>0</v>
      </c>
      <c r="W193" s="20">
        <f>X!G50</f>
        <v>0</v>
      </c>
      <c r="X193" s="21">
        <f t="shared" si="389"/>
        <v>0</v>
      </c>
      <c r="Y193" s="22">
        <f t="shared" si="413"/>
        <v>0</v>
      </c>
      <c r="Z193" s="122">
        <f t="shared" si="358"/>
        <v>0</v>
      </c>
      <c r="AA193" s="17">
        <f t="shared" si="390"/>
        <v>0</v>
      </c>
      <c r="AB193">
        <f t="shared" si="391"/>
        <v>0</v>
      </c>
      <c r="AC193">
        <f t="shared" si="392"/>
        <v>0</v>
      </c>
      <c r="AD193">
        <f t="shared" si="393"/>
        <v>0</v>
      </c>
      <c r="AE193">
        <f t="shared" si="394"/>
        <v>0</v>
      </c>
      <c r="AF193">
        <f t="shared" si="395"/>
        <v>0</v>
      </c>
      <c r="AG193">
        <f t="shared" si="396"/>
        <v>0</v>
      </c>
      <c r="AH193">
        <f t="shared" si="397"/>
        <v>0</v>
      </c>
      <c r="AI193">
        <f t="shared" si="398"/>
        <v>0</v>
      </c>
      <c r="AJ193">
        <f t="shared" si="399"/>
        <v>0</v>
      </c>
      <c r="AK193">
        <f t="shared" si="400"/>
        <v>0</v>
      </c>
      <c r="AL193">
        <f t="shared" si="401"/>
        <v>0</v>
      </c>
      <c r="AM193">
        <f t="shared" si="402"/>
        <v>0</v>
      </c>
      <c r="AN193">
        <f t="shared" si="403"/>
        <v>0</v>
      </c>
      <c r="AO193">
        <f t="shared" si="404"/>
        <v>0</v>
      </c>
      <c r="AP193">
        <f t="shared" si="405"/>
        <v>0</v>
      </c>
      <c r="AQ193">
        <f t="shared" si="406"/>
        <v>0</v>
      </c>
      <c r="AR193">
        <f t="shared" si="407"/>
        <v>0</v>
      </c>
      <c r="AS193">
        <f t="shared" si="408"/>
        <v>0</v>
      </c>
      <c r="AT193">
        <f t="shared" si="409"/>
        <v>0</v>
      </c>
      <c r="AU193">
        <f t="shared" si="410"/>
        <v>0</v>
      </c>
      <c r="AV193">
        <f t="shared" si="411"/>
        <v>0</v>
      </c>
      <c r="AW193" s="23">
        <f t="shared" si="412"/>
        <v>0</v>
      </c>
      <c r="AX193" s="24">
        <f t="shared" si="414"/>
        <v>0</v>
      </c>
      <c r="AY193" s="121">
        <f t="shared" si="415"/>
        <v>0</v>
      </c>
      <c r="AZ193" s="124">
        <f t="shared" si="416"/>
        <v>0</v>
      </c>
      <c r="BA193" s="199"/>
      <c r="BB193" s="198"/>
      <c r="BC193" s="200"/>
      <c r="BD193" s="24"/>
      <c r="BE193" s="23"/>
      <c r="BF193" s="203"/>
      <c r="BG193" s="204"/>
    </row>
    <row r="194" spans="1:59" ht="15.75" thickBot="1">
      <c r="A194" s="19">
        <f>B!$E$182</f>
        <v>0</v>
      </c>
      <c r="B194" s="20">
        <f>'C'!G51</f>
        <v>0</v>
      </c>
      <c r="C194" s="20">
        <f>D!G51</f>
        <v>0</v>
      </c>
      <c r="D194" s="20">
        <f>E!G51</f>
        <v>0</v>
      </c>
      <c r="E194" s="20">
        <f>F!G51</f>
        <v>0</v>
      </c>
      <c r="F194" s="20">
        <f>G!G51</f>
        <v>0</v>
      </c>
      <c r="G194" s="20">
        <f>H!G51</f>
        <v>0</v>
      </c>
      <c r="H194" s="20">
        <f>I!G51</f>
        <v>0</v>
      </c>
      <c r="I194" s="20">
        <f>J!G51</f>
        <v>0</v>
      </c>
      <c r="J194" s="20">
        <f>K!G51</f>
        <v>0</v>
      </c>
      <c r="K194" s="20">
        <f>L!G51</f>
        <v>0</v>
      </c>
      <c r="L194" s="20">
        <f>M!G51</f>
        <v>0</v>
      </c>
      <c r="M194" s="20">
        <f>N!G51</f>
        <v>0</v>
      </c>
      <c r="N194" s="20">
        <f>O!G51</f>
        <v>0</v>
      </c>
      <c r="O194" s="20">
        <f>P!G51</f>
        <v>0</v>
      </c>
      <c r="P194" s="20">
        <f>Q!G51</f>
        <v>0</v>
      </c>
      <c r="Q194" s="20">
        <f>'R'!G51</f>
        <v>0</v>
      </c>
      <c r="R194" s="20">
        <f>S!G51</f>
        <v>0</v>
      </c>
      <c r="S194" s="20">
        <f>T!G51</f>
        <v>0</v>
      </c>
      <c r="T194" s="20">
        <f>U!G51</f>
        <v>0</v>
      </c>
      <c r="U194" s="20">
        <f>V!G51</f>
        <v>0</v>
      </c>
      <c r="V194" s="20">
        <f>W!G51</f>
        <v>0</v>
      </c>
      <c r="W194" s="20">
        <f>X!G51</f>
        <v>0</v>
      </c>
      <c r="X194" s="21">
        <f t="shared" si="389"/>
        <v>0</v>
      </c>
      <c r="Y194" s="22">
        <f t="shared" si="413"/>
        <v>0</v>
      </c>
      <c r="Z194" s="122">
        <f t="shared" si="358"/>
        <v>0</v>
      </c>
      <c r="AA194" s="17">
        <f t="shared" si="390"/>
        <v>0</v>
      </c>
      <c r="AB194">
        <f t="shared" si="391"/>
        <v>0</v>
      </c>
      <c r="AC194">
        <f t="shared" si="392"/>
        <v>0</v>
      </c>
      <c r="AD194">
        <f t="shared" si="393"/>
        <v>0</v>
      </c>
      <c r="AE194">
        <f t="shared" si="394"/>
        <v>0</v>
      </c>
      <c r="AF194">
        <f t="shared" si="395"/>
        <v>0</v>
      </c>
      <c r="AG194">
        <f t="shared" si="396"/>
        <v>0</v>
      </c>
      <c r="AH194">
        <f t="shared" si="397"/>
        <v>0</v>
      </c>
      <c r="AI194">
        <f t="shared" si="398"/>
        <v>0</v>
      </c>
      <c r="AJ194">
        <f t="shared" si="399"/>
        <v>0</v>
      </c>
      <c r="AK194">
        <f t="shared" si="400"/>
        <v>0</v>
      </c>
      <c r="AL194">
        <f t="shared" si="401"/>
        <v>0</v>
      </c>
      <c r="AM194">
        <f t="shared" si="402"/>
        <v>0</v>
      </c>
      <c r="AN194">
        <f t="shared" si="403"/>
        <v>0</v>
      </c>
      <c r="AO194">
        <f t="shared" si="404"/>
        <v>0</v>
      </c>
      <c r="AP194">
        <f t="shared" si="405"/>
        <v>0</v>
      </c>
      <c r="AQ194">
        <f t="shared" si="406"/>
        <v>0</v>
      </c>
      <c r="AR194">
        <f t="shared" si="407"/>
        <v>0</v>
      </c>
      <c r="AS194">
        <f t="shared" si="408"/>
        <v>0</v>
      </c>
      <c r="AT194">
        <f t="shared" si="409"/>
        <v>0</v>
      </c>
      <c r="AU194">
        <f t="shared" si="410"/>
        <v>0</v>
      </c>
      <c r="AV194">
        <f t="shared" si="411"/>
        <v>0</v>
      </c>
      <c r="AW194" s="23">
        <f t="shared" si="412"/>
        <v>0</v>
      </c>
      <c r="AX194" s="24">
        <f t="shared" si="414"/>
        <v>0</v>
      </c>
      <c r="AY194" s="121">
        <f t="shared" si="415"/>
        <v>0</v>
      </c>
      <c r="AZ194" s="124">
        <f t="shared" si="416"/>
        <v>0</v>
      </c>
      <c r="BA194" s="199"/>
      <c r="BB194" s="198"/>
      <c r="BC194" s="200"/>
      <c r="BD194" s="24"/>
      <c r="BE194" s="23"/>
      <c r="BF194" s="203"/>
      <c r="BG194" s="204"/>
    </row>
    <row r="195" spans="1:59" ht="15.75" thickTop="1">
      <c r="A195" s="133" t="s">
        <v>134</v>
      </c>
      <c r="B195" s="134">
        <f t="shared" ref="B195:W195" si="417">SUM(B187:B194)</f>
        <v>0</v>
      </c>
      <c r="C195" s="134">
        <f t="shared" si="417"/>
        <v>0</v>
      </c>
      <c r="D195" s="134">
        <f t="shared" si="417"/>
        <v>0</v>
      </c>
      <c r="E195" s="134">
        <f t="shared" si="417"/>
        <v>0</v>
      </c>
      <c r="F195" s="134">
        <f t="shared" si="417"/>
        <v>0</v>
      </c>
      <c r="G195" s="134">
        <f t="shared" si="417"/>
        <v>0</v>
      </c>
      <c r="H195" s="134">
        <f t="shared" si="417"/>
        <v>0</v>
      </c>
      <c r="I195" s="134">
        <f t="shared" si="417"/>
        <v>0</v>
      </c>
      <c r="J195" s="134">
        <f t="shared" si="417"/>
        <v>0</v>
      </c>
      <c r="K195" s="134">
        <f t="shared" si="417"/>
        <v>0</v>
      </c>
      <c r="L195" s="134">
        <f t="shared" si="417"/>
        <v>0</v>
      </c>
      <c r="M195" s="134">
        <f t="shared" si="417"/>
        <v>0</v>
      </c>
      <c r="N195" s="134">
        <f t="shared" si="417"/>
        <v>0</v>
      </c>
      <c r="O195" s="134">
        <f t="shared" si="417"/>
        <v>0</v>
      </c>
      <c r="P195" s="134">
        <f t="shared" si="417"/>
        <v>0</v>
      </c>
      <c r="Q195" s="134">
        <f t="shared" si="417"/>
        <v>0</v>
      </c>
      <c r="R195" s="134">
        <f t="shared" si="417"/>
        <v>0</v>
      </c>
      <c r="S195" s="134">
        <f t="shared" si="417"/>
        <v>0</v>
      </c>
      <c r="T195" s="134">
        <f t="shared" si="417"/>
        <v>0</v>
      </c>
      <c r="U195" s="134">
        <f t="shared" si="417"/>
        <v>0</v>
      </c>
      <c r="V195" s="134">
        <f t="shared" si="417"/>
        <v>0</v>
      </c>
      <c r="W195" s="134">
        <f t="shared" si="417"/>
        <v>0</v>
      </c>
      <c r="X195" s="135">
        <f t="shared" si="389"/>
        <v>0</v>
      </c>
      <c r="Y195" s="137">
        <f>IF(X195=0,0,X195/AW195)</f>
        <v>0</v>
      </c>
      <c r="Z195" s="122"/>
      <c r="AA195" s="138">
        <f t="shared" ref="AA195:AV195" si="418">SUM(AA187:AA194)</f>
        <v>0</v>
      </c>
      <c r="AB195" s="11">
        <f t="shared" si="418"/>
        <v>0</v>
      </c>
      <c r="AC195" s="11">
        <f t="shared" si="418"/>
        <v>0</v>
      </c>
      <c r="AD195" s="11">
        <f t="shared" si="418"/>
        <v>0</v>
      </c>
      <c r="AE195" s="11">
        <f t="shared" si="418"/>
        <v>0</v>
      </c>
      <c r="AF195" s="11">
        <f t="shared" si="418"/>
        <v>0</v>
      </c>
      <c r="AG195" s="11">
        <f t="shared" si="418"/>
        <v>0</v>
      </c>
      <c r="AH195" s="11">
        <f t="shared" si="418"/>
        <v>0</v>
      </c>
      <c r="AI195" s="11">
        <f t="shared" si="418"/>
        <v>0</v>
      </c>
      <c r="AJ195" s="11">
        <f t="shared" si="418"/>
        <v>0</v>
      </c>
      <c r="AK195" s="11">
        <f t="shared" si="418"/>
        <v>0</v>
      </c>
      <c r="AL195" s="11">
        <f t="shared" si="418"/>
        <v>0</v>
      </c>
      <c r="AM195" s="11">
        <f t="shared" si="418"/>
        <v>0</v>
      </c>
      <c r="AN195" s="11">
        <f t="shared" si="418"/>
        <v>0</v>
      </c>
      <c r="AO195" s="11">
        <f t="shared" si="418"/>
        <v>0</v>
      </c>
      <c r="AP195" s="11">
        <f t="shared" si="418"/>
        <v>0</v>
      </c>
      <c r="AQ195" s="11">
        <f t="shared" si="418"/>
        <v>0</v>
      </c>
      <c r="AR195" s="11">
        <f t="shared" si="418"/>
        <v>0</v>
      </c>
      <c r="AS195" s="11">
        <f t="shared" si="418"/>
        <v>0</v>
      </c>
      <c r="AT195" s="11">
        <f t="shared" si="418"/>
        <v>0</v>
      </c>
      <c r="AU195" s="11">
        <f t="shared" si="418"/>
        <v>0</v>
      </c>
      <c r="AV195" s="11">
        <f t="shared" si="418"/>
        <v>0</v>
      </c>
      <c r="AW195" s="12">
        <f>MAXA(AW187:AW194)</f>
        <v>0</v>
      </c>
      <c r="AX195" s="24"/>
      <c r="AZ195" s="124"/>
      <c r="BA195" s="199"/>
      <c r="BB195" s="198"/>
      <c r="BC195" s="200"/>
      <c r="BD195" s="24"/>
      <c r="BE195" s="23"/>
      <c r="BF195" s="203"/>
      <c r="BG195" s="204"/>
    </row>
    <row r="196" spans="1:59" ht="16.5" thickBot="1">
      <c r="A196" s="105" t="s">
        <v>189</v>
      </c>
      <c r="B196" s="20">
        <f>'C'!G52</f>
        <v>0</v>
      </c>
      <c r="C196" s="20">
        <f>D!G52</f>
        <v>0</v>
      </c>
      <c r="D196" s="20">
        <f>E!G52</f>
        <v>0</v>
      </c>
      <c r="E196" s="20">
        <f>F!G52</f>
        <v>0</v>
      </c>
      <c r="F196" s="20">
        <f>G!G52</f>
        <v>0</v>
      </c>
      <c r="G196" s="20">
        <f>H!G52</f>
        <v>0</v>
      </c>
      <c r="H196" s="20">
        <f>I!G52</f>
        <v>0</v>
      </c>
      <c r="I196" s="20">
        <f>J!G52</f>
        <v>0</v>
      </c>
      <c r="J196" s="20">
        <f>K!G52</f>
        <v>0</v>
      </c>
      <c r="K196" s="20">
        <f>L!G52</f>
        <v>0</v>
      </c>
      <c r="L196" s="20">
        <f>M!G52</f>
        <v>0</v>
      </c>
      <c r="M196" s="20">
        <f>N!G52</f>
        <v>0</v>
      </c>
      <c r="N196" s="20">
        <f>O!G52</f>
        <v>0</v>
      </c>
      <c r="O196" s="20">
        <f>P!G52</f>
        <v>0</v>
      </c>
      <c r="P196" s="20">
        <f>Q!G52</f>
        <v>0</v>
      </c>
      <c r="Q196" s="20">
        <f>'R'!G52</f>
        <v>0</v>
      </c>
      <c r="R196" s="20">
        <f>S!G52</f>
        <v>0</v>
      </c>
      <c r="S196" s="20">
        <f>T!G52</f>
        <v>0</v>
      </c>
      <c r="T196" s="20">
        <f>U!G52</f>
        <v>0</v>
      </c>
      <c r="U196" s="20">
        <f>V!G52</f>
        <v>0</v>
      </c>
      <c r="V196" s="20">
        <f>W!G52</f>
        <v>0</v>
      </c>
      <c r="W196" s="20">
        <f>X!G52</f>
        <v>0</v>
      </c>
      <c r="X196" s="21">
        <f t="shared" si="389"/>
        <v>0</v>
      </c>
      <c r="Y196" s="120"/>
      <c r="Z196" s="122"/>
      <c r="AA196" s="17"/>
      <c r="AW196" s="23"/>
      <c r="AX196" s="24"/>
      <c r="AZ196" s="124"/>
      <c r="BA196" s="199"/>
      <c r="BB196" s="198"/>
      <c r="BC196" s="200"/>
      <c r="BD196" s="24"/>
      <c r="BE196" s="23"/>
      <c r="BF196" s="203"/>
      <c r="BG196" s="204"/>
    </row>
    <row r="197" spans="1:59" ht="16.5" thickTop="1" thickBot="1">
      <c r="A197" s="100" t="s">
        <v>53</v>
      </c>
      <c r="B197" s="68">
        <f t="shared" ref="B197:W197" si="419">SUM(B195:B196)</f>
        <v>0</v>
      </c>
      <c r="C197" s="68">
        <f t="shared" si="419"/>
        <v>0</v>
      </c>
      <c r="D197" s="68">
        <f t="shared" si="419"/>
        <v>0</v>
      </c>
      <c r="E197" s="68">
        <f t="shared" si="419"/>
        <v>0</v>
      </c>
      <c r="F197" s="68">
        <f t="shared" si="419"/>
        <v>0</v>
      </c>
      <c r="G197" s="68">
        <f t="shared" si="419"/>
        <v>0</v>
      </c>
      <c r="H197" s="68">
        <f t="shared" si="419"/>
        <v>0</v>
      </c>
      <c r="I197" s="68">
        <f t="shared" si="419"/>
        <v>0</v>
      </c>
      <c r="J197" s="68">
        <f t="shared" si="419"/>
        <v>0</v>
      </c>
      <c r="K197" s="68">
        <f t="shared" si="419"/>
        <v>0</v>
      </c>
      <c r="L197" s="68">
        <f t="shared" si="419"/>
        <v>0</v>
      </c>
      <c r="M197" s="68">
        <f t="shared" si="419"/>
        <v>0</v>
      </c>
      <c r="N197" s="68">
        <f t="shared" si="419"/>
        <v>0</v>
      </c>
      <c r="O197" s="68">
        <f t="shared" si="419"/>
        <v>0</v>
      </c>
      <c r="P197" s="68">
        <f t="shared" si="419"/>
        <v>0</v>
      </c>
      <c r="Q197" s="68">
        <f t="shared" si="419"/>
        <v>0</v>
      </c>
      <c r="R197" s="68">
        <f t="shared" si="419"/>
        <v>0</v>
      </c>
      <c r="S197" s="68">
        <f t="shared" si="419"/>
        <v>0</v>
      </c>
      <c r="T197" s="68">
        <f t="shared" si="419"/>
        <v>0</v>
      </c>
      <c r="U197" s="68">
        <f t="shared" si="419"/>
        <v>0</v>
      </c>
      <c r="V197" s="68">
        <f t="shared" si="419"/>
        <v>0</v>
      </c>
      <c r="W197" s="68">
        <f t="shared" si="419"/>
        <v>0</v>
      </c>
      <c r="X197" s="28">
        <f t="shared" si="389"/>
        <v>0</v>
      </c>
      <c r="Y197" s="136"/>
      <c r="Z197" s="122"/>
      <c r="AA197" s="17"/>
      <c r="AW197" s="23"/>
      <c r="AX197" s="24"/>
      <c r="AZ197" s="124"/>
      <c r="BA197" s="199"/>
      <c r="BB197" s="198"/>
      <c r="BC197" s="200"/>
      <c r="BD197" s="24">
        <f>X197</f>
        <v>0</v>
      </c>
      <c r="BE197" s="23">
        <f>A186</f>
        <v>0</v>
      </c>
      <c r="BF197" s="203"/>
      <c r="BG197" s="204"/>
    </row>
    <row r="198" spans="1:59"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22"/>
      <c r="AA198" s="17"/>
      <c r="AW198" s="23"/>
      <c r="AX198" s="24"/>
      <c r="AZ198" s="124"/>
      <c r="BA198" s="199"/>
      <c r="BB198" s="198"/>
      <c r="BC198" s="200"/>
      <c r="BD198" s="24"/>
      <c r="BE198" s="23"/>
      <c r="BF198" s="203"/>
      <c r="BG198" s="204"/>
    </row>
    <row r="199" spans="1:59" ht="15.75" thickBot="1">
      <c r="A199" s="7" t="s">
        <v>67</v>
      </c>
      <c r="B199" s="8" t="s">
        <v>27</v>
      </c>
      <c r="C199" s="8" t="s">
        <v>28</v>
      </c>
      <c r="D199" s="8" t="s">
        <v>29</v>
      </c>
      <c r="E199" s="8" t="s">
        <v>30</v>
      </c>
      <c r="F199" s="8" t="s">
        <v>31</v>
      </c>
      <c r="G199" s="8" t="s">
        <v>32</v>
      </c>
      <c r="H199" s="8" t="s">
        <v>33</v>
      </c>
      <c r="I199" s="8" t="s">
        <v>34</v>
      </c>
      <c r="J199" s="8" t="s">
        <v>35</v>
      </c>
      <c r="K199" s="8" t="s">
        <v>36</v>
      </c>
      <c r="L199" s="8" t="s">
        <v>37</v>
      </c>
      <c r="M199" s="8" t="s">
        <v>38</v>
      </c>
      <c r="N199" s="8" t="s">
        <v>39</v>
      </c>
      <c r="O199" s="8" t="s">
        <v>40</v>
      </c>
      <c r="P199" s="8" t="s">
        <v>41</v>
      </c>
      <c r="Q199" s="8" t="s">
        <v>42</v>
      </c>
      <c r="R199" s="8" t="s">
        <v>43</v>
      </c>
      <c r="S199" s="8" t="s">
        <v>44</v>
      </c>
      <c r="T199" s="8" t="s">
        <v>45</v>
      </c>
      <c r="U199" s="8" t="s">
        <v>46</v>
      </c>
      <c r="V199" s="8" t="s">
        <v>47</v>
      </c>
      <c r="W199" s="8" t="s">
        <v>48</v>
      </c>
      <c r="X199" s="1"/>
      <c r="Y199" s="1"/>
      <c r="Z199" s="3" t="str">
        <f>A199</f>
        <v>Team #15 Name:</v>
      </c>
      <c r="AA199" s="17"/>
      <c r="AW199" s="23"/>
      <c r="AX199" s="24"/>
      <c r="AZ199" s="124"/>
      <c r="BA199" s="199"/>
      <c r="BB199" s="198"/>
      <c r="BC199" s="200"/>
      <c r="BD199" s="24"/>
      <c r="BE199" s="23"/>
      <c r="BF199" s="203"/>
      <c r="BG199" s="204"/>
    </row>
    <row r="200" spans="1:59">
      <c r="A200" s="13">
        <f>B!$E$188</f>
        <v>0</v>
      </c>
      <c r="B200" s="29" t="s">
        <v>50</v>
      </c>
      <c r="C200" s="29" t="s">
        <v>50</v>
      </c>
      <c r="D200" s="29" t="s">
        <v>50</v>
      </c>
      <c r="E200" s="29" t="s">
        <v>50</v>
      </c>
      <c r="F200" s="29" t="s">
        <v>50</v>
      </c>
      <c r="G200" s="29" t="s">
        <v>50</v>
      </c>
      <c r="H200" s="29" t="s">
        <v>50</v>
      </c>
      <c r="I200" s="29" t="s">
        <v>50</v>
      </c>
      <c r="J200" s="29" t="s">
        <v>50</v>
      </c>
      <c r="K200" s="29" t="s">
        <v>50</v>
      </c>
      <c r="L200" s="29" t="s">
        <v>50</v>
      </c>
      <c r="M200" s="29" t="s">
        <v>50</v>
      </c>
      <c r="N200" s="29" t="s">
        <v>50</v>
      </c>
      <c r="O200" s="29" t="s">
        <v>50</v>
      </c>
      <c r="P200" s="29" t="s">
        <v>50</v>
      </c>
      <c r="Q200" s="29" t="s">
        <v>50</v>
      </c>
      <c r="R200" s="29" t="s">
        <v>50</v>
      </c>
      <c r="S200" s="29" t="s">
        <v>50</v>
      </c>
      <c r="T200" s="29" t="s">
        <v>50</v>
      </c>
      <c r="U200" s="29" t="s">
        <v>50</v>
      </c>
      <c r="V200" s="29" t="s">
        <v>50</v>
      </c>
      <c r="W200" s="29" t="s">
        <v>50</v>
      </c>
      <c r="X200" s="15" t="s">
        <v>51</v>
      </c>
      <c r="Y200" s="16" t="s">
        <v>52</v>
      </c>
      <c r="Z200" s="123">
        <f>A200</f>
        <v>0</v>
      </c>
      <c r="AA200" s="17"/>
      <c r="AW200" s="4" t="s">
        <v>97</v>
      </c>
      <c r="AX200" s="24"/>
      <c r="AZ200" s="124"/>
      <c r="BA200" s="199"/>
      <c r="BB200" s="198"/>
      <c r="BC200" s="200"/>
      <c r="BD200" s="24"/>
      <c r="BE200" s="23"/>
      <c r="BF200" s="203"/>
      <c r="BG200" s="204"/>
    </row>
    <row r="201" spans="1:59">
      <c r="A201" s="19">
        <f>B!$E$190</f>
        <v>0</v>
      </c>
      <c r="B201" s="20">
        <f>'C'!G57</f>
        <v>0</v>
      </c>
      <c r="C201" s="20">
        <f>D!G57</f>
        <v>0</v>
      </c>
      <c r="D201" s="20">
        <f>E!G57</f>
        <v>0</v>
      </c>
      <c r="E201" s="20">
        <f>F!G57</f>
        <v>0</v>
      </c>
      <c r="F201" s="20">
        <f>G!G57</f>
        <v>0</v>
      </c>
      <c r="G201" s="20">
        <f>H!G57</f>
        <v>0</v>
      </c>
      <c r="H201" s="20">
        <f>I!G57</f>
        <v>0</v>
      </c>
      <c r="I201" s="20">
        <f>J!G57</f>
        <v>0</v>
      </c>
      <c r="J201" s="20">
        <f>K!G57</f>
        <v>0</v>
      </c>
      <c r="K201" s="20">
        <f>L!G57</f>
        <v>0</v>
      </c>
      <c r="L201" s="20">
        <f>M!G57</f>
        <v>0</v>
      </c>
      <c r="M201" s="20">
        <f>N!G57</f>
        <v>0</v>
      </c>
      <c r="N201" s="20">
        <f>O!G57</f>
        <v>0</v>
      </c>
      <c r="O201" s="20">
        <f>P!G57</f>
        <v>0</v>
      </c>
      <c r="P201" s="20">
        <f>Q!G57</f>
        <v>0</v>
      </c>
      <c r="Q201" s="20">
        <f>'R'!G57</f>
        <v>0</v>
      </c>
      <c r="R201" s="20">
        <f>S!G57</f>
        <v>0</v>
      </c>
      <c r="S201" s="20">
        <f>T!G57</f>
        <v>0</v>
      </c>
      <c r="T201" s="20">
        <f>U!G57</f>
        <v>0</v>
      </c>
      <c r="U201" s="20">
        <f>V!G57</f>
        <v>0</v>
      </c>
      <c r="V201" s="20">
        <f>W!G57</f>
        <v>0</v>
      </c>
      <c r="W201" s="20">
        <f>X!G57</f>
        <v>0</v>
      </c>
      <c r="X201" s="21">
        <f t="shared" ref="X201:X211" si="420">SUM(B201:W201)</f>
        <v>0</v>
      </c>
      <c r="Y201" s="22">
        <f>IF(AW201=0,0,X201/AW201)</f>
        <v>0</v>
      </c>
      <c r="Z201" s="122">
        <f t="shared" si="358"/>
        <v>0</v>
      </c>
      <c r="AA201" s="17">
        <f t="shared" ref="AA201:AA208" si="421">IF(B201=0,0,1)</f>
        <v>0</v>
      </c>
      <c r="AB201">
        <f t="shared" ref="AB201:AB208" si="422">IF(C201=0,0,1)</f>
        <v>0</v>
      </c>
      <c r="AC201">
        <f t="shared" ref="AC201:AC208" si="423">IF(D201=0,0,1)</f>
        <v>0</v>
      </c>
      <c r="AD201">
        <f t="shared" ref="AD201:AD208" si="424">IF(E201=0,0,1)</f>
        <v>0</v>
      </c>
      <c r="AE201">
        <f t="shared" ref="AE201:AE208" si="425">IF(F201=0,0,1)</f>
        <v>0</v>
      </c>
      <c r="AF201">
        <f t="shared" ref="AF201:AF208" si="426">IF(G201=0,0,1)</f>
        <v>0</v>
      </c>
      <c r="AG201">
        <f t="shared" ref="AG201:AG208" si="427">IF(H201=0,0,1)</f>
        <v>0</v>
      </c>
      <c r="AH201">
        <f t="shared" ref="AH201:AH208" si="428">IF(I201=0,0,1)</f>
        <v>0</v>
      </c>
      <c r="AI201">
        <f t="shared" ref="AI201:AI208" si="429">IF(J201=0,0,1)</f>
        <v>0</v>
      </c>
      <c r="AJ201">
        <f t="shared" ref="AJ201:AJ208" si="430">IF(K201=0,0,1)</f>
        <v>0</v>
      </c>
      <c r="AK201">
        <f t="shared" ref="AK201:AK208" si="431">IF(L201=0,0,1)</f>
        <v>0</v>
      </c>
      <c r="AL201">
        <f t="shared" ref="AL201:AL208" si="432">IF(M201=0,0,1)</f>
        <v>0</v>
      </c>
      <c r="AM201">
        <f t="shared" ref="AM201:AM208" si="433">IF(N201=0,0,1)</f>
        <v>0</v>
      </c>
      <c r="AN201">
        <f t="shared" ref="AN201:AN208" si="434">IF(O201=0,0,1)</f>
        <v>0</v>
      </c>
      <c r="AO201">
        <f t="shared" ref="AO201:AO208" si="435">IF(P201=0,0,1)</f>
        <v>0</v>
      </c>
      <c r="AP201">
        <f t="shared" ref="AP201:AP208" si="436">IF(Q201=0,0,1)</f>
        <v>0</v>
      </c>
      <c r="AQ201">
        <f t="shared" ref="AQ201:AQ208" si="437">IF(R201=0,0,1)</f>
        <v>0</v>
      </c>
      <c r="AR201">
        <f t="shared" ref="AR201:AR208" si="438">IF(S201=0,0,1)</f>
        <v>0</v>
      </c>
      <c r="AS201">
        <f t="shared" ref="AS201:AS208" si="439">IF(T201=0,0,1)</f>
        <v>0</v>
      </c>
      <c r="AT201">
        <f t="shared" ref="AT201:AT208" si="440">IF(U201=0,0,1)</f>
        <v>0</v>
      </c>
      <c r="AU201">
        <f t="shared" ref="AU201:AU208" si="441">IF(V201=0,0,1)</f>
        <v>0</v>
      </c>
      <c r="AV201">
        <f t="shared" ref="AV201:AV208" si="442">IF(W201=0,0,1)</f>
        <v>0</v>
      </c>
      <c r="AW201" s="23">
        <f t="shared" ref="AW201:AW208" si="443">SUM(AA201:AV201)</f>
        <v>0</v>
      </c>
      <c r="AX201" s="24">
        <f>IF(X201=0,0,X201)</f>
        <v>0</v>
      </c>
      <c r="AY201" s="121">
        <f>IF(X201=0,0,A201)</f>
        <v>0</v>
      </c>
      <c r="AZ201" s="124">
        <f>IF(AX201=0,0,A$200)</f>
        <v>0</v>
      </c>
      <c r="BA201" s="199"/>
      <c r="BB201" s="198"/>
      <c r="BC201" s="200"/>
      <c r="BD201" s="24"/>
      <c r="BE201" s="23"/>
      <c r="BF201" s="203"/>
      <c r="BG201" s="204"/>
    </row>
    <row r="202" spans="1:59">
      <c r="A202" s="19">
        <f>B!$E$195</f>
        <v>0</v>
      </c>
      <c r="B202" s="20">
        <f>'C'!G58</f>
        <v>0</v>
      </c>
      <c r="C202" s="20">
        <f>D!G58</f>
        <v>0</v>
      </c>
      <c r="D202" s="20">
        <f>E!G58</f>
        <v>0</v>
      </c>
      <c r="E202" s="20">
        <f>F!G58</f>
        <v>0</v>
      </c>
      <c r="F202" s="20">
        <f>G!G58</f>
        <v>0</v>
      </c>
      <c r="G202" s="20">
        <f>H!G58</f>
        <v>0</v>
      </c>
      <c r="H202" s="20">
        <f>I!G58</f>
        <v>0</v>
      </c>
      <c r="I202" s="20">
        <f>J!G58</f>
        <v>0</v>
      </c>
      <c r="J202" s="20">
        <f>K!G58</f>
        <v>0</v>
      </c>
      <c r="K202" s="20">
        <f>L!G58</f>
        <v>0</v>
      </c>
      <c r="L202" s="20">
        <f>M!G58</f>
        <v>0</v>
      </c>
      <c r="M202" s="20">
        <f>N!G58</f>
        <v>0</v>
      </c>
      <c r="N202" s="20">
        <f>O!G58</f>
        <v>0</v>
      </c>
      <c r="O202" s="20">
        <f>P!G58</f>
        <v>0</v>
      </c>
      <c r="P202" s="20">
        <f>Q!G58</f>
        <v>0</v>
      </c>
      <c r="Q202" s="20">
        <f>'R'!G58</f>
        <v>0</v>
      </c>
      <c r="R202" s="20">
        <f>S!G58</f>
        <v>0</v>
      </c>
      <c r="S202" s="20">
        <f>T!G58</f>
        <v>0</v>
      </c>
      <c r="T202" s="20">
        <f>U!G58</f>
        <v>0</v>
      </c>
      <c r="U202" s="20">
        <f>V!G58</f>
        <v>0</v>
      </c>
      <c r="V202" s="20">
        <f>W!G58</f>
        <v>0</v>
      </c>
      <c r="W202" s="20">
        <f>X!G58</f>
        <v>0</v>
      </c>
      <c r="X202" s="21">
        <f t="shared" si="420"/>
        <v>0</v>
      </c>
      <c r="Y202" s="22">
        <f t="shared" ref="Y202:Y208" si="444">IF(AW202=0,0,X202/AW202)</f>
        <v>0</v>
      </c>
      <c r="Z202" s="122">
        <f t="shared" si="358"/>
        <v>0</v>
      </c>
      <c r="AA202" s="17">
        <f t="shared" si="421"/>
        <v>0</v>
      </c>
      <c r="AB202">
        <f t="shared" si="422"/>
        <v>0</v>
      </c>
      <c r="AC202">
        <f t="shared" si="423"/>
        <v>0</v>
      </c>
      <c r="AD202">
        <f t="shared" si="424"/>
        <v>0</v>
      </c>
      <c r="AE202">
        <f t="shared" si="425"/>
        <v>0</v>
      </c>
      <c r="AF202">
        <f t="shared" si="426"/>
        <v>0</v>
      </c>
      <c r="AG202">
        <f t="shared" si="427"/>
        <v>0</v>
      </c>
      <c r="AH202">
        <f t="shared" si="428"/>
        <v>0</v>
      </c>
      <c r="AI202">
        <f t="shared" si="429"/>
        <v>0</v>
      </c>
      <c r="AJ202">
        <f t="shared" si="430"/>
        <v>0</v>
      </c>
      <c r="AK202">
        <f t="shared" si="431"/>
        <v>0</v>
      </c>
      <c r="AL202">
        <f t="shared" si="432"/>
        <v>0</v>
      </c>
      <c r="AM202">
        <f t="shared" si="433"/>
        <v>0</v>
      </c>
      <c r="AN202">
        <f t="shared" si="434"/>
        <v>0</v>
      </c>
      <c r="AO202">
        <f t="shared" si="435"/>
        <v>0</v>
      </c>
      <c r="AP202">
        <f t="shared" si="436"/>
        <v>0</v>
      </c>
      <c r="AQ202">
        <f t="shared" si="437"/>
        <v>0</v>
      </c>
      <c r="AR202">
        <f t="shared" si="438"/>
        <v>0</v>
      </c>
      <c r="AS202">
        <f t="shared" si="439"/>
        <v>0</v>
      </c>
      <c r="AT202">
        <f t="shared" si="440"/>
        <v>0</v>
      </c>
      <c r="AU202">
        <f t="shared" si="441"/>
        <v>0</v>
      </c>
      <c r="AV202">
        <f t="shared" si="442"/>
        <v>0</v>
      </c>
      <c r="AW202" s="23">
        <f t="shared" si="443"/>
        <v>0</v>
      </c>
      <c r="AX202" s="24">
        <f t="shared" ref="AX202:AX208" si="445">IF(X202=0,0,X202)</f>
        <v>0</v>
      </c>
      <c r="AY202" s="121">
        <f t="shared" ref="AY202:AY208" si="446">IF(X202=0,0,A202)</f>
        <v>0</v>
      </c>
      <c r="AZ202" s="124">
        <f t="shared" ref="AZ202:AZ208" si="447">IF(AX202=0,0,A$200)</f>
        <v>0</v>
      </c>
      <c r="BA202" s="199"/>
      <c r="BB202" s="198"/>
      <c r="BC202" s="200"/>
      <c r="BD202" s="24"/>
      <c r="BE202" s="23"/>
      <c r="BF202" s="203"/>
      <c r="BG202" s="204"/>
    </row>
    <row r="203" spans="1:59">
      <c r="A203" s="19">
        <f>B!$E$200</f>
        <v>0</v>
      </c>
      <c r="B203" s="20">
        <f>'C'!G59</f>
        <v>0</v>
      </c>
      <c r="C203" s="20">
        <f>D!G59</f>
        <v>0</v>
      </c>
      <c r="D203" s="20">
        <f>E!G59</f>
        <v>0</v>
      </c>
      <c r="E203" s="20">
        <f>F!G59</f>
        <v>0</v>
      </c>
      <c r="F203" s="20">
        <f>G!G59</f>
        <v>0</v>
      </c>
      <c r="G203" s="20">
        <f>H!G59</f>
        <v>0</v>
      </c>
      <c r="H203" s="20">
        <f>I!G59</f>
        <v>0</v>
      </c>
      <c r="I203" s="20">
        <f>J!G59</f>
        <v>0</v>
      </c>
      <c r="J203" s="20">
        <f>K!G59</f>
        <v>0</v>
      </c>
      <c r="K203" s="20">
        <f>L!G59</f>
        <v>0</v>
      </c>
      <c r="L203" s="20">
        <f>M!G59</f>
        <v>0</v>
      </c>
      <c r="M203" s="20">
        <f>N!G59</f>
        <v>0</v>
      </c>
      <c r="N203" s="20">
        <f>O!G59</f>
        <v>0</v>
      </c>
      <c r="O203" s="20">
        <f>P!G59</f>
        <v>0</v>
      </c>
      <c r="P203" s="20">
        <f>Q!G59</f>
        <v>0</v>
      </c>
      <c r="Q203" s="20">
        <f>'R'!G59</f>
        <v>0</v>
      </c>
      <c r="R203" s="20">
        <f>S!G59</f>
        <v>0</v>
      </c>
      <c r="S203" s="20">
        <f>T!G59</f>
        <v>0</v>
      </c>
      <c r="T203" s="20">
        <f>U!G59</f>
        <v>0</v>
      </c>
      <c r="U203" s="20">
        <f>V!G59</f>
        <v>0</v>
      </c>
      <c r="V203" s="20">
        <f>W!G59</f>
        <v>0</v>
      </c>
      <c r="W203" s="20">
        <f>X!G59</f>
        <v>0</v>
      </c>
      <c r="X203" s="21">
        <f t="shared" si="420"/>
        <v>0</v>
      </c>
      <c r="Y203" s="22">
        <f t="shared" si="444"/>
        <v>0</v>
      </c>
      <c r="Z203" s="122">
        <f t="shared" si="358"/>
        <v>0</v>
      </c>
      <c r="AA203" s="17">
        <f t="shared" si="421"/>
        <v>0</v>
      </c>
      <c r="AB203">
        <f t="shared" si="422"/>
        <v>0</v>
      </c>
      <c r="AC203">
        <f t="shared" si="423"/>
        <v>0</v>
      </c>
      <c r="AD203">
        <f t="shared" si="424"/>
        <v>0</v>
      </c>
      <c r="AE203">
        <f t="shared" si="425"/>
        <v>0</v>
      </c>
      <c r="AF203">
        <f t="shared" si="426"/>
        <v>0</v>
      </c>
      <c r="AG203">
        <f t="shared" si="427"/>
        <v>0</v>
      </c>
      <c r="AH203">
        <f t="shared" si="428"/>
        <v>0</v>
      </c>
      <c r="AI203">
        <f t="shared" si="429"/>
        <v>0</v>
      </c>
      <c r="AJ203">
        <f t="shared" si="430"/>
        <v>0</v>
      </c>
      <c r="AK203">
        <f t="shared" si="431"/>
        <v>0</v>
      </c>
      <c r="AL203">
        <f t="shared" si="432"/>
        <v>0</v>
      </c>
      <c r="AM203">
        <f t="shared" si="433"/>
        <v>0</v>
      </c>
      <c r="AN203">
        <f t="shared" si="434"/>
        <v>0</v>
      </c>
      <c r="AO203">
        <f t="shared" si="435"/>
        <v>0</v>
      </c>
      <c r="AP203">
        <f t="shared" si="436"/>
        <v>0</v>
      </c>
      <c r="AQ203">
        <f t="shared" si="437"/>
        <v>0</v>
      </c>
      <c r="AR203">
        <f t="shared" si="438"/>
        <v>0</v>
      </c>
      <c r="AS203">
        <f t="shared" si="439"/>
        <v>0</v>
      </c>
      <c r="AT203">
        <f t="shared" si="440"/>
        <v>0</v>
      </c>
      <c r="AU203">
        <f t="shared" si="441"/>
        <v>0</v>
      </c>
      <c r="AV203">
        <f t="shared" si="442"/>
        <v>0</v>
      </c>
      <c r="AW203" s="23">
        <f t="shared" si="443"/>
        <v>0</v>
      </c>
      <c r="AX203" s="24">
        <f t="shared" si="445"/>
        <v>0</v>
      </c>
      <c r="AY203" s="121">
        <f t="shared" si="446"/>
        <v>0</v>
      </c>
      <c r="AZ203" s="124">
        <f t="shared" si="447"/>
        <v>0</v>
      </c>
      <c r="BA203" s="199"/>
      <c r="BB203" s="198"/>
      <c r="BC203" s="200"/>
      <c r="BD203" s="24"/>
      <c r="BE203" s="23"/>
      <c r="BF203" s="203"/>
      <c r="BG203" s="204"/>
    </row>
    <row r="204" spans="1:59">
      <c r="A204" s="19">
        <f>B!$E$205</f>
        <v>0</v>
      </c>
      <c r="B204" s="20">
        <f>'C'!G60</f>
        <v>0</v>
      </c>
      <c r="C204" s="20">
        <f>D!G60</f>
        <v>0</v>
      </c>
      <c r="D204" s="20">
        <f>E!G60</f>
        <v>0</v>
      </c>
      <c r="E204" s="20">
        <f>F!G60</f>
        <v>0</v>
      </c>
      <c r="F204" s="20">
        <f>G!G60</f>
        <v>0</v>
      </c>
      <c r="G204" s="20">
        <f>H!G60</f>
        <v>0</v>
      </c>
      <c r="H204" s="20">
        <f>I!G60</f>
        <v>0</v>
      </c>
      <c r="I204" s="20">
        <f>J!G60</f>
        <v>0</v>
      </c>
      <c r="J204" s="20">
        <f>K!G60</f>
        <v>0</v>
      </c>
      <c r="K204" s="20">
        <f>L!G60</f>
        <v>0</v>
      </c>
      <c r="L204" s="20">
        <f>M!G60</f>
        <v>0</v>
      </c>
      <c r="M204" s="20">
        <f>N!G60</f>
        <v>0</v>
      </c>
      <c r="N204" s="20">
        <f>O!G60</f>
        <v>0</v>
      </c>
      <c r="O204" s="20">
        <f>P!G60</f>
        <v>0</v>
      </c>
      <c r="P204" s="20">
        <f>Q!G60</f>
        <v>0</v>
      </c>
      <c r="Q204" s="20">
        <f>'R'!G60</f>
        <v>0</v>
      </c>
      <c r="R204" s="20">
        <f>S!G60</f>
        <v>0</v>
      </c>
      <c r="S204" s="20">
        <f>T!G60</f>
        <v>0</v>
      </c>
      <c r="T204" s="20">
        <f>U!G60</f>
        <v>0</v>
      </c>
      <c r="U204" s="20">
        <f>V!G60</f>
        <v>0</v>
      </c>
      <c r="V204" s="20">
        <f>W!G60</f>
        <v>0</v>
      </c>
      <c r="W204" s="20">
        <f>X!G60</f>
        <v>0</v>
      </c>
      <c r="X204" s="21">
        <f t="shared" si="420"/>
        <v>0</v>
      </c>
      <c r="Y204" s="22">
        <f t="shared" si="444"/>
        <v>0</v>
      </c>
      <c r="Z204" s="122">
        <f t="shared" si="358"/>
        <v>0</v>
      </c>
      <c r="AA204" s="17">
        <f t="shared" si="421"/>
        <v>0</v>
      </c>
      <c r="AB204">
        <f t="shared" si="422"/>
        <v>0</v>
      </c>
      <c r="AC204">
        <f t="shared" si="423"/>
        <v>0</v>
      </c>
      <c r="AD204">
        <f t="shared" si="424"/>
        <v>0</v>
      </c>
      <c r="AE204">
        <f t="shared" si="425"/>
        <v>0</v>
      </c>
      <c r="AF204">
        <f t="shared" si="426"/>
        <v>0</v>
      </c>
      <c r="AG204">
        <f t="shared" si="427"/>
        <v>0</v>
      </c>
      <c r="AH204">
        <f t="shared" si="428"/>
        <v>0</v>
      </c>
      <c r="AI204">
        <f t="shared" si="429"/>
        <v>0</v>
      </c>
      <c r="AJ204">
        <f t="shared" si="430"/>
        <v>0</v>
      </c>
      <c r="AK204">
        <f t="shared" si="431"/>
        <v>0</v>
      </c>
      <c r="AL204">
        <f t="shared" si="432"/>
        <v>0</v>
      </c>
      <c r="AM204">
        <f t="shared" si="433"/>
        <v>0</v>
      </c>
      <c r="AN204">
        <f t="shared" si="434"/>
        <v>0</v>
      </c>
      <c r="AO204">
        <f t="shared" si="435"/>
        <v>0</v>
      </c>
      <c r="AP204">
        <f t="shared" si="436"/>
        <v>0</v>
      </c>
      <c r="AQ204">
        <f t="shared" si="437"/>
        <v>0</v>
      </c>
      <c r="AR204">
        <f t="shared" si="438"/>
        <v>0</v>
      </c>
      <c r="AS204">
        <f t="shared" si="439"/>
        <v>0</v>
      </c>
      <c r="AT204">
        <f t="shared" si="440"/>
        <v>0</v>
      </c>
      <c r="AU204">
        <f t="shared" si="441"/>
        <v>0</v>
      </c>
      <c r="AV204">
        <f t="shared" si="442"/>
        <v>0</v>
      </c>
      <c r="AW204" s="23">
        <f t="shared" si="443"/>
        <v>0</v>
      </c>
      <c r="AX204" s="24">
        <f t="shared" si="445"/>
        <v>0</v>
      </c>
      <c r="AY204" s="121">
        <f t="shared" si="446"/>
        <v>0</v>
      </c>
      <c r="AZ204" s="124">
        <f t="shared" si="447"/>
        <v>0</v>
      </c>
      <c r="BA204" s="199"/>
      <c r="BB204" s="198"/>
      <c r="BC204" s="200"/>
      <c r="BD204" s="24"/>
      <c r="BE204" s="23"/>
      <c r="BF204" s="203"/>
      <c r="BG204" s="204"/>
    </row>
    <row r="205" spans="1:59">
      <c r="A205" s="19">
        <f>B!$E$210</f>
        <v>0</v>
      </c>
      <c r="B205" s="20">
        <f>'C'!G61</f>
        <v>0</v>
      </c>
      <c r="C205" s="20">
        <f>D!G61</f>
        <v>0</v>
      </c>
      <c r="D205" s="20">
        <f>E!G61</f>
        <v>0</v>
      </c>
      <c r="E205" s="20">
        <f>F!G61</f>
        <v>0</v>
      </c>
      <c r="F205" s="20">
        <f>G!G61</f>
        <v>0</v>
      </c>
      <c r="G205" s="20">
        <f>H!G61</f>
        <v>0</v>
      </c>
      <c r="H205" s="20">
        <f>I!G61</f>
        <v>0</v>
      </c>
      <c r="I205" s="20">
        <f>J!G61</f>
        <v>0</v>
      </c>
      <c r="J205" s="20">
        <f>K!G61</f>
        <v>0</v>
      </c>
      <c r="K205" s="20">
        <f>L!G61</f>
        <v>0</v>
      </c>
      <c r="L205" s="20">
        <f>M!G61</f>
        <v>0</v>
      </c>
      <c r="M205" s="20">
        <f>N!G61</f>
        <v>0</v>
      </c>
      <c r="N205" s="20">
        <f>O!G61</f>
        <v>0</v>
      </c>
      <c r="O205" s="20">
        <f>P!G61</f>
        <v>0</v>
      </c>
      <c r="P205" s="20">
        <f>Q!G61</f>
        <v>0</v>
      </c>
      <c r="Q205" s="20">
        <f>'R'!G61</f>
        <v>0</v>
      </c>
      <c r="R205" s="20">
        <f>S!G61</f>
        <v>0</v>
      </c>
      <c r="S205" s="20">
        <f>T!G61</f>
        <v>0</v>
      </c>
      <c r="T205" s="20">
        <f>U!G61</f>
        <v>0</v>
      </c>
      <c r="U205" s="20">
        <f>V!G61</f>
        <v>0</v>
      </c>
      <c r="V205" s="20">
        <f>W!G61</f>
        <v>0</v>
      </c>
      <c r="W205" s="20">
        <f>X!G61</f>
        <v>0</v>
      </c>
      <c r="X205" s="21">
        <f t="shared" si="420"/>
        <v>0</v>
      </c>
      <c r="Y205" s="22">
        <f t="shared" si="444"/>
        <v>0</v>
      </c>
      <c r="Z205" s="122">
        <f t="shared" si="358"/>
        <v>0</v>
      </c>
      <c r="AA205" s="17">
        <f t="shared" si="421"/>
        <v>0</v>
      </c>
      <c r="AB205">
        <f t="shared" si="422"/>
        <v>0</v>
      </c>
      <c r="AC205">
        <f t="shared" si="423"/>
        <v>0</v>
      </c>
      <c r="AD205">
        <f t="shared" si="424"/>
        <v>0</v>
      </c>
      <c r="AE205">
        <f t="shared" si="425"/>
        <v>0</v>
      </c>
      <c r="AF205">
        <f t="shared" si="426"/>
        <v>0</v>
      </c>
      <c r="AG205">
        <f t="shared" si="427"/>
        <v>0</v>
      </c>
      <c r="AH205">
        <f t="shared" si="428"/>
        <v>0</v>
      </c>
      <c r="AI205">
        <f t="shared" si="429"/>
        <v>0</v>
      </c>
      <c r="AJ205">
        <f t="shared" si="430"/>
        <v>0</v>
      </c>
      <c r="AK205">
        <f t="shared" si="431"/>
        <v>0</v>
      </c>
      <c r="AL205">
        <f t="shared" si="432"/>
        <v>0</v>
      </c>
      <c r="AM205">
        <f t="shared" si="433"/>
        <v>0</v>
      </c>
      <c r="AN205">
        <f t="shared" si="434"/>
        <v>0</v>
      </c>
      <c r="AO205">
        <f t="shared" si="435"/>
        <v>0</v>
      </c>
      <c r="AP205">
        <f t="shared" si="436"/>
        <v>0</v>
      </c>
      <c r="AQ205">
        <f t="shared" si="437"/>
        <v>0</v>
      </c>
      <c r="AR205">
        <f t="shared" si="438"/>
        <v>0</v>
      </c>
      <c r="AS205">
        <f t="shared" si="439"/>
        <v>0</v>
      </c>
      <c r="AT205">
        <f t="shared" si="440"/>
        <v>0</v>
      </c>
      <c r="AU205">
        <f t="shared" si="441"/>
        <v>0</v>
      </c>
      <c r="AV205">
        <f t="shared" si="442"/>
        <v>0</v>
      </c>
      <c r="AW205" s="23">
        <f t="shared" si="443"/>
        <v>0</v>
      </c>
      <c r="AX205" s="24">
        <f t="shared" si="445"/>
        <v>0</v>
      </c>
      <c r="AY205" s="121">
        <f t="shared" si="446"/>
        <v>0</v>
      </c>
      <c r="AZ205" s="124">
        <f t="shared" si="447"/>
        <v>0</v>
      </c>
      <c r="BA205" s="199"/>
      <c r="BB205" s="198"/>
      <c r="BC205" s="200"/>
      <c r="BD205" s="24"/>
      <c r="BE205" s="23"/>
      <c r="BF205" s="203"/>
      <c r="BG205" s="204"/>
    </row>
    <row r="206" spans="1:59">
      <c r="A206" s="19">
        <f>B!$E$215</f>
        <v>0</v>
      </c>
      <c r="B206" s="20">
        <f>'C'!G62</f>
        <v>0</v>
      </c>
      <c r="C206" s="20">
        <f>D!G62</f>
        <v>0</v>
      </c>
      <c r="D206" s="20">
        <f>E!G62</f>
        <v>0</v>
      </c>
      <c r="E206" s="20">
        <f>F!G62</f>
        <v>0</v>
      </c>
      <c r="F206" s="20">
        <f>G!G62</f>
        <v>0</v>
      </c>
      <c r="G206" s="20">
        <f>H!G62</f>
        <v>0</v>
      </c>
      <c r="H206" s="20">
        <f>I!G62</f>
        <v>0</v>
      </c>
      <c r="I206" s="20">
        <f>J!G62</f>
        <v>0</v>
      </c>
      <c r="J206" s="20">
        <f>K!G62</f>
        <v>0</v>
      </c>
      <c r="K206" s="20">
        <f>L!G62</f>
        <v>0</v>
      </c>
      <c r="L206" s="20">
        <f>M!G62</f>
        <v>0</v>
      </c>
      <c r="M206" s="20">
        <f>N!G62</f>
        <v>0</v>
      </c>
      <c r="N206" s="20">
        <f>O!G62</f>
        <v>0</v>
      </c>
      <c r="O206" s="20">
        <f>P!G62</f>
        <v>0</v>
      </c>
      <c r="P206" s="20">
        <f>Q!G62</f>
        <v>0</v>
      </c>
      <c r="Q206" s="20">
        <f>'R'!G62</f>
        <v>0</v>
      </c>
      <c r="R206" s="20">
        <f>S!G62</f>
        <v>0</v>
      </c>
      <c r="S206" s="20">
        <f>T!G62</f>
        <v>0</v>
      </c>
      <c r="T206" s="20">
        <f>U!G62</f>
        <v>0</v>
      </c>
      <c r="U206" s="20">
        <f>V!G62</f>
        <v>0</v>
      </c>
      <c r="V206" s="20">
        <f>W!G62</f>
        <v>0</v>
      </c>
      <c r="W206" s="20">
        <f>X!G62</f>
        <v>0</v>
      </c>
      <c r="X206" s="21">
        <f t="shared" si="420"/>
        <v>0</v>
      </c>
      <c r="Y206" s="22">
        <f t="shared" si="444"/>
        <v>0</v>
      </c>
      <c r="Z206" s="122">
        <f t="shared" si="358"/>
        <v>0</v>
      </c>
      <c r="AA206" s="17">
        <f t="shared" si="421"/>
        <v>0</v>
      </c>
      <c r="AB206">
        <f t="shared" si="422"/>
        <v>0</v>
      </c>
      <c r="AC206">
        <f t="shared" si="423"/>
        <v>0</v>
      </c>
      <c r="AD206">
        <f t="shared" si="424"/>
        <v>0</v>
      </c>
      <c r="AE206">
        <f t="shared" si="425"/>
        <v>0</v>
      </c>
      <c r="AF206">
        <f t="shared" si="426"/>
        <v>0</v>
      </c>
      <c r="AG206">
        <f t="shared" si="427"/>
        <v>0</v>
      </c>
      <c r="AH206">
        <f t="shared" si="428"/>
        <v>0</v>
      </c>
      <c r="AI206">
        <f t="shared" si="429"/>
        <v>0</v>
      </c>
      <c r="AJ206">
        <f t="shared" si="430"/>
        <v>0</v>
      </c>
      <c r="AK206">
        <f t="shared" si="431"/>
        <v>0</v>
      </c>
      <c r="AL206">
        <f t="shared" si="432"/>
        <v>0</v>
      </c>
      <c r="AM206">
        <f t="shared" si="433"/>
        <v>0</v>
      </c>
      <c r="AN206">
        <f t="shared" si="434"/>
        <v>0</v>
      </c>
      <c r="AO206">
        <f t="shared" si="435"/>
        <v>0</v>
      </c>
      <c r="AP206">
        <f t="shared" si="436"/>
        <v>0</v>
      </c>
      <c r="AQ206">
        <f t="shared" si="437"/>
        <v>0</v>
      </c>
      <c r="AR206">
        <f t="shared" si="438"/>
        <v>0</v>
      </c>
      <c r="AS206">
        <f t="shared" si="439"/>
        <v>0</v>
      </c>
      <c r="AT206">
        <f t="shared" si="440"/>
        <v>0</v>
      </c>
      <c r="AU206">
        <f t="shared" si="441"/>
        <v>0</v>
      </c>
      <c r="AV206">
        <f t="shared" si="442"/>
        <v>0</v>
      </c>
      <c r="AW206" s="23">
        <f t="shared" si="443"/>
        <v>0</v>
      </c>
      <c r="AX206" s="24">
        <f t="shared" si="445"/>
        <v>0</v>
      </c>
      <c r="AY206" s="121">
        <f t="shared" si="446"/>
        <v>0</v>
      </c>
      <c r="AZ206" s="124">
        <f t="shared" si="447"/>
        <v>0</v>
      </c>
      <c r="BA206" s="199"/>
      <c r="BB206" s="198"/>
      <c r="BC206" s="200"/>
      <c r="BD206" s="24"/>
      <c r="BE206" s="23"/>
      <c r="BF206" s="203"/>
      <c r="BG206" s="204"/>
    </row>
    <row r="207" spans="1:59">
      <c r="A207" s="19">
        <f>B!$E$220</f>
        <v>0</v>
      </c>
      <c r="B207" s="20">
        <f>'C'!G63</f>
        <v>0</v>
      </c>
      <c r="C207" s="20">
        <f>D!G63</f>
        <v>0</v>
      </c>
      <c r="D207" s="20">
        <f>E!G63</f>
        <v>0</v>
      </c>
      <c r="E207" s="20">
        <f>F!G63</f>
        <v>0</v>
      </c>
      <c r="F207" s="20">
        <f>G!G63</f>
        <v>0</v>
      </c>
      <c r="G207" s="20">
        <f>H!G63</f>
        <v>0</v>
      </c>
      <c r="H207" s="20">
        <f>I!G63</f>
        <v>0</v>
      </c>
      <c r="I207" s="20">
        <f>J!G63</f>
        <v>0</v>
      </c>
      <c r="J207" s="20">
        <f>K!G63</f>
        <v>0</v>
      </c>
      <c r="K207" s="20">
        <f>L!G63</f>
        <v>0</v>
      </c>
      <c r="L207" s="20">
        <f>M!G63</f>
        <v>0</v>
      </c>
      <c r="M207" s="20">
        <f>N!G63</f>
        <v>0</v>
      </c>
      <c r="N207" s="20">
        <f>O!G63</f>
        <v>0</v>
      </c>
      <c r="O207" s="20">
        <f>P!G63</f>
        <v>0</v>
      </c>
      <c r="P207" s="20">
        <f>Q!G63</f>
        <v>0</v>
      </c>
      <c r="Q207" s="20">
        <f>'R'!G63</f>
        <v>0</v>
      </c>
      <c r="R207" s="20">
        <f>S!G63</f>
        <v>0</v>
      </c>
      <c r="S207" s="20">
        <f>T!G63</f>
        <v>0</v>
      </c>
      <c r="T207" s="20">
        <f>U!G63</f>
        <v>0</v>
      </c>
      <c r="U207" s="20">
        <f>V!G63</f>
        <v>0</v>
      </c>
      <c r="V207" s="20">
        <f>W!G63</f>
        <v>0</v>
      </c>
      <c r="W207" s="20">
        <f>X!G63</f>
        <v>0</v>
      </c>
      <c r="X207" s="21">
        <f t="shared" si="420"/>
        <v>0</v>
      </c>
      <c r="Y207" s="22">
        <f t="shared" si="444"/>
        <v>0</v>
      </c>
      <c r="Z207" s="122">
        <f t="shared" si="358"/>
        <v>0</v>
      </c>
      <c r="AA207" s="17">
        <f t="shared" si="421"/>
        <v>0</v>
      </c>
      <c r="AB207">
        <f t="shared" si="422"/>
        <v>0</v>
      </c>
      <c r="AC207">
        <f t="shared" si="423"/>
        <v>0</v>
      </c>
      <c r="AD207">
        <f t="shared" si="424"/>
        <v>0</v>
      </c>
      <c r="AE207">
        <f t="shared" si="425"/>
        <v>0</v>
      </c>
      <c r="AF207">
        <f t="shared" si="426"/>
        <v>0</v>
      </c>
      <c r="AG207">
        <f t="shared" si="427"/>
        <v>0</v>
      </c>
      <c r="AH207">
        <f t="shared" si="428"/>
        <v>0</v>
      </c>
      <c r="AI207">
        <f t="shared" si="429"/>
        <v>0</v>
      </c>
      <c r="AJ207">
        <f t="shared" si="430"/>
        <v>0</v>
      </c>
      <c r="AK207">
        <f t="shared" si="431"/>
        <v>0</v>
      </c>
      <c r="AL207">
        <f t="shared" si="432"/>
        <v>0</v>
      </c>
      <c r="AM207">
        <f t="shared" si="433"/>
        <v>0</v>
      </c>
      <c r="AN207">
        <f t="shared" si="434"/>
        <v>0</v>
      </c>
      <c r="AO207">
        <f t="shared" si="435"/>
        <v>0</v>
      </c>
      <c r="AP207">
        <f t="shared" si="436"/>
        <v>0</v>
      </c>
      <c r="AQ207">
        <f t="shared" si="437"/>
        <v>0</v>
      </c>
      <c r="AR207">
        <f t="shared" si="438"/>
        <v>0</v>
      </c>
      <c r="AS207">
        <f t="shared" si="439"/>
        <v>0</v>
      </c>
      <c r="AT207">
        <f t="shared" si="440"/>
        <v>0</v>
      </c>
      <c r="AU207">
        <f t="shared" si="441"/>
        <v>0</v>
      </c>
      <c r="AV207">
        <f t="shared" si="442"/>
        <v>0</v>
      </c>
      <c r="AW207" s="23">
        <f t="shared" si="443"/>
        <v>0</v>
      </c>
      <c r="AX207" s="24">
        <f t="shared" si="445"/>
        <v>0</v>
      </c>
      <c r="AY207" s="121">
        <f t="shared" si="446"/>
        <v>0</v>
      </c>
      <c r="AZ207" s="124">
        <f t="shared" si="447"/>
        <v>0</v>
      </c>
      <c r="BA207" s="199"/>
      <c r="BB207" s="198"/>
      <c r="BC207" s="200"/>
      <c r="BD207" s="24"/>
      <c r="BE207" s="23"/>
      <c r="BF207" s="203"/>
      <c r="BG207" s="204"/>
    </row>
    <row r="208" spans="1:59" ht="15.75" thickBot="1">
      <c r="A208" s="19">
        <f>B!$E$225</f>
        <v>0</v>
      </c>
      <c r="B208" s="20">
        <f>'C'!G64</f>
        <v>0</v>
      </c>
      <c r="C208" s="20">
        <f>D!G64</f>
        <v>0</v>
      </c>
      <c r="D208" s="20">
        <f>E!G64</f>
        <v>0</v>
      </c>
      <c r="E208" s="20">
        <f>F!G64</f>
        <v>0</v>
      </c>
      <c r="F208" s="20">
        <f>G!G64</f>
        <v>0</v>
      </c>
      <c r="G208" s="20">
        <f>H!G64</f>
        <v>0</v>
      </c>
      <c r="H208" s="20">
        <f>I!G64</f>
        <v>0</v>
      </c>
      <c r="I208" s="20">
        <f>J!G64</f>
        <v>0</v>
      </c>
      <c r="J208" s="20">
        <f>K!G64</f>
        <v>0</v>
      </c>
      <c r="K208" s="20">
        <f>L!G64</f>
        <v>0</v>
      </c>
      <c r="L208" s="20">
        <f>M!G64</f>
        <v>0</v>
      </c>
      <c r="M208" s="20">
        <f>N!G64</f>
        <v>0</v>
      </c>
      <c r="N208" s="20">
        <f>O!G64</f>
        <v>0</v>
      </c>
      <c r="O208" s="20">
        <f>P!G64</f>
        <v>0</v>
      </c>
      <c r="P208" s="20">
        <f>Q!G64</f>
        <v>0</v>
      </c>
      <c r="Q208" s="20">
        <f>'R'!G64</f>
        <v>0</v>
      </c>
      <c r="R208" s="20">
        <f>S!G64</f>
        <v>0</v>
      </c>
      <c r="S208" s="20">
        <f>T!G64</f>
        <v>0</v>
      </c>
      <c r="T208" s="20">
        <f>U!G64</f>
        <v>0</v>
      </c>
      <c r="U208" s="20">
        <f>V!G64</f>
        <v>0</v>
      </c>
      <c r="V208" s="20">
        <f>W!G64</f>
        <v>0</v>
      </c>
      <c r="W208" s="20">
        <f>X!G64</f>
        <v>0</v>
      </c>
      <c r="X208" s="21">
        <f t="shared" si="420"/>
        <v>0</v>
      </c>
      <c r="Y208" s="22">
        <f t="shared" si="444"/>
        <v>0</v>
      </c>
      <c r="Z208" s="122">
        <f t="shared" si="358"/>
        <v>0</v>
      </c>
      <c r="AA208" s="17">
        <f t="shared" si="421"/>
        <v>0</v>
      </c>
      <c r="AB208">
        <f t="shared" si="422"/>
        <v>0</v>
      </c>
      <c r="AC208">
        <f t="shared" si="423"/>
        <v>0</v>
      </c>
      <c r="AD208">
        <f t="shared" si="424"/>
        <v>0</v>
      </c>
      <c r="AE208">
        <f t="shared" si="425"/>
        <v>0</v>
      </c>
      <c r="AF208">
        <f t="shared" si="426"/>
        <v>0</v>
      </c>
      <c r="AG208">
        <f t="shared" si="427"/>
        <v>0</v>
      </c>
      <c r="AH208">
        <f t="shared" si="428"/>
        <v>0</v>
      </c>
      <c r="AI208">
        <f t="shared" si="429"/>
        <v>0</v>
      </c>
      <c r="AJ208">
        <f t="shared" si="430"/>
        <v>0</v>
      </c>
      <c r="AK208">
        <f t="shared" si="431"/>
        <v>0</v>
      </c>
      <c r="AL208">
        <f t="shared" si="432"/>
        <v>0</v>
      </c>
      <c r="AM208">
        <f t="shared" si="433"/>
        <v>0</v>
      </c>
      <c r="AN208">
        <f t="shared" si="434"/>
        <v>0</v>
      </c>
      <c r="AO208">
        <f t="shared" si="435"/>
        <v>0</v>
      </c>
      <c r="AP208">
        <f t="shared" si="436"/>
        <v>0</v>
      </c>
      <c r="AQ208">
        <f t="shared" si="437"/>
        <v>0</v>
      </c>
      <c r="AR208">
        <f t="shared" si="438"/>
        <v>0</v>
      </c>
      <c r="AS208">
        <f t="shared" si="439"/>
        <v>0</v>
      </c>
      <c r="AT208">
        <f t="shared" si="440"/>
        <v>0</v>
      </c>
      <c r="AU208">
        <f t="shared" si="441"/>
        <v>0</v>
      </c>
      <c r="AV208">
        <f t="shared" si="442"/>
        <v>0</v>
      </c>
      <c r="AW208" s="23">
        <f t="shared" si="443"/>
        <v>0</v>
      </c>
      <c r="AX208" s="24">
        <f t="shared" si="445"/>
        <v>0</v>
      </c>
      <c r="AY208" s="121">
        <f t="shared" si="446"/>
        <v>0</v>
      </c>
      <c r="AZ208" s="124">
        <f t="shared" si="447"/>
        <v>0</v>
      </c>
      <c r="BA208" s="199"/>
      <c r="BB208" s="198"/>
      <c r="BC208" s="200"/>
      <c r="BD208" s="24"/>
      <c r="BE208" s="23"/>
      <c r="BF208" s="203"/>
      <c r="BG208" s="204"/>
    </row>
    <row r="209" spans="1:59" ht="15.75" thickTop="1">
      <c r="A209" s="133" t="s">
        <v>134</v>
      </c>
      <c r="B209" s="134">
        <f t="shared" ref="B209:W209" si="448">SUM(B201:B208)</f>
        <v>0</v>
      </c>
      <c r="C209" s="134">
        <f t="shared" si="448"/>
        <v>0</v>
      </c>
      <c r="D209" s="134">
        <f t="shared" si="448"/>
        <v>0</v>
      </c>
      <c r="E209" s="134">
        <f t="shared" si="448"/>
        <v>0</v>
      </c>
      <c r="F209" s="134">
        <f t="shared" si="448"/>
        <v>0</v>
      </c>
      <c r="G209" s="134">
        <f t="shared" si="448"/>
        <v>0</v>
      </c>
      <c r="H209" s="134">
        <f t="shared" si="448"/>
        <v>0</v>
      </c>
      <c r="I209" s="134">
        <f t="shared" si="448"/>
        <v>0</v>
      </c>
      <c r="J209" s="134">
        <f t="shared" si="448"/>
        <v>0</v>
      </c>
      <c r="K209" s="134">
        <f t="shared" si="448"/>
        <v>0</v>
      </c>
      <c r="L209" s="134">
        <f t="shared" si="448"/>
        <v>0</v>
      </c>
      <c r="M209" s="134">
        <f t="shared" si="448"/>
        <v>0</v>
      </c>
      <c r="N209" s="134">
        <f t="shared" si="448"/>
        <v>0</v>
      </c>
      <c r="O209" s="134">
        <f t="shared" si="448"/>
        <v>0</v>
      </c>
      <c r="P209" s="134">
        <f t="shared" si="448"/>
        <v>0</v>
      </c>
      <c r="Q209" s="134">
        <f t="shared" si="448"/>
        <v>0</v>
      </c>
      <c r="R209" s="134">
        <f t="shared" si="448"/>
        <v>0</v>
      </c>
      <c r="S209" s="134">
        <f t="shared" si="448"/>
        <v>0</v>
      </c>
      <c r="T209" s="134">
        <f t="shared" si="448"/>
        <v>0</v>
      </c>
      <c r="U209" s="134">
        <f t="shared" si="448"/>
        <v>0</v>
      </c>
      <c r="V209" s="134">
        <f t="shared" si="448"/>
        <v>0</v>
      </c>
      <c r="W209" s="134">
        <f t="shared" si="448"/>
        <v>0</v>
      </c>
      <c r="X209" s="135">
        <f t="shared" si="420"/>
        <v>0</v>
      </c>
      <c r="Y209" s="137">
        <f>IF(X209=0,0,X209/AW209)</f>
        <v>0</v>
      </c>
      <c r="Z209" s="122"/>
      <c r="AA209" s="138">
        <f t="shared" ref="AA209:AV209" si="449">SUM(AA201:AA208)</f>
        <v>0</v>
      </c>
      <c r="AB209" s="11">
        <f t="shared" si="449"/>
        <v>0</v>
      </c>
      <c r="AC209" s="11">
        <f t="shared" si="449"/>
        <v>0</v>
      </c>
      <c r="AD209" s="11">
        <f t="shared" si="449"/>
        <v>0</v>
      </c>
      <c r="AE209" s="11">
        <f t="shared" si="449"/>
        <v>0</v>
      </c>
      <c r="AF209" s="11">
        <f t="shared" si="449"/>
        <v>0</v>
      </c>
      <c r="AG209" s="11">
        <f t="shared" si="449"/>
        <v>0</v>
      </c>
      <c r="AH209" s="11">
        <f t="shared" si="449"/>
        <v>0</v>
      </c>
      <c r="AI209" s="11">
        <f t="shared" si="449"/>
        <v>0</v>
      </c>
      <c r="AJ209" s="11">
        <f t="shared" si="449"/>
        <v>0</v>
      </c>
      <c r="AK209" s="11">
        <f t="shared" si="449"/>
        <v>0</v>
      </c>
      <c r="AL209" s="11">
        <f t="shared" si="449"/>
        <v>0</v>
      </c>
      <c r="AM209" s="11">
        <f t="shared" si="449"/>
        <v>0</v>
      </c>
      <c r="AN209" s="11">
        <f t="shared" si="449"/>
        <v>0</v>
      </c>
      <c r="AO209" s="11">
        <f t="shared" si="449"/>
        <v>0</v>
      </c>
      <c r="AP209" s="11">
        <f t="shared" si="449"/>
        <v>0</v>
      </c>
      <c r="AQ209" s="11">
        <f t="shared" si="449"/>
        <v>0</v>
      </c>
      <c r="AR209" s="11">
        <f t="shared" si="449"/>
        <v>0</v>
      </c>
      <c r="AS209" s="11">
        <f t="shared" si="449"/>
        <v>0</v>
      </c>
      <c r="AT209" s="11">
        <f t="shared" si="449"/>
        <v>0</v>
      </c>
      <c r="AU209" s="11">
        <f t="shared" si="449"/>
        <v>0</v>
      </c>
      <c r="AV209" s="11">
        <f t="shared" si="449"/>
        <v>0</v>
      </c>
      <c r="AW209" s="12">
        <f>MAXA(AW201:AW208)</f>
        <v>0</v>
      </c>
      <c r="AX209" s="24"/>
      <c r="AZ209" s="124"/>
      <c r="BA209" s="199"/>
      <c r="BB209" s="198"/>
      <c r="BC209" s="200"/>
      <c r="BD209" s="24"/>
      <c r="BE209" s="23"/>
      <c r="BF209" s="203"/>
      <c r="BG209" s="204"/>
    </row>
    <row r="210" spans="1:59" ht="16.5" thickBot="1">
      <c r="A210" s="105" t="s">
        <v>189</v>
      </c>
      <c r="B210" s="20">
        <f>'C'!G65</f>
        <v>0</v>
      </c>
      <c r="C210" s="20">
        <f>D!G65</f>
        <v>0</v>
      </c>
      <c r="D210" s="20">
        <f>E!G65</f>
        <v>0</v>
      </c>
      <c r="E210" s="20">
        <f>F!G65</f>
        <v>0</v>
      </c>
      <c r="F210" s="20">
        <f>G!G65</f>
        <v>0</v>
      </c>
      <c r="G210" s="20">
        <f>H!G65</f>
        <v>0</v>
      </c>
      <c r="H210" s="20">
        <f>I!G65</f>
        <v>0</v>
      </c>
      <c r="I210" s="20">
        <f>J!G65</f>
        <v>0</v>
      </c>
      <c r="J210" s="20">
        <f>K!G65</f>
        <v>0</v>
      </c>
      <c r="K210" s="20">
        <f>L!G65</f>
        <v>0</v>
      </c>
      <c r="L210" s="20">
        <f>M!G65</f>
        <v>0</v>
      </c>
      <c r="M210" s="20">
        <f>N!G65</f>
        <v>0</v>
      </c>
      <c r="N210" s="20">
        <f>O!G65</f>
        <v>0</v>
      </c>
      <c r="O210" s="20">
        <f>P!G65</f>
        <v>0</v>
      </c>
      <c r="P210" s="20">
        <f>Q!G65</f>
        <v>0</v>
      </c>
      <c r="Q210" s="20">
        <f>'R'!G65</f>
        <v>0</v>
      </c>
      <c r="R210" s="20">
        <f>S!G65</f>
        <v>0</v>
      </c>
      <c r="S210" s="20">
        <f>T!G65</f>
        <v>0</v>
      </c>
      <c r="T210" s="20">
        <f>U!G65</f>
        <v>0</v>
      </c>
      <c r="U210" s="20">
        <f>V!G65</f>
        <v>0</v>
      </c>
      <c r="V210" s="20">
        <f>W!G65</f>
        <v>0</v>
      </c>
      <c r="W210" s="20">
        <f>X!G65</f>
        <v>0</v>
      </c>
      <c r="X210" s="21">
        <f t="shared" si="420"/>
        <v>0</v>
      </c>
      <c r="Y210" s="120"/>
      <c r="Z210" s="122"/>
      <c r="AA210" s="17"/>
      <c r="AW210" s="23"/>
      <c r="AX210" s="24"/>
      <c r="AZ210" s="124"/>
      <c r="BA210" s="199"/>
      <c r="BB210" s="198"/>
      <c r="BC210" s="200"/>
      <c r="BD210" s="24"/>
      <c r="BE210" s="23"/>
      <c r="BF210" s="203"/>
      <c r="BG210" s="204"/>
    </row>
    <row r="211" spans="1:59" ht="16.5" thickTop="1" thickBot="1">
      <c r="A211" s="100" t="s">
        <v>53</v>
      </c>
      <c r="B211" s="68">
        <f t="shared" ref="B211:W211" si="450">SUM(B209:B210)</f>
        <v>0</v>
      </c>
      <c r="C211" s="68">
        <f t="shared" si="450"/>
        <v>0</v>
      </c>
      <c r="D211" s="68">
        <f t="shared" si="450"/>
        <v>0</v>
      </c>
      <c r="E211" s="68">
        <f t="shared" si="450"/>
        <v>0</v>
      </c>
      <c r="F211" s="68">
        <f t="shared" si="450"/>
        <v>0</v>
      </c>
      <c r="G211" s="68">
        <f t="shared" si="450"/>
        <v>0</v>
      </c>
      <c r="H211" s="68">
        <f t="shared" si="450"/>
        <v>0</v>
      </c>
      <c r="I211" s="68">
        <f t="shared" si="450"/>
        <v>0</v>
      </c>
      <c r="J211" s="68">
        <f t="shared" si="450"/>
        <v>0</v>
      </c>
      <c r="K211" s="68">
        <f t="shared" si="450"/>
        <v>0</v>
      </c>
      <c r="L211" s="68">
        <f t="shared" si="450"/>
        <v>0</v>
      </c>
      <c r="M211" s="68">
        <f t="shared" si="450"/>
        <v>0</v>
      </c>
      <c r="N211" s="68">
        <f t="shared" si="450"/>
        <v>0</v>
      </c>
      <c r="O211" s="68">
        <f t="shared" si="450"/>
        <v>0</v>
      </c>
      <c r="P211" s="68">
        <f t="shared" si="450"/>
        <v>0</v>
      </c>
      <c r="Q211" s="68">
        <f t="shared" si="450"/>
        <v>0</v>
      </c>
      <c r="R211" s="68">
        <f t="shared" si="450"/>
        <v>0</v>
      </c>
      <c r="S211" s="68">
        <f t="shared" si="450"/>
        <v>0</v>
      </c>
      <c r="T211" s="68">
        <f t="shared" si="450"/>
        <v>0</v>
      </c>
      <c r="U211" s="68">
        <f t="shared" si="450"/>
        <v>0</v>
      </c>
      <c r="V211" s="68">
        <f t="shared" si="450"/>
        <v>0</v>
      </c>
      <c r="W211" s="68">
        <f t="shared" si="450"/>
        <v>0</v>
      </c>
      <c r="X211" s="28">
        <f t="shared" si="420"/>
        <v>0</v>
      </c>
      <c r="Y211" s="136"/>
      <c r="Z211" s="122"/>
      <c r="AA211" s="17"/>
      <c r="AW211" s="23"/>
      <c r="AX211" s="24"/>
      <c r="AZ211" s="124"/>
      <c r="BA211" s="199"/>
      <c r="BB211" s="198"/>
      <c r="BC211" s="200"/>
      <c r="BD211" s="24">
        <f>X211</f>
        <v>0</v>
      </c>
      <c r="BE211" s="23">
        <f>A200</f>
        <v>0</v>
      </c>
      <c r="BF211" s="203"/>
      <c r="BG211" s="204"/>
    </row>
    <row r="212" spans="1:59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22"/>
      <c r="AA212" s="17"/>
      <c r="AW212" s="23"/>
      <c r="AX212" s="24"/>
      <c r="AZ212" s="124"/>
      <c r="BA212" s="199"/>
      <c r="BB212" s="198"/>
      <c r="BC212" s="200"/>
      <c r="BD212" s="24"/>
      <c r="BE212" s="23"/>
      <c r="BF212" s="203"/>
      <c r="BG212" s="204"/>
    </row>
    <row r="213" spans="1:59" ht="15.75" thickBot="1">
      <c r="A213" s="7" t="s">
        <v>68</v>
      </c>
      <c r="B213" s="8" t="s">
        <v>27</v>
      </c>
      <c r="C213" s="8" t="s">
        <v>28</v>
      </c>
      <c r="D213" s="8" t="s">
        <v>29</v>
      </c>
      <c r="E213" s="8" t="s">
        <v>30</v>
      </c>
      <c r="F213" s="8" t="s">
        <v>31</v>
      </c>
      <c r="G213" s="8" t="s">
        <v>32</v>
      </c>
      <c r="H213" s="8" t="s">
        <v>33</v>
      </c>
      <c r="I213" s="8" t="s">
        <v>34</v>
      </c>
      <c r="J213" s="8" t="s">
        <v>35</v>
      </c>
      <c r="K213" s="8" t="s">
        <v>36</v>
      </c>
      <c r="L213" s="8" t="s">
        <v>37</v>
      </c>
      <c r="M213" s="8" t="s">
        <v>38</v>
      </c>
      <c r="N213" s="8" t="s">
        <v>39</v>
      </c>
      <c r="O213" s="8" t="s">
        <v>40</v>
      </c>
      <c r="P213" s="8" t="s">
        <v>41</v>
      </c>
      <c r="Q213" s="8" t="s">
        <v>42</v>
      </c>
      <c r="R213" s="8" t="s">
        <v>43</v>
      </c>
      <c r="S213" s="8" t="s">
        <v>44</v>
      </c>
      <c r="T213" s="8" t="s">
        <v>45</v>
      </c>
      <c r="U213" s="8" t="s">
        <v>46</v>
      </c>
      <c r="V213" s="8" t="s">
        <v>47</v>
      </c>
      <c r="W213" s="8" t="s">
        <v>48</v>
      </c>
      <c r="X213" s="1"/>
      <c r="Y213" s="1"/>
      <c r="Z213" s="3" t="str">
        <f>A213</f>
        <v>Team #16 Name:</v>
      </c>
      <c r="AA213" s="17"/>
      <c r="AW213" s="23"/>
      <c r="AX213" s="24"/>
      <c r="AZ213" s="124"/>
      <c r="BA213" s="199"/>
      <c r="BB213" s="198"/>
      <c r="BC213" s="200"/>
      <c r="BD213" s="24"/>
      <c r="BE213" s="23"/>
      <c r="BF213" s="203"/>
      <c r="BG213" s="204"/>
    </row>
    <row r="214" spans="1:59">
      <c r="A214" s="13">
        <f>B!$E$231</f>
        <v>0</v>
      </c>
      <c r="B214" s="29" t="s">
        <v>50</v>
      </c>
      <c r="C214" s="29" t="s">
        <v>50</v>
      </c>
      <c r="D214" s="29" t="s">
        <v>50</v>
      </c>
      <c r="E214" s="29" t="s">
        <v>50</v>
      </c>
      <c r="F214" s="29" t="s">
        <v>50</v>
      </c>
      <c r="G214" s="29" t="s">
        <v>50</v>
      </c>
      <c r="H214" s="29" t="s">
        <v>50</v>
      </c>
      <c r="I214" s="29" t="s">
        <v>50</v>
      </c>
      <c r="J214" s="29" t="s">
        <v>50</v>
      </c>
      <c r="K214" s="29" t="s">
        <v>50</v>
      </c>
      <c r="L214" s="29" t="s">
        <v>50</v>
      </c>
      <c r="M214" s="29" t="s">
        <v>50</v>
      </c>
      <c r="N214" s="29" t="s">
        <v>50</v>
      </c>
      <c r="O214" s="29" t="s">
        <v>50</v>
      </c>
      <c r="P214" s="29" t="s">
        <v>50</v>
      </c>
      <c r="Q214" s="29" t="s">
        <v>50</v>
      </c>
      <c r="R214" s="29" t="s">
        <v>50</v>
      </c>
      <c r="S214" s="29" t="s">
        <v>50</v>
      </c>
      <c r="T214" s="29" t="s">
        <v>50</v>
      </c>
      <c r="U214" s="29" t="s">
        <v>50</v>
      </c>
      <c r="V214" s="29" t="s">
        <v>50</v>
      </c>
      <c r="W214" s="29" t="s">
        <v>50</v>
      </c>
      <c r="X214" s="15" t="s">
        <v>51</v>
      </c>
      <c r="Y214" s="16" t="s">
        <v>52</v>
      </c>
      <c r="Z214" s="123">
        <f>A214</f>
        <v>0</v>
      </c>
      <c r="AA214" s="17"/>
      <c r="AW214" s="4" t="s">
        <v>97</v>
      </c>
      <c r="AX214" s="24"/>
      <c r="AZ214" s="124"/>
      <c r="BA214" s="199"/>
      <c r="BB214" s="198"/>
      <c r="BC214" s="200"/>
      <c r="BD214" s="24"/>
      <c r="BE214" s="23"/>
      <c r="BF214" s="203"/>
      <c r="BG214" s="204"/>
    </row>
    <row r="215" spans="1:59">
      <c r="A215" s="19">
        <f>B!$E$233</f>
        <v>0</v>
      </c>
      <c r="B215" s="20">
        <f>'C'!G70</f>
        <v>0</v>
      </c>
      <c r="C215" s="20">
        <f>D!G70</f>
        <v>0</v>
      </c>
      <c r="D215" s="20">
        <f>E!G70</f>
        <v>0</v>
      </c>
      <c r="E215" s="20">
        <f>F!G70</f>
        <v>0</v>
      </c>
      <c r="F215" s="20">
        <f>G!G70</f>
        <v>0</v>
      </c>
      <c r="G215" s="20">
        <f>H!G70</f>
        <v>0</v>
      </c>
      <c r="H215" s="20">
        <f>I!G70</f>
        <v>0</v>
      </c>
      <c r="I215" s="20">
        <f>J!G70</f>
        <v>0</v>
      </c>
      <c r="J215" s="20">
        <f>K!G70</f>
        <v>0</v>
      </c>
      <c r="K215" s="20">
        <f>L!G70</f>
        <v>0</v>
      </c>
      <c r="L215" s="20">
        <f>M!G70</f>
        <v>0</v>
      </c>
      <c r="M215" s="20">
        <f>N!G70</f>
        <v>0</v>
      </c>
      <c r="N215" s="20">
        <f>O!G70</f>
        <v>0</v>
      </c>
      <c r="O215" s="20">
        <f>P!G70</f>
        <v>0</v>
      </c>
      <c r="P215" s="20">
        <f>Q!G70</f>
        <v>0</v>
      </c>
      <c r="Q215" s="20">
        <f>'R'!G70</f>
        <v>0</v>
      </c>
      <c r="R215" s="20">
        <f>S!G70</f>
        <v>0</v>
      </c>
      <c r="S215" s="20">
        <f>T!G70</f>
        <v>0</v>
      </c>
      <c r="T215" s="20">
        <f>U!G70</f>
        <v>0</v>
      </c>
      <c r="U215" s="20">
        <f>V!G70</f>
        <v>0</v>
      </c>
      <c r="V215" s="20">
        <f>W!G70</f>
        <v>0</v>
      </c>
      <c r="W215" s="20">
        <f>X!G70</f>
        <v>0</v>
      </c>
      <c r="X215" s="21">
        <f t="shared" ref="X215:X225" si="451">SUM(B215:W215)</f>
        <v>0</v>
      </c>
      <c r="Y215" s="22">
        <f>IF(AW215=0,0,X215/AW215)</f>
        <v>0</v>
      </c>
      <c r="Z215" s="122">
        <f t="shared" si="358"/>
        <v>0</v>
      </c>
      <c r="AA215" s="17">
        <f t="shared" ref="AA215:AA222" si="452">IF(B215=0,0,1)</f>
        <v>0</v>
      </c>
      <c r="AB215">
        <f t="shared" ref="AB215:AB222" si="453">IF(C215=0,0,1)</f>
        <v>0</v>
      </c>
      <c r="AC215">
        <f t="shared" ref="AC215:AC222" si="454">IF(D215=0,0,1)</f>
        <v>0</v>
      </c>
      <c r="AD215">
        <f t="shared" ref="AD215:AD222" si="455">IF(E215=0,0,1)</f>
        <v>0</v>
      </c>
      <c r="AE215">
        <f t="shared" ref="AE215:AE222" si="456">IF(F215=0,0,1)</f>
        <v>0</v>
      </c>
      <c r="AF215">
        <f t="shared" ref="AF215:AF222" si="457">IF(G215=0,0,1)</f>
        <v>0</v>
      </c>
      <c r="AG215">
        <f t="shared" ref="AG215:AG222" si="458">IF(H215=0,0,1)</f>
        <v>0</v>
      </c>
      <c r="AH215">
        <f t="shared" ref="AH215:AH222" si="459">IF(I215=0,0,1)</f>
        <v>0</v>
      </c>
      <c r="AI215">
        <f t="shared" ref="AI215:AI222" si="460">IF(J215=0,0,1)</f>
        <v>0</v>
      </c>
      <c r="AJ215">
        <f t="shared" ref="AJ215:AJ222" si="461">IF(K215=0,0,1)</f>
        <v>0</v>
      </c>
      <c r="AK215">
        <f t="shared" ref="AK215:AK222" si="462">IF(L215=0,0,1)</f>
        <v>0</v>
      </c>
      <c r="AL215">
        <f t="shared" ref="AL215:AL222" si="463">IF(M215=0,0,1)</f>
        <v>0</v>
      </c>
      <c r="AM215">
        <f t="shared" ref="AM215:AM222" si="464">IF(N215=0,0,1)</f>
        <v>0</v>
      </c>
      <c r="AN215">
        <f t="shared" ref="AN215:AN222" si="465">IF(O215=0,0,1)</f>
        <v>0</v>
      </c>
      <c r="AO215">
        <f t="shared" ref="AO215:AO222" si="466">IF(P215=0,0,1)</f>
        <v>0</v>
      </c>
      <c r="AP215">
        <f t="shared" ref="AP215:AP222" si="467">IF(Q215=0,0,1)</f>
        <v>0</v>
      </c>
      <c r="AQ215">
        <f t="shared" ref="AQ215:AQ222" si="468">IF(R215=0,0,1)</f>
        <v>0</v>
      </c>
      <c r="AR215">
        <f t="shared" ref="AR215:AR222" si="469">IF(S215=0,0,1)</f>
        <v>0</v>
      </c>
      <c r="AS215">
        <f t="shared" ref="AS215:AS222" si="470">IF(T215=0,0,1)</f>
        <v>0</v>
      </c>
      <c r="AT215">
        <f t="shared" ref="AT215:AT222" si="471">IF(U215=0,0,1)</f>
        <v>0</v>
      </c>
      <c r="AU215">
        <f t="shared" ref="AU215:AU222" si="472">IF(V215=0,0,1)</f>
        <v>0</v>
      </c>
      <c r="AV215">
        <f t="shared" ref="AV215:AV222" si="473">IF(W215=0,0,1)</f>
        <v>0</v>
      </c>
      <c r="AW215" s="23">
        <f t="shared" ref="AW215:AW222" si="474">SUM(AA215:AV215)</f>
        <v>0</v>
      </c>
      <c r="AX215" s="24">
        <f>IF(X215=0,0,X215)</f>
        <v>0</v>
      </c>
      <c r="AY215" s="121">
        <f>IF(X215=0,0,A215)</f>
        <v>0</v>
      </c>
      <c r="AZ215" s="124">
        <f>IF(AX215=0,0,A$214)</f>
        <v>0</v>
      </c>
      <c r="BA215" s="199"/>
      <c r="BB215" s="198"/>
      <c r="BC215" s="200"/>
      <c r="BD215" s="24"/>
      <c r="BE215" s="23"/>
      <c r="BF215" s="203"/>
      <c r="BG215" s="204"/>
    </row>
    <row r="216" spans="1:59">
      <c r="A216" s="19">
        <f>B!$E$238</f>
        <v>0</v>
      </c>
      <c r="B216" s="20">
        <f>'C'!G71</f>
        <v>0</v>
      </c>
      <c r="C216" s="20">
        <f>D!G71</f>
        <v>0</v>
      </c>
      <c r="D216" s="20">
        <f>E!G71</f>
        <v>0</v>
      </c>
      <c r="E216" s="20">
        <f>F!G71</f>
        <v>0</v>
      </c>
      <c r="F216" s="20">
        <f>G!G71</f>
        <v>0</v>
      </c>
      <c r="G216" s="20">
        <f>H!G71</f>
        <v>0</v>
      </c>
      <c r="H216" s="20">
        <f>I!G71</f>
        <v>0</v>
      </c>
      <c r="I216" s="20">
        <f>J!G71</f>
        <v>0</v>
      </c>
      <c r="J216" s="20">
        <f>K!G71</f>
        <v>0</v>
      </c>
      <c r="K216" s="20">
        <f>L!G71</f>
        <v>0</v>
      </c>
      <c r="L216" s="20">
        <f>M!G71</f>
        <v>0</v>
      </c>
      <c r="M216" s="20">
        <f>N!G71</f>
        <v>0</v>
      </c>
      <c r="N216" s="20">
        <f>O!G71</f>
        <v>0</v>
      </c>
      <c r="O216" s="20">
        <f>P!G71</f>
        <v>0</v>
      </c>
      <c r="P216" s="20">
        <f>Q!G71</f>
        <v>0</v>
      </c>
      <c r="Q216" s="20">
        <f>'R'!G71</f>
        <v>0</v>
      </c>
      <c r="R216" s="20">
        <f>S!G71</f>
        <v>0</v>
      </c>
      <c r="S216" s="20">
        <f>T!G71</f>
        <v>0</v>
      </c>
      <c r="T216" s="20">
        <f>U!G71</f>
        <v>0</v>
      </c>
      <c r="U216" s="20">
        <f>V!G71</f>
        <v>0</v>
      </c>
      <c r="V216" s="20">
        <f>W!G71</f>
        <v>0</v>
      </c>
      <c r="W216" s="20">
        <f>X!G71</f>
        <v>0</v>
      </c>
      <c r="X216" s="21">
        <f t="shared" si="451"/>
        <v>0</v>
      </c>
      <c r="Y216" s="22">
        <f t="shared" ref="Y216:Y222" si="475">IF(AW216=0,0,X216/AW216)</f>
        <v>0</v>
      </c>
      <c r="Z216" s="122">
        <f t="shared" si="358"/>
        <v>0</v>
      </c>
      <c r="AA216" s="17">
        <f t="shared" si="452"/>
        <v>0</v>
      </c>
      <c r="AB216">
        <f t="shared" si="453"/>
        <v>0</v>
      </c>
      <c r="AC216">
        <f t="shared" si="454"/>
        <v>0</v>
      </c>
      <c r="AD216">
        <f t="shared" si="455"/>
        <v>0</v>
      </c>
      <c r="AE216">
        <f t="shared" si="456"/>
        <v>0</v>
      </c>
      <c r="AF216">
        <f t="shared" si="457"/>
        <v>0</v>
      </c>
      <c r="AG216">
        <f t="shared" si="458"/>
        <v>0</v>
      </c>
      <c r="AH216">
        <f t="shared" si="459"/>
        <v>0</v>
      </c>
      <c r="AI216">
        <f t="shared" si="460"/>
        <v>0</v>
      </c>
      <c r="AJ216">
        <f t="shared" si="461"/>
        <v>0</v>
      </c>
      <c r="AK216">
        <f t="shared" si="462"/>
        <v>0</v>
      </c>
      <c r="AL216">
        <f t="shared" si="463"/>
        <v>0</v>
      </c>
      <c r="AM216">
        <f t="shared" si="464"/>
        <v>0</v>
      </c>
      <c r="AN216">
        <f t="shared" si="465"/>
        <v>0</v>
      </c>
      <c r="AO216">
        <f t="shared" si="466"/>
        <v>0</v>
      </c>
      <c r="AP216">
        <f t="shared" si="467"/>
        <v>0</v>
      </c>
      <c r="AQ216">
        <f t="shared" si="468"/>
        <v>0</v>
      </c>
      <c r="AR216">
        <f t="shared" si="469"/>
        <v>0</v>
      </c>
      <c r="AS216">
        <f t="shared" si="470"/>
        <v>0</v>
      </c>
      <c r="AT216">
        <f t="shared" si="471"/>
        <v>0</v>
      </c>
      <c r="AU216">
        <f t="shared" si="472"/>
        <v>0</v>
      </c>
      <c r="AV216">
        <f t="shared" si="473"/>
        <v>0</v>
      </c>
      <c r="AW216" s="23">
        <f t="shared" si="474"/>
        <v>0</v>
      </c>
      <c r="AX216" s="24">
        <f t="shared" ref="AX216:AX222" si="476">IF(X216=0,0,X216)</f>
        <v>0</v>
      </c>
      <c r="AY216" s="121">
        <f t="shared" ref="AY216:AY222" si="477">IF(X216=0,0,A216)</f>
        <v>0</v>
      </c>
      <c r="AZ216" s="124">
        <f t="shared" ref="AZ216:AZ222" si="478">IF(AX216=0,0,A$214)</f>
        <v>0</v>
      </c>
      <c r="BA216" s="199"/>
      <c r="BB216" s="198"/>
      <c r="BC216" s="200"/>
      <c r="BD216" s="24"/>
      <c r="BE216" s="23"/>
      <c r="BF216" s="203"/>
      <c r="BG216" s="204"/>
    </row>
    <row r="217" spans="1:59">
      <c r="A217" s="19">
        <f>B!$E$243</f>
        <v>0</v>
      </c>
      <c r="B217" s="20">
        <f>'C'!G72</f>
        <v>0</v>
      </c>
      <c r="C217" s="20">
        <f>D!G72</f>
        <v>0</v>
      </c>
      <c r="D217" s="20">
        <f>E!G72</f>
        <v>0</v>
      </c>
      <c r="E217" s="20">
        <f>F!G72</f>
        <v>0</v>
      </c>
      <c r="F217" s="20">
        <f>G!G72</f>
        <v>0</v>
      </c>
      <c r="G217" s="20">
        <f>H!G72</f>
        <v>0</v>
      </c>
      <c r="H217" s="20">
        <f>I!G72</f>
        <v>0</v>
      </c>
      <c r="I217" s="20">
        <f>J!G72</f>
        <v>0</v>
      </c>
      <c r="J217" s="20">
        <f>K!G72</f>
        <v>0</v>
      </c>
      <c r="K217" s="20">
        <f>L!G72</f>
        <v>0</v>
      </c>
      <c r="L217" s="20">
        <f>M!G72</f>
        <v>0</v>
      </c>
      <c r="M217" s="20">
        <f>N!G72</f>
        <v>0</v>
      </c>
      <c r="N217" s="20">
        <f>O!G72</f>
        <v>0</v>
      </c>
      <c r="O217" s="20">
        <f>P!G72</f>
        <v>0</v>
      </c>
      <c r="P217" s="20">
        <f>Q!G72</f>
        <v>0</v>
      </c>
      <c r="Q217" s="20">
        <f>'R'!G72</f>
        <v>0</v>
      </c>
      <c r="R217" s="20">
        <f>S!G72</f>
        <v>0</v>
      </c>
      <c r="S217" s="20">
        <f>T!G72</f>
        <v>0</v>
      </c>
      <c r="T217" s="20">
        <f>U!G72</f>
        <v>0</v>
      </c>
      <c r="U217" s="20">
        <f>V!G72</f>
        <v>0</v>
      </c>
      <c r="V217" s="20">
        <f>W!G72</f>
        <v>0</v>
      </c>
      <c r="W217" s="20">
        <f>X!G72</f>
        <v>0</v>
      </c>
      <c r="X217" s="21">
        <f t="shared" si="451"/>
        <v>0</v>
      </c>
      <c r="Y217" s="22">
        <f t="shared" si="475"/>
        <v>0</v>
      </c>
      <c r="Z217" s="122">
        <f t="shared" si="358"/>
        <v>0</v>
      </c>
      <c r="AA217" s="17">
        <f t="shared" si="452"/>
        <v>0</v>
      </c>
      <c r="AB217">
        <f t="shared" si="453"/>
        <v>0</v>
      </c>
      <c r="AC217">
        <f t="shared" si="454"/>
        <v>0</v>
      </c>
      <c r="AD217">
        <f t="shared" si="455"/>
        <v>0</v>
      </c>
      <c r="AE217">
        <f t="shared" si="456"/>
        <v>0</v>
      </c>
      <c r="AF217">
        <f t="shared" si="457"/>
        <v>0</v>
      </c>
      <c r="AG217">
        <f t="shared" si="458"/>
        <v>0</v>
      </c>
      <c r="AH217">
        <f t="shared" si="459"/>
        <v>0</v>
      </c>
      <c r="AI217">
        <f t="shared" si="460"/>
        <v>0</v>
      </c>
      <c r="AJ217">
        <f t="shared" si="461"/>
        <v>0</v>
      </c>
      <c r="AK217">
        <f t="shared" si="462"/>
        <v>0</v>
      </c>
      <c r="AL217">
        <f t="shared" si="463"/>
        <v>0</v>
      </c>
      <c r="AM217">
        <f t="shared" si="464"/>
        <v>0</v>
      </c>
      <c r="AN217">
        <f t="shared" si="465"/>
        <v>0</v>
      </c>
      <c r="AO217">
        <f t="shared" si="466"/>
        <v>0</v>
      </c>
      <c r="AP217">
        <f t="shared" si="467"/>
        <v>0</v>
      </c>
      <c r="AQ217">
        <f t="shared" si="468"/>
        <v>0</v>
      </c>
      <c r="AR217">
        <f t="shared" si="469"/>
        <v>0</v>
      </c>
      <c r="AS217">
        <f t="shared" si="470"/>
        <v>0</v>
      </c>
      <c r="AT217">
        <f t="shared" si="471"/>
        <v>0</v>
      </c>
      <c r="AU217">
        <f t="shared" si="472"/>
        <v>0</v>
      </c>
      <c r="AV217">
        <f t="shared" si="473"/>
        <v>0</v>
      </c>
      <c r="AW217" s="23">
        <f t="shared" si="474"/>
        <v>0</v>
      </c>
      <c r="AX217" s="24">
        <f t="shared" si="476"/>
        <v>0</v>
      </c>
      <c r="AY217" s="121">
        <f t="shared" si="477"/>
        <v>0</v>
      </c>
      <c r="AZ217" s="124">
        <f t="shared" si="478"/>
        <v>0</v>
      </c>
      <c r="BA217" s="199"/>
      <c r="BB217" s="198"/>
      <c r="BC217" s="200"/>
      <c r="BD217" s="24"/>
      <c r="BE217" s="23"/>
      <c r="BF217" s="203"/>
      <c r="BG217" s="204"/>
    </row>
    <row r="218" spans="1:59">
      <c r="A218" s="19">
        <f>B!$E$248</f>
        <v>0</v>
      </c>
      <c r="B218" s="20">
        <f>'C'!G73</f>
        <v>0</v>
      </c>
      <c r="C218" s="20">
        <f>D!G73</f>
        <v>0</v>
      </c>
      <c r="D218" s="20">
        <f>E!G73</f>
        <v>0</v>
      </c>
      <c r="E218" s="20">
        <f>F!G73</f>
        <v>0</v>
      </c>
      <c r="F218" s="20">
        <f>G!G73</f>
        <v>0</v>
      </c>
      <c r="G218" s="20">
        <f>H!G73</f>
        <v>0</v>
      </c>
      <c r="H218" s="20">
        <f>I!G73</f>
        <v>0</v>
      </c>
      <c r="I218" s="20">
        <f>J!G73</f>
        <v>0</v>
      </c>
      <c r="J218" s="20">
        <f>K!G73</f>
        <v>0</v>
      </c>
      <c r="K218" s="20">
        <f>L!G73</f>
        <v>0</v>
      </c>
      <c r="L218" s="20">
        <f>M!G73</f>
        <v>0</v>
      </c>
      <c r="M218" s="20">
        <f>N!G73</f>
        <v>0</v>
      </c>
      <c r="N218" s="20">
        <f>O!G73</f>
        <v>0</v>
      </c>
      <c r="O218" s="20">
        <f>P!G73</f>
        <v>0</v>
      </c>
      <c r="P218" s="20">
        <f>Q!G73</f>
        <v>0</v>
      </c>
      <c r="Q218" s="20">
        <f>'R'!G73</f>
        <v>0</v>
      </c>
      <c r="R218" s="20">
        <f>S!G73</f>
        <v>0</v>
      </c>
      <c r="S218" s="20">
        <f>T!G73</f>
        <v>0</v>
      </c>
      <c r="T218" s="20">
        <f>U!G73</f>
        <v>0</v>
      </c>
      <c r="U218" s="20">
        <f>V!G73</f>
        <v>0</v>
      </c>
      <c r="V218" s="20">
        <f>W!G73</f>
        <v>0</v>
      </c>
      <c r="W218" s="20">
        <f>X!G73</f>
        <v>0</v>
      </c>
      <c r="X218" s="21">
        <f t="shared" si="451"/>
        <v>0</v>
      </c>
      <c r="Y218" s="22">
        <f t="shared" si="475"/>
        <v>0</v>
      </c>
      <c r="Z218" s="122">
        <f t="shared" si="358"/>
        <v>0</v>
      </c>
      <c r="AA218" s="17">
        <f t="shared" si="452"/>
        <v>0</v>
      </c>
      <c r="AB218">
        <f t="shared" si="453"/>
        <v>0</v>
      </c>
      <c r="AC218">
        <f t="shared" si="454"/>
        <v>0</v>
      </c>
      <c r="AD218">
        <f t="shared" si="455"/>
        <v>0</v>
      </c>
      <c r="AE218">
        <f t="shared" si="456"/>
        <v>0</v>
      </c>
      <c r="AF218">
        <f t="shared" si="457"/>
        <v>0</v>
      </c>
      <c r="AG218">
        <f t="shared" si="458"/>
        <v>0</v>
      </c>
      <c r="AH218">
        <f t="shared" si="459"/>
        <v>0</v>
      </c>
      <c r="AI218">
        <f t="shared" si="460"/>
        <v>0</v>
      </c>
      <c r="AJ218">
        <f t="shared" si="461"/>
        <v>0</v>
      </c>
      <c r="AK218">
        <f t="shared" si="462"/>
        <v>0</v>
      </c>
      <c r="AL218">
        <f t="shared" si="463"/>
        <v>0</v>
      </c>
      <c r="AM218">
        <f t="shared" si="464"/>
        <v>0</v>
      </c>
      <c r="AN218">
        <f t="shared" si="465"/>
        <v>0</v>
      </c>
      <c r="AO218">
        <f t="shared" si="466"/>
        <v>0</v>
      </c>
      <c r="AP218">
        <f t="shared" si="467"/>
        <v>0</v>
      </c>
      <c r="AQ218">
        <f t="shared" si="468"/>
        <v>0</v>
      </c>
      <c r="AR218">
        <f t="shared" si="469"/>
        <v>0</v>
      </c>
      <c r="AS218">
        <f t="shared" si="470"/>
        <v>0</v>
      </c>
      <c r="AT218">
        <f t="shared" si="471"/>
        <v>0</v>
      </c>
      <c r="AU218">
        <f t="shared" si="472"/>
        <v>0</v>
      </c>
      <c r="AV218">
        <f t="shared" si="473"/>
        <v>0</v>
      </c>
      <c r="AW218" s="23">
        <f t="shared" si="474"/>
        <v>0</v>
      </c>
      <c r="AX218" s="24">
        <f t="shared" si="476"/>
        <v>0</v>
      </c>
      <c r="AY218" s="121">
        <f t="shared" si="477"/>
        <v>0</v>
      </c>
      <c r="AZ218" s="124">
        <f t="shared" si="478"/>
        <v>0</v>
      </c>
      <c r="BA218" s="199"/>
      <c r="BB218" s="198"/>
      <c r="BC218" s="200"/>
      <c r="BD218" s="24"/>
      <c r="BE218" s="23"/>
      <c r="BF218" s="203"/>
      <c r="BG218" s="204"/>
    </row>
    <row r="219" spans="1:59">
      <c r="A219" s="19">
        <f>B!$E$253</f>
        <v>0</v>
      </c>
      <c r="B219" s="20">
        <f>'C'!G74</f>
        <v>0</v>
      </c>
      <c r="C219" s="20">
        <f>D!G74</f>
        <v>0</v>
      </c>
      <c r="D219" s="20">
        <f>E!G74</f>
        <v>0</v>
      </c>
      <c r="E219" s="20">
        <f>F!G74</f>
        <v>0</v>
      </c>
      <c r="F219" s="20">
        <f>G!G74</f>
        <v>0</v>
      </c>
      <c r="G219" s="20">
        <f>H!G74</f>
        <v>0</v>
      </c>
      <c r="H219" s="20">
        <f>I!G74</f>
        <v>0</v>
      </c>
      <c r="I219" s="20">
        <f>J!G74</f>
        <v>0</v>
      </c>
      <c r="J219" s="20">
        <f>K!G74</f>
        <v>0</v>
      </c>
      <c r="K219" s="20">
        <f>L!G74</f>
        <v>0</v>
      </c>
      <c r="L219" s="20">
        <f>M!G74</f>
        <v>0</v>
      </c>
      <c r="M219" s="20">
        <f>N!G74</f>
        <v>0</v>
      </c>
      <c r="N219" s="20">
        <f>O!G74</f>
        <v>0</v>
      </c>
      <c r="O219" s="20">
        <f>P!G74</f>
        <v>0</v>
      </c>
      <c r="P219" s="20">
        <f>Q!G74</f>
        <v>0</v>
      </c>
      <c r="Q219" s="20">
        <f>'R'!G74</f>
        <v>0</v>
      </c>
      <c r="R219" s="20">
        <f>S!G74</f>
        <v>0</v>
      </c>
      <c r="S219" s="20">
        <f>T!G74</f>
        <v>0</v>
      </c>
      <c r="T219" s="20">
        <f>U!G74</f>
        <v>0</v>
      </c>
      <c r="U219" s="20">
        <f>V!G74</f>
        <v>0</v>
      </c>
      <c r="V219" s="20">
        <f>W!G74</f>
        <v>0</v>
      </c>
      <c r="W219" s="20">
        <f>X!G74</f>
        <v>0</v>
      </c>
      <c r="X219" s="21">
        <f t="shared" si="451"/>
        <v>0</v>
      </c>
      <c r="Y219" s="22">
        <f t="shared" si="475"/>
        <v>0</v>
      </c>
      <c r="Z219" s="122">
        <f t="shared" si="358"/>
        <v>0</v>
      </c>
      <c r="AA219" s="17">
        <f t="shared" si="452"/>
        <v>0</v>
      </c>
      <c r="AB219">
        <f t="shared" si="453"/>
        <v>0</v>
      </c>
      <c r="AC219">
        <f t="shared" si="454"/>
        <v>0</v>
      </c>
      <c r="AD219">
        <f t="shared" si="455"/>
        <v>0</v>
      </c>
      <c r="AE219">
        <f t="shared" si="456"/>
        <v>0</v>
      </c>
      <c r="AF219">
        <f t="shared" si="457"/>
        <v>0</v>
      </c>
      <c r="AG219">
        <f t="shared" si="458"/>
        <v>0</v>
      </c>
      <c r="AH219">
        <f t="shared" si="459"/>
        <v>0</v>
      </c>
      <c r="AI219">
        <f t="shared" si="460"/>
        <v>0</v>
      </c>
      <c r="AJ219">
        <f t="shared" si="461"/>
        <v>0</v>
      </c>
      <c r="AK219">
        <f t="shared" si="462"/>
        <v>0</v>
      </c>
      <c r="AL219">
        <f t="shared" si="463"/>
        <v>0</v>
      </c>
      <c r="AM219">
        <f t="shared" si="464"/>
        <v>0</v>
      </c>
      <c r="AN219">
        <f t="shared" si="465"/>
        <v>0</v>
      </c>
      <c r="AO219">
        <f t="shared" si="466"/>
        <v>0</v>
      </c>
      <c r="AP219">
        <f t="shared" si="467"/>
        <v>0</v>
      </c>
      <c r="AQ219">
        <f t="shared" si="468"/>
        <v>0</v>
      </c>
      <c r="AR219">
        <f t="shared" si="469"/>
        <v>0</v>
      </c>
      <c r="AS219">
        <f t="shared" si="470"/>
        <v>0</v>
      </c>
      <c r="AT219">
        <f t="shared" si="471"/>
        <v>0</v>
      </c>
      <c r="AU219">
        <f t="shared" si="472"/>
        <v>0</v>
      </c>
      <c r="AV219">
        <f t="shared" si="473"/>
        <v>0</v>
      </c>
      <c r="AW219" s="23">
        <f t="shared" si="474"/>
        <v>0</v>
      </c>
      <c r="AX219" s="24">
        <f t="shared" si="476"/>
        <v>0</v>
      </c>
      <c r="AY219" s="121">
        <f t="shared" si="477"/>
        <v>0</v>
      </c>
      <c r="AZ219" s="124">
        <f t="shared" si="478"/>
        <v>0</v>
      </c>
      <c r="BA219" s="199"/>
      <c r="BB219" s="198"/>
      <c r="BC219" s="200"/>
      <c r="BD219" s="24"/>
      <c r="BE219" s="23"/>
      <c r="BF219" s="203"/>
      <c r="BG219" s="204"/>
    </row>
    <row r="220" spans="1:59">
      <c r="A220" s="19">
        <f>B!$E$258</f>
        <v>0</v>
      </c>
      <c r="B220" s="20">
        <f>'C'!G75</f>
        <v>0</v>
      </c>
      <c r="C220" s="20">
        <f>D!G75</f>
        <v>0</v>
      </c>
      <c r="D220" s="20">
        <f>E!G75</f>
        <v>0</v>
      </c>
      <c r="E220" s="20">
        <f>F!G75</f>
        <v>0</v>
      </c>
      <c r="F220" s="20">
        <f>G!G75</f>
        <v>0</v>
      </c>
      <c r="G220" s="20">
        <f>H!G75</f>
        <v>0</v>
      </c>
      <c r="H220" s="20">
        <f>I!G75</f>
        <v>0</v>
      </c>
      <c r="I220" s="20">
        <f>J!G75</f>
        <v>0</v>
      </c>
      <c r="J220" s="20">
        <f>K!G75</f>
        <v>0</v>
      </c>
      <c r="K220" s="20">
        <f>L!G75</f>
        <v>0</v>
      </c>
      <c r="L220" s="20">
        <f>M!G75</f>
        <v>0</v>
      </c>
      <c r="M220" s="20">
        <f>N!G75</f>
        <v>0</v>
      </c>
      <c r="N220" s="20">
        <f>O!G75</f>
        <v>0</v>
      </c>
      <c r="O220" s="20">
        <f>P!G75</f>
        <v>0</v>
      </c>
      <c r="P220" s="20">
        <f>Q!G75</f>
        <v>0</v>
      </c>
      <c r="Q220" s="20">
        <f>'R'!G75</f>
        <v>0</v>
      </c>
      <c r="R220" s="20">
        <f>S!G75</f>
        <v>0</v>
      </c>
      <c r="S220" s="20">
        <f>T!G75</f>
        <v>0</v>
      </c>
      <c r="T220" s="20">
        <f>U!G75</f>
        <v>0</v>
      </c>
      <c r="U220" s="20">
        <f>V!G75</f>
        <v>0</v>
      </c>
      <c r="V220" s="20">
        <f>W!G75</f>
        <v>0</v>
      </c>
      <c r="W220" s="20">
        <f>X!G75</f>
        <v>0</v>
      </c>
      <c r="X220" s="21">
        <f t="shared" si="451"/>
        <v>0</v>
      </c>
      <c r="Y220" s="22">
        <f t="shared" si="475"/>
        <v>0</v>
      </c>
      <c r="Z220" s="122">
        <f t="shared" si="358"/>
        <v>0</v>
      </c>
      <c r="AA220" s="17">
        <f t="shared" si="452"/>
        <v>0</v>
      </c>
      <c r="AB220">
        <f t="shared" si="453"/>
        <v>0</v>
      </c>
      <c r="AC220">
        <f t="shared" si="454"/>
        <v>0</v>
      </c>
      <c r="AD220">
        <f t="shared" si="455"/>
        <v>0</v>
      </c>
      <c r="AE220">
        <f t="shared" si="456"/>
        <v>0</v>
      </c>
      <c r="AF220">
        <f t="shared" si="457"/>
        <v>0</v>
      </c>
      <c r="AG220">
        <f t="shared" si="458"/>
        <v>0</v>
      </c>
      <c r="AH220">
        <f t="shared" si="459"/>
        <v>0</v>
      </c>
      <c r="AI220">
        <f t="shared" si="460"/>
        <v>0</v>
      </c>
      <c r="AJ220">
        <f t="shared" si="461"/>
        <v>0</v>
      </c>
      <c r="AK220">
        <f t="shared" si="462"/>
        <v>0</v>
      </c>
      <c r="AL220">
        <f t="shared" si="463"/>
        <v>0</v>
      </c>
      <c r="AM220">
        <f t="shared" si="464"/>
        <v>0</v>
      </c>
      <c r="AN220">
        <f t="shared" si="465"/>
        <v>0</v>
      </c>
      <c r="AO220">
        <f t="shared" si="466"/>
        <v>0</v>
      </c>
      <c r="AP220">
        <f t="shared" si="467"/>
        <v>0</v>
      </c>
      <c r="AQ220">
        <f t="shared" si="468"/>
        <v>0</v>
      </c>
      <c r="AR220">
        <f t="shared" si="469"/>
        <v>0</v>
      </c>
      <c r="AS220">
        <f t="shared" si="470"/>
        <v>0</v>
      </c>
      <c r="AT220">
        <f t="shared" si="471"/>
        <v>0</v>
      </c>
      <c r="AU220">
        <f t="shared" si="472"/>
        <v>0</v>
      </c>
      <c r="AV220">
        <f t="shared" si="473"/>
        <v>0</v>
      </c>
      <c r="AW220" s="23">
        <f t="shared" si="474"/>
        <v>0</v>
      </c>
      <c r="AX220" s="24">
        <f t="shared" si="476"/>
        <v>0</v>
      </c>
      <c r="AY220" s="121">
        <f t="shared" si="477"/>
        <v>0</v>
      </c>
      <c r="AZ220" s="124">
        <f t="shared" si="478"/>
        <v>0</v>
      </c>
      <c r="BA220" s="199"/>
      <c r="BB220" s="198"/>
      <c r="BC220" s="200"/>
      <c r="BD220" s="24"/>
      <c r="BE220" s="23"/>
      <c r="BF220" s="203"/>
      <c r="BG220" s="204"/>
    </row>
    <row r="221" spans="1:59">
      <c r="A221" s="19">
        <f>B!$E$263</f>
        <v>0</v>
      </c>
      <c r="B221" s="20">
        <f>'C'!G76</f>
        <v>0</v>
      </c>
      <c r="C221" s="20">
        <f>D!G76</f>
        <v>0</v>
      </c>
      <c r="D221" s="20">
        <f>E!G76</f>
        <v>0</v>
      </c>
      <c r="E221" s="20">
        <f>F!G76</f>
        <v>0</v>
      </c>
      <c r="F221" s="20">
        <f>G!G76</f>
        <v>0</v>
      </c>
      <c r="G221" s="20">
        <f>H!G76</f>
        <v>0</v>
      </c>
      <c r="H221" s="20">
        <f>I!G76</f>
        <v>0</v>
      </c>
      <c r="I221" s="20">
        <f>J!G76</f>
        <v>0</v>
      </c>
      <c r="J221" s="20">
        <f>K!G76</f>
        <v>0</v>
      </c>
      <c r="K221" s="20">
        <f>L!G76</f>
        <v>0</v>
      </c>
      <c r="L221" s="20">
        <f>M!G76</f>
        <v>0</v>
      </c>
      <c r="M221" s="20">
        <f>N!G76</f>
        <v>0</v>
      </c>
      <c r="N221" s="20">
        <f>O!G76</f>
        <v>0</v>
      </c>
      <c r="O221" s="20">
        <f>P!G76</f>
        <v>0</v>
      </c>
      <c r="P221" s="20">
        <f>Q!G76</f>
        <v>0</v>
      </c>
      <c r="Q221" s="20">
        <f>'R'!G76</f>
        <v>0</v>
      </c>
      <c r="R221" s="20">
        <f>S!G76</f>
        <v>0</v>
      </c>
      <c r="S221" s="20">
        <f>T!G76</f>
        <v>0</v>
      </c>
      <c r="T221" s="20">
        <f>U!G76</f>
        <v>0</v>
      </c>
      <c r="U221" s="20">
        <f>V!G76</f>
        <v>0</v>
      </c>
      <c r="V221" s="20">
        <f>W!G76</f>
        <v>0</v>
      </c>
      <c r="W221" s="20">
        <f>X!G76</f>
        <v>0</v>
      </c>
      <c r="X221" s="21">
        <f t="shared" si="451"/>
        <v>0</v>
      </c>
      <c r="Y221" s="22">
        <f t="shared" si="475"/>
        <v>0</v>
      </c>
      <c r="Z221" s="122">
        <f t="shared" si="358"/>
        <v>0</v>
      </c>
      <c r="AA221" s="17">
        <f t="shared" si="452"/>
        <v>0</v>
      </c>
      <c r="AB221">
        <f t="shared" si="453"/>
        <v>0</v>
      </c>
      <c r="AC221">
        <f t="shared" si="454"/>
        <v>0</v>
      </c>
      <c r="AD221">
        <f t="shared" si="455"/>
        <v>0</v>
      </c>
      <c r="AE221">
        <f t="shared" si="456"/>
        <v>0</v>
      </c>
      <c r="AF221">
        <f t="shared" si="457"/>
        <v>0</v>
      </c>
      <c r="AG221">
        <f t="shared" si="458"/>
        <v>0</v>
      </c>
      <c r="AH221">
        <f t="shared" si="459"/>
        <v>0</v>
      </c>
      <c r="AI221">
        <f t="shared" si="460"/>
        <v>0</v>
      </c>
      <c r="AJ221">
        <f t="shared" si="461"/>
        <v>0</v>
      </c>
      <c r="AK221">
        <f t="shared" si="462"/>
        <v>0</v>
      </c>
      <c r="AL221">
        <f t="shared" si="463"/>
        <v>0</v>
      </c>
      <c r="AM221">
        <f t="shared" si="464"/>
        <v>0</v>
      </c>
      <c r="AN221">
        <f t="shared" si="465"/>
        <v>0</v>
      </c>
      <c r="AO221">
        <f t="shared" si="466"/>
        <v>0</v>
      </c>
      <c r="AP221">
        <f t="shared" si="467"/>
        <v>0</v>
      </c>
      <c r="AQ221">
        <f t="shared" si="468"/>
        <v>0</v>
      </c>
      <c r="AR221">
        <f t="shared" si="469"/>
        <v>0</v>
      </c>
      <c r="AS221">
        <f t="shared" si="470"/>
        <v>0</v>
      </c>
      <c r="AT221">
        <f t="shared" si="471"/>
        <v>0</v>
      </c>
      <c r="AU221">
        <f t="shared" si="472"/>
        <v>0</v>
      </c>
      <c r="AV221">
        <f t="shared" si="473"/>
        <v>0</v>
      </c>
      <c r="AW221" s="23">
        <f t="shared" si="474"/>
        <v>0</v>
      </c>
      <c r="AX221" s="24">
        <f t="shared" si="476"/>
        <v>0</v>
      </c>
      <c r="AY221" s="121">
        <f t="shared" si="477"/>
        <v>0</v>
      </c>
      <c r="AZ221" s="124">
        <f t="shared" si="478"/>
        <v>0</v>
      </c>
      <c r="BA221" s="199"/>
      <c r="BB221" s="198"/>
      <c r="BC221" s="200"/>
      <c r="BD221" s="24"/>
      <c r="BE221" s="23"/>
      <c r="BF221" s="203"/>
      <c r="BG221" s="204"/>
    </row>
    <row r="222" spans="1:59" ht="15.75" thickBot="1">
      <c r="A222" s="19">
        <f>B!$E$268</f>
        <v>0</v>
      </c>
      <c r="B222" s="20">
        <f>'C'!G77</f>
        <v>0</v>
      </c>
      <c r="C222" s="20">
        <f>D!G77</f>
        <v>0</v>
      </c>
      <c r="D222" s="20">
        <f>E!G77</f>
        <v>0</v>
      </c>
      <c r="E222" s="20">
        <f>F!G77</f>
        <v>0</v>
      </c>
      <c r="F222" s="20">
        <f>G!G77</f>
        <v>0</v>
      </c>
      <c r="G222" s="20">
        <f>H!G77</f>
        <v>0</v>
      </c>
      <c r="H222" s="20">
        <f>I!G77</f>
        <v>0</v>
      </c>
      <c r="I222" s="20">
        <f>J!G77</f>
        <v>0</v>
      </c>
      <c r="J222" s="20">
        <f>K!G77</f>
        <v>0</v>
      </c>
      <c r="K222" s="20">
        <f>L!G77</f>
        <v>0</v>
      </c>
      <c r="L222" s="20">
        <f>M!G77</f>
        <v>0</v>
      </c>
      <c r="M222" s="20">
        <f>N!G77</f>
        <v>0</v>
      </c>
      <c r="N222" s="20">
        <f>O!G77</f>
        <v>0</v>
      </c>
      <c r="O222" s="20">
        <f>P!G77</f>
        <v>0</v>
      </c>
      <c r="P222" s="20">
        <f>Q!G77</f>
        <v>0</v>
      </c>
      <c r="Q222" s="20">
        <f>'R'!G77</f>
        <v>0</v>
      </c>
      <c r="R222" s="20">
        <f>S!G77</f>
        <v>0</v>
      </c>
      <c r="S222" s="20">
        <f>T!G77</f>
        <v>0</v>
      </c>
      <c r="T222" s="20">
        <f>U!G77</f>
        <v>0</v>
      </c>
      <c r="U222" s="20">
        <f>V!G77</f>
        <v>0</v>
      </c>
      <c r="V222" s="20">
        <f>W!G77</f>
        <v>0</v>
      </c>
      <c r="W222" s="20">
        <f>X!G77</f>
        <v>0</v>
      </c>
      <c r="X222" s="21">
        <f t="shared" si="451"/>
        <v>0</v>
      </c>
      <c r="Y222" s="22">
        <f t="shared" si="475"/>
        <v>0</v>
      </c>
      <c r="Z222" s="122">
        <f t="shared" si="358"/>
        <v>0</v>
      </c>
      <c r="AA222" s="17">
        <f t="shared" si="452"/>
        <v>0</v>
      </c>
      <c r="AB222">
        <f t="shared" si="453"/>
        <v>0</v>
      </c>
      <c r="AC222">
        <f t="shared" si="454"/>
        <v>0</v>
      </c>
      <c r="AD222">
        <f t="shared" si="455"/>
        <v>0</v>
      </c>
      <c r="AE222">
        <f t="shared" si="456"/>
        <v>0</v>
      </c>
      <c r="AF222">
        <f t="shared" si="457"/>
        <v>0</v>
      </c>
      <c r="AG222">
        <f t="shared" si="458"/>
        <v>0</v>
      </c>
      <c r="AH222">
        <f t="shared" si="459"/>
        <v>0</v>
      </c>
      <c r="AI222">
        <f t="shared" si="460"/>
        <v>0</v>
      </c>
      <c r="AJ222">
        <f t="shared" si="461"/>
        <v>0</v>
      </c>
      <c r="AK222">
        <f t="shared" si="462"/>
        <v>0</v>
      </c>
      <c r="AL222">
        <f t="shared" si="463"/>
        <v>0</v>
      </c>
      <c r="AM222">
        <f t="shared" si="464"/>
        <v>0</v>
      </c>
      <c r="AN222">
        <f t="shared" si="465"/>
        <v>0</v>
      </c>
      <c r="AO222">
        <f t="shared" si="466"/>
        <v>0</v>
      </c>
      <c r="AP222">
        <f t="shared" si="467"/>
        <v>0</v>
      </c>
      <c r="AQ222">
        <f t="shared" si="468"/>
        <v>0</v>
      </c>
      <c r="AR222">
        <f t="shared" si="469"/>
        <v>0</v>
      </c>
      <c r="AS222">
        <f t="shared" si="470"/>
        <v>0</v>
      </c>
      <c r="AT222">
        <f t="shared" si="471"/>
        <v>0</v>
      </c>
      <c r="AU222">
        <f t="shared" si="472"/>
        <v>0</v>
      </c>
      <c r="AV222">
        <f t="shared" si="473"/>
        <v>0</v>
      </c>
      <c r="AW222" s="23">
        <f t="shared" si="474"/>
        <v>0</v>
      </c>
      <c r="AX222" s="24">
        <f t="shared" si="476"/>
        <v>0</v>
      </c>
      <c r="AY222" s="121">
        <f t="shared" si="477"/>
        <v>0</v>
      </c>
      <c r="AZ222" s="124">
        <f t="shared" si="478"/>
        <v>0</v>
      </c>
      <c r="BA222" s="199"/>
      <c r="BB222" s="198"/>
      <c r="BC222" s="200"/>
      <c r="BD222" s="24"/>
      <c r="BE222" s="23"/>
      <c r="BF222" s="203"/>
      <c r="BG222" s="204"/>
    </row>
    <row r="223" spans="1:59" ht="15.75" thickTop="1">
      <c r="A223" s="133" t="s">
        <v>134</v>
      </c>
      <c r="B223" s="134">
        <f t="shared" ref="B223:W223" si="479">SUM(B215:B222)</f>
        <v>0</v>
      </c>
      <c r="C223" s="134">
        <f t="shared" si="479"/>
        <v>0</v>
      </c>
      <c r="D223" s="134">
        <f t="shared" si="479"/>
        <v>0</v>
      </c>
      <c r="E223" s="134">
        <f t="shared" si="479"/>
        <v>0</v>
      </c>
      <c r="F223" s="134">
        <f t="shared" si="479"/>
        <v>0</v>
      </c>
      <c r="G223" s="134">
        <f t="shared" si="479"/>
        <v>0</v>
      </c>
      <c r="H223" s="134">
        <f t="shared" si="479"/>
        <v>0</v>
      </c>
      <c r="I223" s="134">
        <f t="shared" si="479"/>
        <v>0</v>
      </c>
      <c r="J223" s="134">
        <f t="shared" si="479"/>
        <v>0</v>
      </c>
      <c r="K223" s="134">
        <f t="shared" si="479"/>
        <v>0</v>
      </c>
      <c r="L223" s="134">
        <f t="shared" si="479"/>
        <v>0</v>
      </c>
      <c r="M223" s="134">
        <f t="shared" si="479"/>
        <v>0</v>
      </c>
      <c r="N223" s="134">
        <f t="shared" si="479"/>
        <v>0</v>
      </c>
      <c r="O223" s="134">
        <f t="shared" si="479"/>
        <v>0</v>
      </c>
      <c r="P223" s="134">
        <f t="shared" si="479"/>
        <v>0</v>
      </c>
      <c r="Q223" s="134">
        <f t="shared" si="479"/>
        <v>0</v>
      </c>
      <c r="R223" s="134">
        <f t="shared" si="479"/>
        <v>0</v>
      </c>
      <c r="S223" s="134">
        <f t="shared" si="479"/>
        <v>0</v>
      </c>
      <c r="T223" s="134">
        <f t="shared" si="479"/>
        <v>0</v>
      </c>
      <c r="U223" s="134">
        <f t="shared" si="479"/>
        <v>0</v>
      </c>
      <c r="V223" s="134">
        <f t="shared" si="479"/>
        <v>0</v>
      </c>
      <c r="W223" s="134">
        <f t="shared" si="479"/>
        <v>0</v>
      </c>
      <c r="X223" s="135">
        <f t="shared" si="451"/>
        <v>0</v>
      </c>
      <c r="Y223" s="137">
        <f>IF(X223=0,0,X223/AW223)</f>
        <v>0</v>
      </c>
      <c r="Z223" s="122"/>
      <c r="AA223" s="138">
        <f t="shared" ref="AA223:AV223" si="480">SUM(AA215:AA222)</f>
        <v>0</v>
      </c>
      <c r="AB223" s="11">
        <f t="shared" si="480"/>
        <v>0</v>
      </c>
      <c r="AC223" s="11">
        <f t="shared" si="480"/>
        <v>0</v>
      </c>
      <c r="AD223" s="11">
        <f t="shared" si="480"/>
        <v>0</v>
      </c>
      <c r="AE223" s="11">
        <f t="shared" si="480"/>
        <v>0</v>
      </c>
      <c r="AF223" s="11">
        <f t="shared" si="480"/>
        <v>0</v>
      </c>
      <c r="AG223" s="11">
        <f t="shared" si="480"/>
        <v>0</v>
      </c>
      <c r="AH223" s="11">
        <f t="shared" si="480"/>
        <v>0</v>
      </c>
      <c r="AI223" s="11">
        <f t="shared" si="480"/>
        <v>0</v>
      </c>
      <c r="AJ223" s="11">
        <f t="shared" si="480"/>
        <v>0</v>
      </c>
      <c r="AK223" s="11">
        <f t="shared" si="480"/>
        <v>0</v>
      </c>
      <c r="AL223" s="11">
        <f t="shared" si="480"/>
        <v>0</v>
      </c>
      <c r="AM223" s="11">
        <f t="shared" si="480"/>
        <v>0</v>
      </c>
      <c r="AN223" s="11">
        <f t="shared" si="480"/>
        <v>0</v>
      </c>
      <c r="AO223" s="11">
        <f t="shared" si="480"/>
        <v>0</v>
      </c>
      <c r="AP223" s="11">
        <f t="shared" si="480"/>
        <v>0</v>
      </c>
      <c r="AQ223" s="11">
        <f t="shared" si="480"/>
        <v>0</v>
      </c>
      <c r="AR223" s="11">
        <f t="shared" si="480"/>
        <v>0</v>
      </c>
      <c r="AS223" s="11">
        <f t="shared" si="480"/>
        <v>0</v>
      </c>
      <c r="AT223" s="11">
        <f t="shared" si="480"/>
        <v>0</v>
      </c>
      <c r="AU223" s="11">
        <f t="shared" si="480"/>
        <v>0</v>
      </c>
      <c r="AV223" s="11">
        <f t="shared" si="480"/>
        <v>0</v>
      </c>
      <c r="AW223" s="12">
        <f>MAXA(AW215:AW222)</f>
        <v>0</v>
      </c>
      <c r="AX223" s="24"/>
      <c r="AZ223" s="124"/>
      <c r="BA223" s="199"/>
      <c r="BB223" s="198"/>
      <c r="BC223" s="200"/>
      <c r="BD223" s="24"/>
      <c r="BE223" s="23"/>
      <c r="BF223" s="203"/>
      <c r="BG223" s="204"/>
    </row>
    <row r="224" spans="1:59" ht="16.5" thickBot="1">
      <c r="A224" s="105" t="s">
        <v>189</v>
      </c>
      <c r="B224" s="20">
        <f>'C'!G78</f>
        <v>0</v>
      </c>
      <c r="C224" s="20">
        <f>D!G78</f>
        <v>0</v>
      </c>
      <c r="D224" s="20">
        <f>E!G78</f>
        <v>0</v>
      </c>
      <c r="E224" s="20">
        <f>F!G78</f>
        <v>0</v>
      </c>
      <c r="F224" s="20">
        <f>G!G78</f>
        <v>0</v>
      </c>
      <c r="G224" s="20">
        <f>H!G78</f>
        <v>0</v>
      </c>
      <c r="H224" s="20">
        <f>I!G78</f>
        <v>0</v>
      </c>
      <c r="I224" s="20">
        <f>J!G78</f>
        <v>0</v>
      </c>
      <c r="J224" s="20">
        <f>K!G78</f>
        <v>0</v>
      </c>
      <c r="K224" s="20">
        <f>L!G78</f>
        <v>0</v>
      </c>
      <c r="L224" s="20">
        <f>M!G78</f>
        <v>0</v>
      </c>
      <c r="M224" s="20">
        <f>N!G78</f>
        <v>0</v>
      </c>
      <c r="N224" s="20">
        <f>O!G78</f>
        <v>0</v>
      </c>
      <c r="O224" s="20">
        <f>P!G78</f>
        <v>0</v>
      </c>
      <c r="P224" s="20">
        <f>Q!G78</f>
        <v>0</v>
      </c>
      <c r="Q224" s="20">
        <f>'R'!G78</f>
        <v>0</v>
      </c>
      <c r="R224" s="20">
        <f>S!G78</f>
        <v>0</v>
      </c>
      <c r="S224" s="20">
        <f>T!G78</f>
        <v>0</v>
      </c>
      <c r="T224" s="20">
        <f>U!G78</f>
        <v>0</v>
      </c>
      <c r="U224" s="20">
        <f>V!G78</f>
        <v>0</v>
      </c>
      <c r="V224" s="20">
        <f>W!G78</f>
        <v>0</v>
      </c>
      <c r="W224" s="20">
        <f>X!G78</f>
        <v>0</v>
      </c>
      <c r="X224" s="21">
        <f t="shared" si="451"/>
        <v>0</v>
      </c>
      <c r="Y224" s="120"/>
      <c r="Z224" s="122"/>
      <c r="AA224" s="17"/>
      <c r="AW224" s="23"/>
      <c r="AX224" s="24"/>
      <c r="AZ224" s="124"/>
      <c r="BA224" s="199"/>
      <c r="BB224" s="198"/>
      <c r="BC224" s="200"/>
      <c r="BD224" s="24"/>
      <c r="BE224" s="23"/>
      <c r="BF224" s="203"/>
      <c r="BG224" s="204"/>
    </row>
    <row r="225" spans="1:59" ht="16.5" thickTop="1" thickBot="1">
      <c r="A225" s="100" t="s">
        <v>53</v>
      </c>
      <c r="B225" s="68">
        <f t="shared" ref="B225:W225" si="481">SUM(B223:B224)</f>
        <v>0</v>
      </c>
      <c r="C225" s="68">
        <f t="shared" si="481"/>
        <v>0</v>
      </c>
      <c r="D225" s="68">
        <f t="shared" si="481"/>
        <v>0</v>
      </c>
      <c r="E225" s="68">
        <f t="shared" si="481"/>
        <v>0</v>
      </c>
      <c r="F225" s="68">
        <f t="shared" si="481"/>
        <v>0</v>
      </c>
      <c r="G225" s="68">
        <f t="shared" si="481"/>
        <v>0</v>
      </c>
      <c r="H225" s="68">
        <f t="shared" si="481"/>
        <v>0</v>
      </c>
      <c r="I225" s="68">
        <f t="shared" si="481"/>
        <v>0</v>
      </c>
      <c r="J225" s="68">
        <f t="shared" si="481"/>
        <v>0</v>
      </c>
      <c r="K225" s="68">
        <f t="shared" si="481"/>
        <v>0</v>
      </c>
      <c r="L225" s="68">
        <f t="shared" si="481"/>
        <v>0</v>
      </c>
      <c r="M225" s="68">
        <f t="shared" si="481"/>
        <v>0</v>
      </c>
      <c r="N225" s="68">
        <f t="shared" si="481"/>
        <v>0</v>
      </c>
      <c r="O225" s="68">
        <f t="shared" si="481"/>
        <v>0</v>
      </c>
      <c r="P225" s="68">
        <f t="shared" si="481"/>
        <v>0</v>
      </c>
      <c r="Q225" s="68">
        <f t="shared" si="481"/>
        <v>0</v>
      </c>
      <c r="R225" s="68">
        <f t="shared" si="481"/>
        <v>0</v>
      </c>
      <c r="S225" s="68">
        <f t="shared" si="481"/>
        <v>0</v>
      </c>
      <c r="T225" s="68">
        <f t="shared" si="481"/>
        <v>0</v>
      </c>
      <c r="U225" s="68">
        <f t="shared" si="481"/>
        <v>0</v>
      </c>
      <c r="V225" s="68">
        <f t="shared" si="481"/>
        <v>0</v>
      </c>
      <c r="W225" s="68">
        <f t="shared" si="481"/>
        <v>0</v>
      </c>
      <c r="X225" s="28">
        <f t="shared" si="451"/>
        <v>0</v>
      </c>
      <c r="Y225" s="136"/>
      <c r="Z225" s="122"/>
      <c r="AA225" s="17"/>
      <c r="AW225" s="23"/>
      <c r="AX225" s="24"/>
      <c r="AZ225" s="124"/>
      <c r="BA225" s="199"/>
      <c r="BB225" s="198"/>
      <c r="BC225" s="200"/>
      <c r="BD225" s="24">
        <f>X225</f>
        <v>0</v>
      </c>
      <c r="BE225" s="23">
        <f>A214</f>
        <v>0</v>
      </c>
      <c r="BF225" s="203"/>
      <c r="BG225" s="204"/>
    </row>
    <row r="226" spans="1:59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22"/>
      <c r="AA226" s="17"/>
      <c r="AW226" s="23"/>
      <c r="AX226" s="24"/>
      <c r="AZ226" s="124"/>
      <c r="BA226" s="199"/>
      <c r="BB226" s="198"/>
      <c r="BC226" s="200"/>
      <c r="BD226" s="24"/>
      <c r="BE226" s="23"/>
      <c r="BF226" s="203"/>
      <c r="BG226" s="204"/>
    </row>
    <row r="227" spans="1:59" ht="15.75" thickBot="1">
      <c r="A227" s="7" t="s">
        <v>69</v>
      </c>
      <c r="B227" s="8" t="s">
        <v>27</v>
      </c>
      <c r="C227" s="8" t="s">
        <v>28</v>
      </c>
      <c r="D227" s="8" t="s">
        <v>29</v>
      </c>
      <c r="E227" s="8" t="s">
        <v>30</v>
      </c>
      <c r="F227" s="8" t="s">
        <v>31</v>
      </c>
      <c r="G227" s="8" t="s">
        <v>32</v>
      </c>
      <c r="H227" s="8" t="s">
        <v>33</v>
      </c>
      <c r="I227" s="8" t="s">
        <v>34</v>
      </c>
      <c r="J227" s="8" t="s">
        <v>35</v>
      </c>
      <c r="K227" s="8" t="s">
        <v>36</v>
      </c>
      <c r="L227" s="8" t="s">
        <v>37</v>
      </c>
      <c r="M227" s="8" t="s">
        <v>38</v>
      </c>
      <c r="N227" s="8" t="s">
        <v>39</v>
      </c>
      <c r="O227" s="8" t="s">
        <v>40</v>
      </c>
      <c r="P227" s="8" t="s">
        <v>41</v>
      </c>
      <c r="Q227" s="8" t="s">
        <v>42</v>
      </c>
      <c r="R227" s="8" t="s">
        <v>43</v>
      </c>
      <c r="S227" s="8" t="s">
        <v>44</v>
      </c>
      <c r="T227" s="8" t="s">
        <v>45</v>
      </c>
      <c r="U227" s="8" t="s">
        <v>46</v>
      </c>
      <c r="V227" s="8" t="s">
        <v>47</v>
      </c>
      <c r="W227" s="8" t="s">
        <v>48</v>
      </c>
      <c r="X227" s="1"/>
      <c r="Y227" s="1"/>
      <c r="Z227" s="3" t="str">
        <f>A227</f>
        <v>Team #17 Name:</v>
      </c>
      <c r="AA227" s="17"/>
      <c r="AW227" s="23"/>
      <c r="AX227" s="24"/>
      <c r="AZ227" s="124"/>
      <c r="BA227" s="199"/>
      <c r="BB227" s="198"/>
      <c r="BC227" s="200"/>
      <c r="BD227" s="24"/>
      <c r="BE227" s="23"/>
      <c r="BF227" s="203"/>
      <c r="BG227" s="204"/>
    </row>
    <row r="228" spans="1:59">
      <c r="A228" s="13">
        <f>B!$E$274</f>
        <v>0</v>
      </c>
      <c r="B228" s="29" t="s">
        <v>50</v>
      </c>
      <c r="C228" s="29" t="s">
        <v>50</v>
      </c>
      <c r="D228" s="29" t="s">
        <v>50</v>
      </c>
      <c r="E228" s="29" t="s">
        <v>50</v>
      </c>
      <c r="F228" s="29" t="s">
        <v>50</v>
      </c>
      <c r="G228" s="29" t="s">
        <v>50</v>
      </c>
      <c r="H228" s="29" t="s">
        <v>50</v>
      </c>
      <c r="I228" s="29" t="s">
        <v>50</v>
      </c>
      <c r="J228" s="29" t="s">
        <v>50</v>
      </c>
      <c r="K228" s="29" t="s">
        <v>50</v>
      </c>
      <c r="L228" s="29" t="s">
        <v>50</v>
      </c>
      <c r="M228" s="29" t="s">
        <v>50</v>
      </c>
      <c r="N228" s="29" t="s">
        <v>50</v>
      </c>
      <c r="O228" s="29" t="s">
        <v>50</v>
      </c>
      <c r="P228" s="29" t="s">
        <v>50</v>
      </c>
      <c r="Q228" s="29" t="s">
        <v>50</v>
      </c>
      <c r="R228" s="29" t="s">
        <v>50</v>
      </c>
      <c r="S228" s="29" t="s">
        <v>50</v>
      </c>
      <c r="T228" s="29" t="s">
        <v>50</v>
      </c>
      <c r="U228" s="29" t="s">
        <v>50</v>
      </c>
      <c r="V228" s="29" t="s">
        <v>50</v>
      </c>
      <c r="W228" s="29" t="s">
        <v>50</v>
      </c>
      <c r="X228" s="15" t="s">
        <v>51</v>
      </c>
      <c r="Y228" s="16" t="s">
        <v>52</v>
      </c>
      <c r="Z228" s="123">
        <f>A228</f>
        <v>0</v>
      </c>
      <c r="AA228" s="17"/>
      <c r="AW228" s="4" t="s">
        <v>97</v>
      </c>
      <c r="AX228" s="24"/>
      <c r="AZ228" s="124"/>
      <c r="BA228" s="199"/>
      <c r="BB228" s="198"/>
      <c r="BC228" s="200"/>
      <c r="BD228" s="24"/>
      <c r="BE228" s="23"/>
      <c r="BF228" s="203"/>
      <c r="BG228" s="204"/>
    </row>
    <row r="229" spans="1:59">
      <c r="A229" s="19">
        <f>B!$E$276</f>
        <v>0</v>
      </c>
      <c r="B229" s="20">
        <f>'C'!G83</f>
        <v>0</v>
      </c>
      <c r="C229" s="20">
        <f>D!G83</f>
        <v>0</v>
      </c>
      <c r="D229" s="20">
        <f>E!G83</f>
        <v>0</v>
      </c>
      <c r="E229" s="20">
        <f>F!G83</f>
        <v>0</v>
      </c>
      <c r="F229" s="20">
        <f>G!G83</f>
        <v>0</v>
      </c>
      <c r="G229" s="20">
        <f>H!G83</f>
        <v>0</v>
      </c>
      <c r="H229" s="20">
        <f>I!G83</f>
        <v>0</v>
      </c>
      <c r="I229" s="20">
        <f>J!G83</f>
        <v>0</v>
      </c>
      <c r="J229" s="20">
        <f>K!G83</f>
        <v>0</v>
      </c>
      <c r="K229" s="20">
        <f>L!G83</f>
        <v>0</v>
      </c>
      <c r="L229" s="20">
        <f>M!G83</f>
        <v>0</v>
      </c>
      <c r="M229" s="20">
        <f>N!G83</f>
        <v>0</v>
      </c>
      <c r="N229" s="20">
        <f>O!G83</f>
        <v>0</v>
      </c>
      <c r="O229" s="20">
        <f>P!G83</f>
        <v>0</v>
      </c>
      <c r="P229" s="20">
        <f>Q!G83</f>
        <v>0</v>
      </c>
      <c r="Q229" s="20">
        <f>'R'!G83</f>
        <v>0</v>
      </c>
      <c r="R229" s="20">
        <f>S!G83</f>
        <v>0</v>
      </c>
      <c r="S229" s="20">
        <f>T!G83</f>
        <v>0</v>
      </c>
      <c r="T229" s="20">
        <f>U!G83</f>
        <v>0</v>
      </c>
      <c r="U229" s="20">
        <f>V!G83</f>
        <v>0</v>
      </c>
      <c r="V229" s="20">
        <f>W!G83</f>
        <v>0</v>
      </c>
      <c r="W229" s="20">
        <f>X!G83</f>
        <v>0</v>
      </c>
      <c r="X229" s="21">
        <f t="shared" ref="X229:X239" si="482">SUM(B229:W229)</f>
        <v>0</v>
      </c>
      <c r="Y229" s="22">
        <f>IF(AW229=0,0,X229/AW229)</f>
        <v>0</v>
      </c>
      <c r="Z229" s="122">
        <f t="shared" si="358"/>
        <v>0</v>
      </c>
      <c r="AA229" s="17">
        <f t="shared" ref="AA229:AA236" si="483">IF(B229=0,0,1)</f>
        <v>0</v>
      </c>
      <c r="AB229">
        <f t="shared" ref="AB229:AB236" si="484">IF(C229=0,0,1)</f>
        <v>0</v>
      </c>
      <c r="AC229">
        <f t="shared" ref="AC229:AC236" si="485">IF(D229=0,0,1)</f>
        <v>0</v>
      </c>
      <c r="AD229">
        <f t="shared" ref="AD229:AD236" si="486">IF(E229=0,0,1)</f>
        <v>0</v>
      </c>
      <c r="AE229">
        <f t="shared" ref="AE229:AE236" si="487">IF(F229=0,0,1)</f>
        <v>0</v>
      </c>
      <c r="AF229">
        <f t="shared" ref="AF229:AF236" si="488">IF(G229=0,0,1)</f>
        <v>0</v>
      </c>
      <c r="AG229">
        <f t="shared" ref="AG229:AG236" si="489">IF(H229=0,0,1)</f>
        <v>0</v>
      </c>
      <c r="AH229">
        <f t="shared" ref="AH229:AH236" si="490">IF(I229=0,0,1)</f>
        <v>0</v>
      </c>
      <c r="AI229">
        <f t="shared" ref="AI229:AI236" si="491">IF(J229=0,0,1)</f>
        <v>0</v>
      </c>
      <c r="AJ229">
        <f t="shared" ref="AJ229:AJ236" si="492">IF(K229=0,0,1)</f>
        <v>0</v>
      </c>
      <c r="AK229">
        <f t="shared" ref="AK229:AK236" si="493">IF(L229=0,0,1)</f>
        <v>0</v>
      </c>
      <c r="AL229">
        <f t="shared" ref="AL229:AL236" si="494">IF(M229=0,0,1)</f>
        <v>0</v>
      </c>
      <c r="AM229">
        <f t="shared" ref="AM229:AM236" si="495">IF(N229=0,0,1)</f>
        <v>0</v>
      </c>
      <c r="AN229">
        <f t="shared" ref="AN229:AN236" si="496">IF(O229=0,0,1)</f>
        <v>0</v>
      </c>
      <c r="AO229">
        <f t="shared" ref="AO229:AO236" si="497">IF(P229=0,0,1)</f>
        <v>0</v>
      </c>
      <c r="AP229">
        <f t="shared" ref="AP229:AP236" si="498">IF(Q229=0,0,1)</f>
        <v>0</v>
      </c>
      <c r="AQ229">
        <f t="shared" ref="AQ229:AQ236" si="499">IF(R229=0,0,1)</f>
        <v>0</v>
      </c>
      <c r="AR229">
        <f t="shared" ref="AR229:AR236" si="500">IF(S229=0,0,1)</f>
        <v>0</v>
      </c>
      <c r="AS229">
        <f t="shared" ref="AS229:AS236" si="501">IF(T229=0,0,1)</f>
        <v>0</v>
      </c>
      <c r="AT229">
        <f t="shared" ref="AT229:AT236" si="502">IF(U229=0,0,1)</f>
        <v>0</v>
      </c>
      <c r="AU229">
        <f t="shared" ref="AU229:AU236" si="503">IF(V229=0,0,1)</f>
        <v>0</v>
      </c>
      <c r="AV229">
        <f t="shared" ref="AV229:AV236" si="504">IF(W229=0,0,1)</f>
        <v>0</v>
      </c>
      <c r="AW229" s="23">
        <f t="shared" ref="AW229:AW236" si="505">SUM(AA229:AV229)</f>
        <v>0</v>
      </c>
      <c r="AX229" s="24">
        <f>IF(X229=0,0,X229)</f>
        <v>0</v>
      </c>
      <c r="AY229" s="121">
        <f>IF(X229=0,0,A229)</f>
        <v>0</v>
      </c>
      <c r="AZ229" s="124">
        <f>IF(AX229=0,0,A$228)</f>
        <v>0</v>
      </c>
      <c r="BA229" s="199"/>
      <c r="BB229" s="198"/>
      <c r="BC229" s="200"/>
      <c r="BD229" s="24"/>
      <c r="BE229" s="23"/>
      <c r="BF229" s="203"/>
      <c r="BG229" s="204"/>
    </row>
    <row r="230" spans="1:59">
      <c r="A230" s="19">
        <f>B!$E$281</f>
        <v>0</v>
      </c>
      <c r="B230" s="20">
        <f>'C'!G84</f>
        <v>0</v>
      </c>
      <c r="C230" s="20">
        <f>D!G84</f>
        <v>0</v>
      </c>
      <c r="D230" s="20">
        <f>E!G84</f>
        <v>0</v>
      </c>
      <c r="E230" s="20">
        <f>F!G84</f>
        <v>0</v>
      </c>
      <c r="F230" s="20">
        <f>G!G84</f>
        <v>0</v>
      </c>
      <c r="G230" s="20">
        <f>H!G84</f>
        <v>0</v>
      </c>
      <c r="H230" s="20">
        <f>I!G84</f>
        <v>0</v>
      </c>
      <c r="I230" s="20">
        <f>J!G84</f>
        <v>0</v>
      </c>
      <c r="J230" s="20">
        <f>K!G84</f>
        <v>0</v>
      </c>
      <c r="K230" s="20">
        <f>L!G84</f>
        <v>0</v>
      </c>
      <c r="L230" s="20">
        <f>M!G84</f>
        <v>0</v>
      </c>
      <c r="M230" s="20">
        <f>N!G84</f>
        <v>0</v>
      </c>
      <c r="N230" s="20">
        <f>O!G84</f>
        <v>0</v>
      </c>
      <c r="O230" s="20">
        <f>P!G84</f>
        <v>0</v>
      </c>
      <c r="P230" s="20">
        <f>Q!G84</f>
        <v>0</v>
      </c>
      <c r="Q230" s="20">
        <f>'R'!G84</f>
        <v>0</v>
      </c>
      <c r="R230" s="20">
        <f>S!G84</f>
        <v>0</v>
      </c>
      <c r="S230" s="20">
        <f>T!G84</f>
        <v>0</v>
      </c>
      <c r="T230" s="20">
        <f>U!G84</f>
        <v>0</v>
      </c>
      <c r="U230" s="20">
        <f>V!G84</f>
        <v>0</v>
      </c>
      <c r="V230" s="20">
        <f>W!G84</f>
        <v>0</v>
      </c>
      <c r="W230" s="20">
        <f>X!G84</f>
        <v>0</v>
      </c>
      <c r="X230" s="21">
        <f t="shared" si="482"/>
        <v>0</v>
      </c>
      <c r="Y230" s="22">
        <f t="shared" ref="Y230:Y236" si="506">IF(AW230=0,0,X230/AW230)</f>
        <v>0</v>
      </c>
      <c r="Z230" s="122">
        <f t="shared" si="358"/>
        <v>0</v>
      </c>
      <c r="AA230" s="17">
        <f t="shared" si="483"/>
        <v>0</v>
      </c>
      <c r="AB230">
        <f t="shared" si="484"/>
        <v>0</v>
      </c>
      <c r="AC230">
        <f t="shared" si="485"/>
        <v>0</v>
      </c>
      <c r="AD230">
        <f t="shared" si="486"/>
        <v>0</v>
      </c>
      <c r="AE230">
        <f t="shared" si="487"/>
        <v>0</v>
      </c>
      <c r="AF230">
        <f t="shared" si="488"/>
        <v>0</v>
      </c>
      <c r="AG230">
        <f t="shared" si="489"/>
        <v>0</v>
      </c>
      <c r="AH230">
        <f t="shared" si="490"/>
        <v>0</v>
      </c>
      <c r="AI230">
        <f t="shared" si="491"/>
        <v>0</v>
      </c>
      <c r="AJ230">
        <f t="shared" si="492"/>
        <v>0</v>
      </c>
      <c r="AK230">
        <f t="shared" si="493"/>
        <v>0</v>
      </c>
      <c r="AL230">
        <f t="shared" si="494"/>
        <v>0</v>
      </c>
      <c r="AM230">
        <f t="shared" si="495"/>
        <v>0</v>
      </c>
      <c r="AN230">
        <f t="shared" si="496"/>
        <v>0</v>
      </c>
      <c r="AO230">
        <f t="shared" si="497"/>
        <v>0</v>
      </c>
      <c r="AP230">
        <f t="shared" si="498"/>
        <v>0</v>
      </c>
      <c r="AQ230">
        <f t="shared" si="499"/>
        <v>0</v>
      </c>
      <c r="AR230">
        <f t="shared" si="500"/>
        <v>0</v>
      </c>
      <c r="AS230">
        <f t="shared" si="501"/>
        <v>0</v>
      </c>
      <c r="AT230">
        <f t="shared" si="502"/>
        <v>0</v>
      </c>
      <c r="AU230">
        <f t="shared" si="503"/>
        <v>0</v>
      </c>
      <c r="AV230">
        <f t="shared" si="504"/>
        <v>0</v>
      </c>
      <c r="AW230" s="23">
        <f t="shared" si="505"/>
        <v>0</v>
      </c>
      <c r="AX230" s="24">
        <f t="shared" ref="AX230:AX236" si="507">IF(X230=0,0,X230)</f>
        <v>0</v>
      </c>
      <c r="AY230" s="121">
        <f t="shared" ref="AY230:AY236" si="508">IF(X230=0,0,A230)</f>
        <v>0</v>
      </c>
      <c r="AZ230" s="124">
        <f t="shared" ref="AZ230:AZ236" si="509">IF(AX230=0,0,A$228)</f>
        <v>0</v>
      </c>
      <c r="BA230" s="199"/>
      <c r="BB230" s="198"/>
      <c r="BC230" s="200"/>
      <c r="BD230" s="24"/>
      <c r="BE230" s="23"/>
      <c r="BF230" s="203"/>
      <c r="BG230" s="204"/>
    </row>
    <row r="231" spans="1:59">
      <c r="A231" s="19">
        <f>B!$E$286</f>
        <v>0</v>
      </c>
      <c r="B231" s="20">
        <f>'C'!G85</f>
        <v>0</v>
      </c>
      <c r="C231" s="20">
        <f>D!G85</f>
        <v>0</v>
      </c>
      <c r="D231" s="20">
        <f>E!G85</f>
        <v>0</v>
      </c>
      <c r="E231" s="20">
        <f>F!G85</f>
        <v>0</v>
      </c>
      <c r="F231" s="20">
        <f>G!G85</f>
        <v>0</v>
      </c>
      <c r="G231" s="20">
        <f>H!G85</f>
        <v>0</v>
      </c>
      <c r="H231" s="20">
        <f>I!G85</f>
        <v>0</v>
      </c>
      <c r="I231" s="20">
        <f>J!G85</f>
        <v>0</v>
      </c>
      <c r="J231" s="20">
        <f>K!G85</f>
        <v>0</v>
      </c>
      <c r="K231" s="20">
        <f>L!G85</f>
        <v>0</v>
      </c>
      <c r="L231" s="20">
        <f>M!G85</f>
        <v>0</v>
      </c>
      <c r="M231" s="20">
        <f>N!G85</f>
        <v>0</v>
      </c>
      <c r="N231" s="20">
        <f>O!G85</f>
        <v>0</v>
      </c>
      <c r="O231" s="20">
        <f>P!G85</f>
        <v>0</v>
      </c>
      <c r="P231" s="20">
        <f>Q!G85</f>
        <v>0</v>
      </c>
      <c r="Q231" s="20">
        <f>'R'!G85</f>
        <v>0</v>
      </c>
      <c r="R231" s="20">
        <f>S!G85</f>
        <v>0</v>
      </c>
      <c r="S231" s="20">
        <f>T!G85</f>
        <v>0</v>
      </c>
      <c r="T231" s="20">
        <f>U!G85</f>
        <v>0</v>
      </c>
      <c r="U231" s="20">
        <f>V!G85</f>
        <v>0</v>
      </c>
      <c r="V231" s="20">
        <f>W!G85</f>
        <v>0</v>
      </c>
      <c r="W231" s="20">
        <f>X!G85</f>
        <v>0</v>
      </c>
      <c r="X231" s="21">
        <f t="shared" si="482"/>
        <v>0</v>
      </c>
      <c r="Y231" s="22">
        <f t="shared" si="506"/>
        <v>0</v>
      </c>
      <c r="Z231" s="122">
        <f t="shared" si="358"/>
        <v>0</v>
      </c>
      <c r="AA231" s="17">
        <f t="shared" si="483"/>
        <v>0</v>
      </c>
      <c r="AB231">
        <f t="shared" si="484"/>
        <v>0</v>
      </c>
      <c r="AC231">
        <f t="shared" si="485"/>
        <v>0</v>
      </c>
      <c r="AD231">
        <f t="shared" si="486"/>
        <v>0</v>
      </c>
      <c r="AE231">
        <f t="shared" si="487"/>
        <v>0</v>
      </c>
      <c r="AF231">
        <f t="shared" si="488"/>
        <v>0</v>
      </c>
      <c r="AG231">
        <f t="shared" si="489"/>
        <v>0</v>
      </c>
      <c r="AH231">
        <f t="shared" si="490"/>
        <v>0</v>
      </c>
      <c r="AI231">
        <f t="shared" si="491"/>
        <v>0</v>
      </c>
      <c r="AJ231">
        <f t="shared" si="492"/>
        <v>0</v>
      </c>
      <c r="AK231">
        <f t="shared" si="493"/>
        <v>0</v>
      </c>
      <c r="AL231">
        <f t="shared" si="494"/>
        <v>0</v>
      </c>
      <c r="AM231">
        <f t="shared" si="495"/>
        <v>0</v>
      </c>
      <c r="AN231">
        <f t="shared" si="496"/>
        <v>0</v>
      </c>
      <c r="AO231">
        <f t="shared" si="497"/>
        <v>0</v>
      </c>
      <c r="AP231">
        <f t="shared" si="498"/>
        <v>0</v>
      </c>
      <c r="AQ231">
        <f t="shared" si="499"/>
        <v>0</v>
      </c>
      <c r="AR231">
        <f t="shared" si="500"/>
        <v>0</v>
      </c>
      <c r="AS231">
        <f t="shared" si="501"/>
        <v>0</v>
      </c>
      <c r="AT231">
        <f t="shared" si="502"/>
        <v>0</v>
      </c>
      <c r="AU231">
        <f t="shared" si="503"/>
        <v>0</v>
      </c>
      <c r="AV231">
        <f t="shared" si="504"/>
        <v>0</v>
      </c>
      <c r="AW231" s="23">
        <f t="shared" si="505"/>
        <v>0</v>
      </c>
      <c r="AX231" s="24">
        <f t="shared" si="507"/>
        <v>0</v>
      </c>
      <c r="AY231" s="121">
        <f t="shared" si="508"/>
        <v>0</v>
      </c>
      <c r="AZ231" s="124">
        <f t="shared" si="509"/>
        <v>0</v>
      </c>
      <c r="BA231" s="199"/>
      <c r="BB231" s="198"/>
      <c r="BC231" s="200"/>
      <c r="BD231" s="24"/>
      <c r="BE231" s="23"/>
      <c r="BF231" s="203"/>
      <c r="BG231" s="204"/>
    </row>
    <row r="232" spans="1:59">
      <c r="A232" s="19">
        <f>B!$E$291</f>
        <v>0</v>
      </c>
      <c r="B232" s="20">
        <f>'C'!G86</f>
        <v>0</v>
      </c>
      <c r="C232" s="20">
        <f>D!G86</f>
        <v>0</v>
      </c>
      <c r="D232" s="20">
        <f>E!G86</f>
        <v>0</v>
      </c>
      <c r="E232" s="20">
        <f>F!G86</f>
        <v>0</v>
      </c>
      <c r="F232" s="20">
        <f>G!G86</f>
        <v>0</v>
      </c>
      <c r="G232" s="20">
        <f>H!G86</f>
        <v>0</v>
      </c>
      <c r="H232" s="20">
        <f>I!G86</f>
        <v>0</v>
      </c>
      <c r="I232" s="20">
        <f>J!G86</f>
        <v>0</v>
      </c>
      <c r="J232" s="20">
        <f>K!G86</f>
        <v>0</v>
      </c>
      <c r="K232" s="20">
        <f>L!G86</f>
        <v>0</v>
      </c>
      <c r="L232" s="20">
        <f>M!G86</f>
        <v>0</v>
      </c>
      <c r="M232" s="20">
        <f>N!G86</f>
        <v>0</v>
      </c>
      <c r="N232" s="20">
        <f>O!G86</f>
        <v>0</v>
      </c>
      <c r="O232" s="20">
        <f>P!G86</f>
        <v>0</v>
      </c>
      <c r="P232" s="20">
        <f>Q!G86</f>
        <v>0</v>
      </c>
      <c r="Q232" s="20">
        <f>'R'!G86</f>
        <v>0</v>
      </c>
      <c r="R232" s="20">
        <f>S!G86</f>
        <v>0</v>
      </c>
      <c r="S232" s="20">
        <f>T!G86</f>
        <v>0</v>
      </c>
      <c r="T232" s="20">
        <f>U!G86</f>
        <v>0</v>
      </c>
      <c r="U232" s="20">
        <f>V!G86</f>
        <v>0</v>
      </c>
      <c r="V232" s="20">
        <f>W!G86</f>
        <v>0</v>
      </c>
      <c r="W232" s="20">
        <f>X!G86</f>
        <v>0</v>
      </c>
      <c r="X232" s="21">
        <f t="shared" si="482"/>
        <v>0</v>
      </c>
      <c r="Y232" s="22">
        <f t="shared" si="506"/>
        <v>0</v>
      </c>
      <c r="Z232" s="122">
        <f t="shared" si="358"/>
        <v>0</v>
      </c>
      <c r="AA232" s="17">
        <f t="shared" si="483"/>
        <v>0</v>
      </c>
      <c r="AB232">
        <f t="shared" si="484"/>
        <v>0</v>
      </c>
      <c r="AC232">
        <f t="shared" si="485"/>
        <v>0</v>
      </c>
      <c r="AD232">
        <f t="shared" si="486"/>
        <v>0</v>
      </c>
      <c r="AE232">
        <f t="shared" si="487"/>
        <v>0</v>
      </c>
      <c r="AF232">
        <f t="shared" si="488"/>
        <v>0</v>
      </c>
      <c r="AG232">
        <f t="shared" si="489"/>
        <v>0</v>
      </c>
      <c r="AH232">
        <f t="shared" si="490"/>
        <v>0</v>
      </c>
      <c r="AI232">
        <f t="shared" si="491"/>
        <v>0</v>
      </c>
      <c r="AJ232">
        <f t="shared" si="492"/>
        <v>0</v>
      </c>
      <c r="AK232">
        <f t="shared" si="493"/>
        <v>0</v>
      </c>
      <c r="AL232">
        <f t="shared" si="494"/>
        <v>0</v>
      </c>
      <c r="AM232">
        <f t="shared" si="495"/>
        <v>0</v>
      </c>
      <c r="AN232">
        <f t="shared" si="496"/>
        <v>0</v>
      </c>
      <c r="AO232">
        <f t="shared" si="497"/>
        <v>0</v>
      </c>
      <c r="AP232">
        <f t="shared" si="498"/>
        <v>0</v>
      </c>
      <c r="AQ232">
        <f t="shared" si="499"/>
        <v>0</v>
      </c>
      <c r="AR232">
        <f t="shared" si="500"/>
        <v>0</v>
      </c>
      <c r="AS232">
        <f t="shared" si="501"/>
        <v>0</v>
      </c>
      <c r="AT232">
        <f t="shared" si="502"/>
        <v>0</v>
      </c>
      <c r="AU232">
        <f t="shared" si="503"/>
        <v>0</v>
      </c>
      <c r="AV232">
        <f t="shared" si="504"/>
        <v>0</v>
      </c>
      <c r="AW232" s="23">
        <f t="shared" si="505"/>
        <v>0</v>
      </c>
      <c r="AX232" s="24">
        <f t="shared" si="507"/>
        <v>0</v>
      </c>
      <c r="AY232" s="121">
        <f t="shared" si="508"/>
        <v>0</v>
      </c>
      <c r="AZ232" s="124">
        <f t="shared" si="509"/>
        <v>0</v>
      </c>
      <c r="BA232" s="199"/>
      <c r="BB232" s="198"/>
      <c r="BC232" s="200"/>
      <c r="BD232" s="24"/>
      <c r="BE232" s="23"/>
      <c r="BF232" s="203"/>
      <c r="BG232" s="204"/>
    </row>
    <row r="233" spans="1:59">
      <c r="A233" s="19">
        <f>B!$E$296</f>
        <v>0</v>
      </c>
      <c r="B233" s="20">
        <f>'C'!G87</f>
        <v>0</v>
      </c>
      <c r="C233" s="20">
        <f>D!G87</f>
        <v>0</v>
      </c>
      <c r="D233" s="20">
        <f>E!G87</f>
        <v>0</v>
      </c>
      <c r="E233" s="20">
        <f>F!G87</f>
        <v>0</v>
      </c>
      <c r="F233" s="20">
        <f>G!G87</f>
        <v>0</v>
      </c>
      <c r="G233" s="20">
        <f>H!G87</f>
        <v>0</v>
      </c>
      <c r="H233" s="20">
        <f>I!G87</f>
        <v>0</v>
      </c>
      <c r="I233" s="20">
        <f>J!G87</f>
        <v>0</v>
      </c>
      <c r="J233" s="20">
        <f>K!G87</f>
        <v>0</v>
      </c>
      <c r="K233" s="20">
        <f>L!G87</f>
        <v>0</v>
      </c>
      <c r="L233" s="20">
        <f>M!G87</f>
        <v>0</v>
      </c>
      <c r="M233" s="20">
        <f>N!G87</f>
        <v>0</v>
      </c>
      <c r="N233" s="20">
        <f>O!G87</f>
        <v>0</v>
      </c>
      <c r="O233" s="20">
        <f>P!G87</f>
        <v>0</v>
      </c>
      <c r="P233" s="20">
        <f>Q!G87</f>
        <v>0</v>
      </c>
      <c r="Q233" s="20">
        <f>'R'!G87</f>
        <v>0</v>
      </c>
      <c r="R233" s="20">
        <f>S!G87</f>
        <v>0</v>
      </c>
      <c r="S233" s="20">
        <f>T!G87</f>
        <v>0</v>
      </c>
      <c r="T233" s="20">
        <f>U!G87</f>
        <v>0</v>
      </c>
      <c r="U233" s="20">
        <f>V!G87</f>
        <v>0</v>
      </c>
      <c r="V233" s="20">
        <f>W!G87</f>
        <v>0</v>
      </c>
      <c r="W233" s="20">
        <f>X!G87</f>
        <v>0</v>
      </c>
      <c r="X233" s="21">
        <f t="shared" si="482"/>
        <v>0</v>
      </c>
      <c r="Y233" s="22">
        <f t="shared" si="506"/>
        <v>0</v>
      </c>
      <c r="Z233" s="122">
        <f t="shared" si="358"/>
        <v>0</v>
      </c>
      <c r="AA233" s="17">
        <f t="shared" si="483"/>
        <v>0</v>
      </c>
      <c r="AB233">
        <f t="shared" si="484"/>
        <v>0</v>
      </c>
      <c r="AC233">
        <f t="shared" si="485"/>
        <v>0</v>
      </c>
      <c r="AD233">
        <f t="shared" si="486"/>
        <v>0</v>
      </c>
      <c r="AE233">
        <f t="shared" si="487"/>
        <v>0</v>
      </c>
      <c r="AF233">
        <f t="shared" si="488"/>
        <v>0</v>
      </c>
      <c r="AG233">
        <f t="shared" si="489"/>
        <v>0</v>
      </c>
      <c r="AH233">
        <f t="shared" si="490"/>
        <v>0</v>
      </c>
      <c r="AI233">
        <f t="shared" si="491"/>
        <v>0</v>
      </c>
      <c r="AJ233">
        <f t="shared" si="492"/>
        <v>0</v>
      </c>
      <c r="AK233">
        <f t="shared" si="493"/>
        <v>0</v>
      </c>
      <c r="AL233">
        <f t="shared" si="494"/>
        <v>0</v>
      </c>
      <c r="AM233">
        <f t="shared" si="495"/>
        <v>0</v>
      </c>
      <c r="AN233">
        <f t="shared" si="496"/>
        <v>0</v>
      </c>
      <c r="AO233">
        <f t="shared" si="497"/>
        <v>0</v>
      </c>
      <c r="AP233">
        <f t="shared" si="498"/>
        <v>0</v>
      </c>
      <c r="AQ233">
        <f t="shared" si="499"/>
        <v>0</v>
      </c>
      <c r="AR233">
        <f t="shared" si="500"/>
        <v>0</v>
      </c>
      <c r="AS233">
        <f t="shared" si="501"/>
        <v>0</v>
      </c>
      <c r="AT233">
        <f t="shared" si="502"/>
        <v>0</v>
      </c>
      <c r="AU233">
        <f t="shared" si="503"/>
        <v>0</v>
      </c>
      <c r="AV233">
        <f t="shared" si="504"/>
        <v>0</v>
      </c>
      <c r="AW233" s="23">
        <f t="shared" si="505"/>
        <v>0</v>
      </c>
      <c r="AX233" s="24">
        <f t="shared" si="507"/>
        <v>0</v>
      </c>
      <c r="AY233" s="121">
        <f t="shared" si="508"/>
        <v>0</v>
      </c>
      <c r="AZ233" s="124">
        <f t="shared" si="509"/>
        <v>0</v>
      </c>
      <c r="BA233" s="199"/>
      <c r="BB233" s="198"/>
      <c r="BC233" s="200"/>
      <c r="BD233" s="24"/>
      <c r="BE233" s="23"/>
      <c r="BF233" s="203"/>
      <c r="BG233" s="204"/>
    </row>
    <row r="234" spans="1:59">
      <c r="A234" s="19">
        <f>B!$E$301</f>
        <v>0</v>
      </c>
      <c r="B234" s="20">
        <f>'C'!G88</f>
        <v>0</v>
      </c>
      <c r="C234" s="20">
        <f>D!G88</f>
        <v>0</v>
      </c>
      <c r="D234" s="20">
        <f>E!G88</f>
        <v>0</v>
      </c>
      <c r="E234" s="20">
        <f>F!G88</f>
        <v>0</v>
      </c>
      <c r="F234" s="20">
        <f>G!G88</f>
        <v>0</v>
      </c>
      <c r="G234" s="20">
        <f>H!G88</f>
        <v>0</v>
      </c>
      <c r="H234" s="20">
        <f>I!G88</f>
        <v>0</v>
      </c>
      <c r="I234" s="20">
        <f>J!G88</f>
        <v>0</v>
      </c>
      <c r="J234" s="20">
        <f>K!G88</f>
        <v>0</v>
      </c>
      <c r="K234" s="20">
        <f>L!G88</f>
        <v>0</v>
      </c>
      <c r="L234" s="20">
        <f>M!G88</f>
        <v>0</v>
      </c>
      <c r="M234" s="20">
        <f>N!G88</f>
        <v>0</v>
      </c>
      <c r="N234" s="20">
        <f>O!G88</f>
        <v>0</v>
      </c>
      <c r="O234" s="20">
        <f>P!G88</f>
        <v>0</v>
      </c>
      <c r="P234" s="20">
        <f>Q!G88</f>
        <v>0</v>
      </c>
      <c r="Q234" s="20">
        <f>'R'!G88</f>
        <v>0</v>
      </c>
      <c r="R234" s="20">
        <f>S!G88</f>
        <v>0</v>
      </c>
      <c r="S234" s="20">
        <f>T!G88</f>
        <v>0</v>
      </c>
      <c r="T234" s="20">
        <f>U!G88</f>
        <v>0</v>
      </c>
      <c r="U234" s="20">
        <f>V!G88</f>
        <v>0</v>
      </c>
      <c r="V234" s="20">
        <f>W!G88</f>
        <v>0</v>
      </c>
      <c r="W234" s="20">
        <f>X!G88</f>
        <v>0</v>
      </c>
      <c r="X234" s="21">
        <f t="shared" si="482"/>
        <v>0</v>
      </c>
      <c r="Y234" s="22">
        <f t="shared" si="506"/>
        <v>0</v>
      </c>
      <c r="Z234" s="122">
        <f t="shared" si="358"/>
        <v>0</v>
      </c>
      <c r="AA234" s="17">
        <f t="shared" si="483"/>
        <v>0</v>
      </c>
      <c r="AB234">
        <f t="shared" si="484"/>
        <v>0</v>
      </c>
      <c r="AC234">
        <f t="shared" si="485"/>
        <v>0</v>
      </c>
      <c r="AD234">
        <f t="shared" si="486"/>
        <v>0</v>
      </c>
      <c r="AE234">
        <f t="shared" si="487"/>
        <v>0</v>
      </c>
      <c r="AF234">
        <f t="shared" si="488"/>
        <v>0</v>
      </c>
      <c r="AG234">
        <f t="shared" si="489"/>
        <v>0</v>
      </c>
      <c r="AH234">
        <f t="shared" si="490"/>
        <v>0</v>
      </c>
      <c r="AI234">
        <f t="shared" si="491"/>
        <v>0</v>
      </c>
      <c r="AJ234">
        <f t="shared" si="492"/>
        <v>0</v>
      </c>
      <c r="AK234">
        <f t="shared" si="493"/>
        <v>0</v>
      </c>
      <c r="AL234">
        <f t="shared" si="494"/>
        <v>0</v>
      </c>
      <c r="AM234">
        <f t="shared" si="495"/>
        <v>0</v>
      </c>
      <c r="AN234">
        <f t="shared" si="496"/>
        <v>0</v>
      </c>
      <c r="AO234">
        <f t="shared" si="497"/>
        <v>0</v>
      </c>
      <c r="AP234">
        <f t="shared" si="498"/>
        <v>0</v>
      </c>
      <c r="AQ234">
        <f t="shared" si="499"/>
        <v>0</v>
      </c>
      <c r="AR234">
        <f t="shared" si="500"/>
        <v>0</v>
      </c>
      <c r="AS234">
        <f t="shared" si="501"/>
        <v>0</v>
      </c>
      <c r="AT234">
        <f t="shared" si="502"/>
        <v>0</v>
      </c>
      <c r="AU234">
        <f t="shared" si="503"/>
        <v>0</v>
      </c>
      <c r="AV234">
        <f t="shared" si="504"/>
        <v>0</v>
      </c>
      <c r="AW234" s="23">
        <f t="shared" si="505"/>
        <v>0</v>
      </c>
      <c r="AX234" s="24">
        <f t="shared" si="507"/>
        <v>0</v>
      </c>
      <c r="AY234" s="121">
        <f t="shared" si="508"/>
        <v>0</v>
      </c>
      <c r="AZ234" s="124">
        <f t="shared" si="509"/>
        <v>0</v>
      </c>
      <c r="BA234" s="199"/>
      <c r="BB234" s="198"/>
      <c r="BC234" s="200"/>
      <c r="BD234" s="24"/>
      <c r="BE234" s="23"/>
      <c r="BF234" s="203"/>
      <c r="BG234" s="204"/>
    </row>
    <row r="235" spans="1:59">
      <c r="A235" s="19">
        <f>B!$E$306</f>
        <v>0</v>
      </c>
      <c r="B235" s="20">
        <f>'C'!G89</f>
        <v>0</v>
      </c>
      <c r="C235" s="20">
        <f>D!G89</f>
        <v>0</v>
      </c>
      <c r="D235" s="20">
        <f>E!G89</f>
        <v>0</v>
      </c>
      <c r="E235" s="20">
        <f>F!G89</f>
        <v>0</v>
      </c>
      <c r="F235" s="20">
        <f>G!G89</f>
        <v>0</v>
      </c>
      <c r="G235" s="20">
        <f>H!G89</f>
        <v>0</v>
      </c>
      <c r="H235" s="20">
        <f>I!G89</f>
        <v>0</v>
      </c>
      <c r="I235" s="20">
        <f>J!G89</f>
        <v>0</v>
      </c>
      <c r="J235" s="20">
        <f>K!G89</f>
        <v>0</v>
      </c>
      <c r="K235" s="20">
        <f>L!G89</f>
        <v>0</v>
      </c>
      <c r="L235" s="20">
        <f>M!G89</f>
        <v>0</v>
      </c>
      <c r="M235" s="20">
        <f>N!G89</f>
        <v>0</v>
      </c>
      <c r="N235" s="20">
        <f>O!G89</f>
        <v>0</v>
      </c>
      <c r="O235" s="20">
        <f>P!G89</f>
        <v>0</v>
      </c>
      <c r="P235" s="20">
        <f>Q!G89</f>
        <v>0</v>
      </c>
      <c r="Q235" s="20">
        <f>'R'!G89</f>
        <v>0</v>
      </c>
      <c r="R235" s="20">
        <f>S!G89</f>
        <v>0</v>
      </c>
      <c r="S235" s="20">
        <f>T!G89</f>
        <v>0</v>
      </c>
      <c r="T235" s="20">
        <f>U!G89</f>
        <v>0</v>
      </c>
      <c r="U235" s="20">
        <f>V!G89</f>
        <v>0</v>
      </c>
      <c r="V235" s="20">
        <f>W!G89</f>
        <v>0</v>
      </c>
      <c r="W235" s="20">
        <f>X!G89</f>
        <v>0</v>
      </c>
      <c r="X235" s="21">
        <f t="shared" si="482"/>
        <v>0</v>
      </c>
      <c r="Y235" s="22">
        <f t="shared" si="506"/>
        <v>0</v>
      </c>
      <c r="Z235" s="122">
        <f t="shared" si="358"/>
        <v>0</v>
      </c>
      <c r="AA235" s="17">
        <f t="shared" si="483"/>
        <v>0</v>
      </c>
      <c r="AB235">
        <f t="shared" si="484"/>
        <v>0</v>
      </c>
      <c r="AC235">
        <f t="shared" si="485"/>
        <v>0</v>
      </c>
      <c r="AD235">
        <f t="shared" si="486"/>
        <v>0</v>
      </c>
      <c r="AE235">
        <f t="shared" si="487"/>
        <v>0</v>
      </c>
      <c r="AF235">
        <f t="shared" si="488"/>
        <v>0</v>
      </c>
      <c r="AG235">
        <f t="shared" si="489"/>
        <v>0</v>
      </c>
      <c r="AH235">
        <f t="shared" si="490"/>
        <v>0</v>
      </c>
      <c r="AI235">
        <f t="shared" si="491"/>
        <v>0</v>
      </c>
      <c r="AJ235">
        <f t="shared" si="492"/>
        <v>0</v>
      </c>
      <c r="AK235">
        <f t="shared" si="493"/>
        <v>0</v>
      </c>
      <c r="AL235">
        <f t="shared" si="494"/>
        <v>0</v>
      </c>
      <c r="AM235">
        <f t="shared" si="495"/>
        <v>0</v>
      </c>
      <c r="AN235">
        <f t="shared" si="496"/>
        <v>0</v>
      </c>
      <c r="AO235">
        <f t="shared" si="497"/>
        <v>0</v>
      </c>
      <c r="AP235">
        <f t="shared" si="498"/>
        <v>0</v>
      </c>
      <c r="AQ235">
        <f t="shared" si="499"/>
        <v>0</v>
      </c>
      <c r="AR235">
        <f t="shared" si="500"/>
        <v>0</v>
      </c>
      <c r="AS235">
        <f t="shared" si="501"/>
        <v>0</v>
      </c>
      <c r="AT235">
        <f t="shared" si="502"/>
        <v>0</v>
      </c>
      <c r="AU235">
        <f t="shared" si="503"/>
        <v>0</v>
      </c>
      <c r="AV235">
        <f t="shared" si="504"/>
        <v>0</v>
      </c>
      <c r="AW235" s="23">
        <f t="shared" si="505"/>
        <v>0</v>
      </c>
      <c r="AX235" s="24">
        <f t="shared" si="507"/>
        <v>0</v>
      </c>
      <c r="AY235" s="121">
        <f t="shared" si="508"/>
        <v>0</v>
      </c>
      <c r="AZ235" s="124">
        <f t="shared" si="509"/>
        <v>0</v>
      </c>
      <c r="BA235" s="199"/>
      <c r="BB235" s="198"/>
      <c r="BC235" s="200"/>
      <c r="BD235" s="24"/>
      <c r="BE235" s="23"/>
      <c r="BF235" s="203"/>
      <c r="BG235" s="204"/>
    </row>
    <row r="236" spans="1:59" ht="15.75" thickBot="1">
      <c r="A236" s="19">
        <f>B!$E$311</f>
        <v>0</v>
      </c>
      <c r="B236" s="20">
        <f>'C'!G90</f>
        <v>0</v>
      </c>
      <c r="C236" s="20">
        <f>D!G90</f>
        <v>0</v>
      </c>
      <c r="D236" s="20">
        <f>E!G90</f>
        <v>0</v>
      </c>
      <c r="E236" s="20">
        <f>F!G90</f>
        <v>0</v>
      </c>
      <c r="F236" s="20">
        <f>G!G90</f>
        <v>0</v>
      </c>
      <c r="G236" s="20">
        <f>H!G90</f>
        <v>0</v>
      </c>
      <c r="H236" s="20">
        <f>I!G90</f>
        <v>0</v>
      </c>
      <c r="I236" s="20">
        <f>J!G90</f>
        <v>0</v>
      </c>
      <c r="J236" s="20">
        <f>K!G90</f>
        <v>0</v>
      </c>
      <c r="K236" s="20">
        <f>L!G90</f>
        <v>0</v>
      </c>
      <c r="L236" s="20">
        <f>M!G90</f>
        <v>0</v>
      </c>
      <c r="M236" s="20">
        <f>N!G90</f>
        <v>0</v>
      </c>
      <c r="N236" s="20">
        <f>O!G90</f>
        <v>0</v>
      </c>
      <c r="O236" s="20">
        <f>P!G90</f>
        <v>0</v>
      </c>
      <c r="P236" s="20">
        <f>Q!G90</f>
        <v>0</v>
      </c>
      <c r="Q236" s="20">
        <f>'R'!G90</f>
        <v>0</v>
      </c>
      <c r="R236" s="20">
        <f>S!G90</f>
        <v>0</v>
      </c>
      <c r="S236" s="20">
        <f>T!G90</f>
        <v>0</v>
      </c>
      <c r="T236" s="20">
        <f>U!G90</f>
        <v>0</v>
      </c>
      <c r="U236" s="20">
        <f>V!G90</f>
        <v>0</v>
      </c>
      <c r="V236" s="20">
        <f>W!G90</f>
        <v>0</v>
      </c>
      <c r="W236" s="20">
        <f>X!G90</f>
        <v>0</v>
      </c>
      <c r="X236" s="21">
        <f t="shared" si="482"/>
        <v>0</v>
      </c>
      <c r="Y236" s="22">
        <f t="shared" si="506"/>
        <v>0</v>
      </c>
      <c r="Z236" s="122">
        <f t="shared" si="358"/>
        <v>0</v>
      </c>
      <c r="AA236" s="17">
        <f t="shared" si="483"/>
        <v>0</v>
      </c>
      <c r="AB236">
        <f t="shared" si="484"/>
        <v>0</v>
      </c>
      <c r="AC236">
        <f t="shared" si="485"/>
        <v>0</v>
      </c>
      <c r="AD236">
        <f t="shared" si="486"/>
        <v>0</v>
      </c>
      <c r="AE236">
        <f t="shared" si="487"/>
        <v>0</v>
      </c>
      <c r="AF236">
        <f t="shared" si="488"/>
        <v>0</v>
      </c>
      <c r="AG236">
        <f t="shared" si="489"/>
        <v>0</v>
      </c>
      <c r="AH236">
        <f t="shared" si="490"/>
        <v>0</v>
      </c>
      <c r="AI236">
        <f t="shared" si="491"/>
        <v>0</v>
      </c>
      <c r="AJ236">
        <f t="shared" si="492"/>
        <v>0</v>
      </c>
      <c r="AK236">
        <f t="shared" si="493"/>
        <v>0</v>
      </c>
      <c r="AL236">
        <f t="shared" si="494"/>
        <v>0</v>
      </c>
      <c r="AM236">
        <f t="shared" si="495"/>
        <v>0</v>
      </c>
      <c r="AN236">
        <f t="shared" si="496"/>
        <v>0</v>
      </c>
      <c r="AO236">
        <f t="shared" si="497"/>
        <v>0</v>
      </c>
      <c r="AP236">
        <f t="shared" si="498"/>
        <v>0</v>
      </c>
      <c r="AQ236">
        <f t="shared" si="499"/>
        <v>0</v>
      </c>
      <c r="AR236">
        <f t="shared" si="500"/>
        <v>0</v>
      </c>
      <c r="AS236">
        <f t="shared" si="501"/>
        <v>0</v>
      </c>
      <c r="AT236">
        <f t="shared" si="502"/>
        <v>0</v>
      </c>
      <c r="AU236">
        <f t="shared" si="503"/>
        <v>0</v>
      </c>
      <c r="AV236">
        <f t="shared" si="504"/>
        <v>0</v>
      </c>
      <c r="AW236" s="23">
        <f t="shared" si="505"/>
        <v>0</v>
      </c>
      <c r="AX236" s="24">
        <f t="shared" si="507"/>
        <v>0</v>
      </c>
      <c r="AY236" s="121">
        <f t="shared" si="508"/>
        <v>0</v>
      </c>
      <c r="AZ236" s="124">
        <f t="shared" si="509"/>
        <v>0</v>
      </c>
      <c r="BA236" s="199"/>
      <c r="BB236" s="198"/>
      <c r="BC236" s="200"/>
      <c r="BD236" s="24"/>
      <c r="BE236" s="23"/>
      <c r="BF236" s="203"/>
      <c r="BG236" s="204"/>
    </row>
    <row r="237" spans="1:59" ht="15.75" thickTop="1">
      <c r="A237" s="133" t="s">
        <v>134</v>
      </c>
      <c r="B237" s="134">
        <f t="shared" ref="B237:W237" si="510">SUM(B229:B236)</f>
        <v>0</v>
      </c>
      <c r="C237" s="134">
        <f t="shared" si="510"/>
        <v>0</v>
      </c>
      <c r="D237" s="134">
        <f t="shared" si="510"/>
        <v>0</v>
      </c>
      <c r="E237" s="134">
        <f t="shared" si="510"/>
        <v>0</v>
      </c>
      <c r="F237" s="134">
        <f t="shared" si="510"/>
        <v>0</v>
      </c>
      <c r="G237" s="134">
        <f t="shared" si="510"/>
        <v>0</v>
      </c>
      <c r="H237" s="134">
        <f t="shared" si="510"/>
        <v>0</v>
      </c>
      <c r="I237" s="134">
        <f t="shared" si="510"/>
        <v>0</v>
      </c>
      <c r="J237" s="134">
        <f t="shared" si="510"/>
        <v>0</v>
      </c>
      <c r="K237" s="134">
        <f t="shared" si="510"/>
        <v>0</v>
      </c>
      <c r="L237" s="134">
        <f t="shared" si="510"/>
        <v>0</v>
      </c>
      <c r="M237" s="134">
        <f t="shared" si="510"/>
        <v>0</v>
      </c>
      <c r="N237" s="134">
        <f t="shared" si="510"/>
        <v>0</v>
      </c>
      <c r="O237" s="134">
        <f t="shared" si="510"/>
        <v>0</v>
      </c>
      <c r="P237" s="134">
        <f t="shared" si="510"/>
        <v>0</v>
      </c>
      <c r="Q237" s="134">
        <f t="shared" si="510"/>
        <v>0</v>
      </c>
      <c r="R237" s="134">
        <f t="shared" si="510"/>
        <v>0</v>
      </c>
      <c r="S237" s="134">
        <f t="shared" si="510"/>
        <v>0</v>
      </c>
      <c r="T237" s="134">
        <f t="shared" si="510"/>
        <v>0</v>
      </c>
      <c r="U237" s="134">
        <f t="shared" si="510"/>
        <v>0</v>
      </c>
      <c r="V237" s="134">
        <f t="shared" si="510"/>
        <v>0</v>
      </c>
      <c r="W237" s="134">
        <f t="shared" si="510"/>
        <v>0</v>
      </c>
      <c r="X237" s="135">
        <f t="shared" si="482"/>
        <v>0</v>
      </c>
      <c r="Y237" s="137">
        <f>IF(X237=0,0,X237/AW237)</f>
        <v>0</v>
      </c>
      <c r="Z237" s="122"/>
      <c r="AA237" s="138">
        <f t="shared" ref="AA237:AV237" si="511">SUM(AA229:AA236)</f>
        <v>0</v>
      </c>
      <c r="AB237" s="11">
        <f t="shared" si="511"/>
        <v>0</v>
      </c>
      <c r="AC237" s="11">
        <f t="shared" si="511"/>
        <v>0</v>
      </c>
      <c r="AD237" s="11">
        <f t="shared" si="511"/>
        <v>0</v>
      </c>
      <c r="AE237" s="11">
        <f t="shared" si="511"/>
        <v>0</v>
      </c>
      <c r="AF237" s="11">
        <f t="shared" si="511"/>
        <v>0</v>
      </c>
      <c r="AG237" s="11">
        <f t="shared" si="511"/>
        <v>0</v>
      </c>
      <c r="AH237" s="11">
        <f t="shared" si="511"/>
        <v>0</v>
      </c>
      <c r="AI237" s="11">
        <f t="shared" si="511"/>
        <v>0</v>
      </c>
      <c r="AJ237" s="11">
        <f t="shared" si="511"/>
        <v>0</v>
      </c>
      <c r="AK237" s="11">
        <f t="shared" si="511"/>
        <v>0</v>
      </c>
      <c r="AL237" s="11">
        <f t="shared" si="511"/>
        <v>0</v>
      </c>
      <c r="AM237" s="11">
        <f t="shared" si="511"/>
        <v>0</v>
      </c>
      <c r="AN237" s="11">
        <f t="shared" si="511"/>
        <v>0</v>
      </c>
      <c r="AO237" s="11">
        <f t="shared" si="511"/>
        <v>0</v>
      </c>
      <c r="AP237" s="11">
        <f t="shared" si="511"/>
        <v>0</v>
      </c>
      <c r="AQ237" s="11">
        <f t="shared" si="511"/>
        <v>0</v>
      </c>
      <c r="AR237" s="11">
        <f t="shared" si="511"/>
        <v>0</v>
      </c>
      <c r="AS237" s="11">
        <f t="shared" si="511"/>
        <v>0</v>
      </c>
      <c r="AT237" s="11">
        <f t="shared" si="511"/>
        <v>0</v>
      </c>
      <c r="AU237" s="11">
        <f t="shared" si="511"/>
        <v>0</v>
      </c>
      <c r="AV237" s="11">
        <f t="shared" si="511"/>
        <v>0</v>
      </c>
      <c r="AW237" s="12">
        <f>MAXA(AW229:AW236)</f>
        <v>0</v>
      </c>
      <c r="AX237" s="24"/>
      <c r="AZ237" s="124"/>
      <c r="BA237" s="199"/>
      <c r="BB237" s="198"/>
      <c r="BC237" s="200"/>
      <c r="BD237" s="24"/>
      <c r="BE237" s="23"/>
      <c r="BF237" s="203"/>
      <c r="BG237" s="204"/>
    </row>
    <row r="238" spans="1:59" ht="16.5" thickBot="1">
      <c r="A238" s="105" t="s">
        <v>189</v>
      </c>
      <c r="B238" s="20">
        <f>'C'!G91</f>
        <v>0</v>
      </c>
      <c r="C238" s="20">
        <f>D!G91</f>
        <v>0</v>
      </c>
      <c r="D238" s="20">
        <f>E!G91</f>
        <v>0</v>
      </c>
      <c r="E238" s="20">
        <f>F!G91</f>
        <v>0</v>
      </c>
      <c r="F238" s="20">
        <f>G!G91</f>
        <v>0</v>
      </c>
      <c r="G238" s="20">
        <f>H!G91</f>
        <v>0</v>
      </c>
      <c r="H238" s="20">
        <f>I!G91</f>
        <v>0</v>
      </c>
      <c r="I238" s="20">
        <f>J!G91</f>
        <v>0</v>
      </c>
      <c r="J238" s="20">
        <f>K!G91</f>
        <v>0</v>
      </c>
      <c r="K238" s="20">
        <f>L!G91</f>
        <v>0</v>
      </c>
      <c r="L238" s="20">
        <f>M!G91</f>
        <v>0</v>
      </c>
      <c r="M238" s="20">
        <f>N!G91</f>
        <v>0</v>
      </c>
      <c r="N238" s="20">
        <f>O!G91</f>
        <v>0</v>
      </c>
      <c r="O238" s="20">
        <f>P!G91</f>
        <v>0</v>
      </c>
      <c r="P238" s="20">
        <f>Q!G91</f>
        <v>0</v>
      </c>
      <c r="Q238" s="20">
        <f>'R'!G91</f>
        <v>0</v>
      </c>
      <c r="R238" s="20">
        <f>S!G91</f>
        <v>0</v>
      </c>
      <c r="S238" s="20">
        <f>T!G91</f>
        <v>0</v>
      </c>
      <c r="T238" s="20">
        <f>U!G91</f>
        <v>0</v>
      </c>
      <c r="U238" s="20">
        <f>V!G91</f>
        <v>0</v>
      </c>
      <c r="V238" s="20">
        <f>W!G91</f>
        <v>0</v>
      </c>
      <c r="W238" s="20">
        <f>X!G91</f>
        <v>0</v>
      </c>
      <c r="X238" s="21">
        <f t="shared" si="482"/>
        <v>0</v>
      </c>
      <c r="Y238" s="120"/>
      <c r="Z238" s="122"/>
      <c r="AA238" s="17"/>
      <c r="AW238" s="23"/>
      <c r="AX238" s="24"/>
      <c r="AZ238" s="124"/>
      <c r="BA238" s="199"/>
      <c r="BB238" s="198"/>
      <c r="BC238" s="200"/>
      <c r="BD238" s="24"/>
      <c r="BE238" s="23"/>
      <c r="BF238" s="203"/>
      <c r="BG238" s="204"/>
    </row>
    <row r="239" spans="1:59" ht="16.5" thickTop="1" thickBot="1">
      <c r="A239" s="100" t="s">
        <v>53</v>
      </c>
      <c r="B239" s="68">
        <f t="shared" ref="B239:W239" si="512">SUM(B237:B238)</f>
        <v>0</v>
      </c>
      <c r="C239" s="68">
        <f t="shared" si="512"/>
        <v>0</v>
      </c>
      <c r="D239" s="68">
        <f t="shared" si="512"/>
        <v>0</v>
      </c>
      <c r="E239" s="68">
        <f t="shared" si="512"/>
        <v>0</v>
      </c>
      <c r="F239" s="68">
        <f t="shared" si="512"/>
        <v>0</v>
      </c>
      <c r="G239" s="68">
        <f t="shared" si="512"/>
        <v>0</v>
      </c>
      <c r="H239" s="68">
        <f t="shared" si="512"/>
        <v>0</v>
      </c>
      <c r="I239" s="68">
        <f t="shared" si="512"/>
        <v>0</v>
      </c>
      <c r="J239" s="68">
        <f t="shared" si="512"/>
        <v>0</v>
      </c>
      <c r="K239" s="68">
        <f t="shared" si="512"/>
        <v>0</v>
      </c>
      <c r="L239" s="68">
        <f t="shared" si="512"/>
        <v>0</v>
      </c>
      <c r="M239" s="68">
        <f t="shared" si="512"/>
        <v>0</v>
      </c>
      <c r="N239" s="68">
        <f t="shared" si="512"/>
        <v>0</v>
      </c>
      <c r="O239" s="68">
        <f t="shared" si="512"/>
        <v>0</v>
      </c>
      <c r="P239" s="68">
        <f t="shared" si="512"/>
        <v>0</v>
      </c>
      <c r="Q239" s="68">
        <f t="shared" si="512"/>
        <v>0</v>
      </c>
      <c r="R239" s="68">
        <f t="shared" si="512"/>
        <v>0</v>
      </c>
      <c r="S239" s="68">
        <f t="shared" si="512"/>
        <v>0</v>
      </c>
      <c r="T239" s="68">
        <f t="shared" si="512"/>
        <v>0</v>
      </c>
      <c r="U239" s="68">
        <f t="shared" si="512"/>
        <v>0</v>
      </c>
      <c r="V239" s="68">
        <f t="shared" si="512"/>
        <v>0</v>
      </c>
      <c r="W239" s="68">
        <f t="shared" si="512"/>
        <v>0</v>
      </c>
      <c r="X239" s="28">
        <f t="shared" si="482"/>
        <v>0</v>
      </c>
      <c r="Y239" s="136"/>
      <c r="Z239" s="122"/>
      <c r="AA239" s="17"/>
      <c r="AW239" s="23"/>
      <c r="AX239" s="24"/>
      <c r="AZ239" s="124"/>
      <c r="BA239" s="199"/>
      <c r="BB239" s="198"/>
      <c r="BC239" s="200"/>
      <c r="BD239" s="24">
        <f>X239</f>
        <v>0</v>
      </c>
      <c r="BE239" s="23">
        <f>A228</f>
        <v>0</v>
      </c>
      <c r="BF239" s="203"/>
      <c r="BG239" s="204"/>
    </row>
    <row r="240" spans="1:59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22"/>
      <c r="AA240" s="17"/>
      <c r="AW240" s="23"/>
      <c r="AX240" s="24"/>
      <c r="AZ240" s="124"/>
      <c r="BA240" s="199"/>
      <c r="BB240" s="198"/>
      <c r="BC240" s="200"/>
      <c r="BD240" s="24"/>
      <c r="BE240" s="23"/>
      <c r="BF240" s="203"/>
      <c r="BG240" s="204"/>
    </row>
    <row r="241" spans="1:59" ht="15.75" thickBot="1">
      <c r="A241" s="7" t="s">
        <v>70</v>
      </c>
      <c r="B241" s="8" t="s">
        <v>27</v>
      </c>
      <c r="C241" s="8" t="s">
        <v>28</v>
      </c>
      <c r="D241" s="8" t="s">
        <v>29</v>
      </c>
      <c r="E241" s="8" t="s">
        <v>30</v>
      </c>
      <c r="F241" s="8" t="s">
        <v>31</v>
      </c>
      <c r="G241" s="8" t="s">
        <v>32</v>
      </c>
      <c r="H241" s="8" t="s">
        <v>33</v>
      </c>
      <c r="I241" s="8" t="s">
        <v>34</v>
      </c>
      <c r="J241" s="8" t="s">
        <v>35</v>
      </c>
      <c r="K241" s="8" t="s">
        <v>36</v>
      </c>
      <c r="L241" s="8" t="s">
        <v>37</v>
      </c>
      <c r="M241" s="8" t="s">
        <v>38</v>
      </c>
      <c r="N241" s="8" t="s">
        <v>39</v>
      </c>
      <c r="O241" s="8" t="s">
        <v>40</v>
      </c>
      <c r="P241" s="8" t="s">
        <v>41</v>
      </c>
      <c r="Q241" s="8" t="s">
        <v>42</v>
      </c>
      <c r="R241" s="8" t="s">
        <v>43</v>
      </c>
      <c r="S241" s="8" t="s">
        <v>44</v>
      </c>
      <c r="T241" s="8" t="s">
        <v>45</v>
      </c>
      <c r="U241" s="8" t="s">
        <v>46</v>
      </c>
      <c r="V241" s="8" t="s">
        <v>47</v>
      </c>
      <c r="W241" s="8" t="s">
        <v>48</v>
      </c>
      <c r="X241" s="1"/>
      <c r="Y241" s="1"/>
      <c r="Z241" s="3" t="str">
        <f>A241</f>
        <v>Team #18 Name:</v>
      </c>
      <c r="AA241" s="17"/>
      <c r="AW241" s="23"/>
      <c r="AX241" s="24"/>
      <c r="AZ241" s="124"/>
      <c r="BA241" s="199"/>
      <c r="BB241" s="198"/>
      <c r="BC241" s="200"/>
      <c r="BD241" s="24"/>
      <c r="BE241" s="23"/>
      <c r="BF241" s="203"/>
      <c r="BG241" s="204"/>
    </row>
    <row r="242" spans="1:59">
      <c r="A242" s="13">
        <f>B!$E$317</f>
        <v>0</v>
      </c>
      <c r="B242" s="29" t="s">
        <v>50</v>
      </c>
      <c r="C242" s="29" t="s">
        <v>50</v>
      </c>
      <c r="D242" s="29" t="s">
        <v>50</v>
      </c>
      <c r="E242" s="29" t="s">
        <v>50</v>
      </c>
      <c r="F242" s="29" t="s">
        <v>50</v>
      </c>
      <c r="G242" s="29" t="s">
        <v>50</v>
      </c>
      <c r="H242" s="29" t="s">
        <v>50</v>
      </c>
      <c r="I242" s="29" t="s">
        <v>50</v>
      </c>
      <c r="J242" s="29" t="s">
        <v>50</v>
      </c>
      <c r="K242" s="29" t="s">
        <v>50</v>
      </c>
      <c r="L242" s="29" t="s">
        <v>50</v>
      </c>
      <c r="M242" s="29" t="s">
        <v>50</v>
      </c>
      <c r="N242" s="29" t="s">
        <v>50</v>
      </c>
      <c r="O242" s="29" t="s">
        <v>50</v>
      </c>
      <c r="P242" s="29" t="s">
        <v>50</v>
      </c>
      <c r="Q242" s="29" t="s">
        <v>50</v>
      </c>
      <c r="R242" s="29" t="s">
        <v>50</v>
      </c>
      <c r="S242" s="29" t="s">
        <v>50</v>
      </c>
      <c r="T242" s="29" t="s">
        <v>50</v>
      </c>
      <c r="U242" s="29" t="s">
        <v>50</v>
      </c>
      <c r="V242" s="29" t="s">
        <v>50</v>
      </c>
      <c r="W242" s="29" t="s">
        <v>50</v>
      </c>
      <c r="X242" s="15" t="s">
        <v>51</v>
      </c>
      <c r="Y242" s="16" t="s">
        <v>52</v>
      </c>
      <c r="Z242" s="123">
        <f>A242</f>
        <v>0</v>
      </c>
      <c r="AA242" s="17"/>
      <c r="AW242" s="4" t="s">
        <v>97</v>
      </c>
      <c r="AX242" s="24"/>
      <c r="AZ242" s="124"/>
      <c r="BA242" s="199"/>
      <c r="BB242" s="198"/>
      <c r="BC242" s="200"/>
      <c r="BD242" s="24"/>
      <c r="BE242" s="23"/>
      <c r="BF242" s="203"/>
      <c r="BG242" s="204"/>
    </row>
    <row r="243" spans="1:59">
      <c r="A243" s="19">
        <f>B!$E$319</f>
        <v>0</v>
      </c>
      <c r="B243" s="20">
        <f>'C'!G96</f>
        <v>0</v>
      </c>
      <c r="C243" s="20">
        <f>D!G96</f>
        <v>0</v>
      </c>
      <c r="D243" s="20">
        <f>E!G96</f>
        <v>0</v>
      </c>
      <c r="E243" s="20">
        <f>F!G96</f>
        <v>0</v>
      </c>
      <c r="F243" s="20">
        <f>G!G96</f>
        <v>0</v>
      </c>
      <c r="G243" s="20">
        <f>H!G96</f>
        <v>0</v>
      </c>
      <c r="H243" s="20">
        <f>I!G96</f>
        <v>0</v>
      </c>
      <c r="I243" s="20">
        <f>J!G96</f>
        <v>0</v>
      </c>
      <c r="J243" s="20">
        <f>K!G96</f>
        <v>0</v>
      </c>
      <c r="K243" s="20">
        <f>L!G96</f>
        <v>0</v>
      </c>
      <c r="L243" s="20">
        <f>M!G96</f>
        <v>0</v>
      </c>
      <c r="M243" s="20">
        <f>N!G96</f>
        <v>0</v>
      </c>
      <c r="N243" s="20">
        <f>O!G96</f>
        <v>0</v>
      </c>
      <c r="O243" s="20">
        <f>P!G96</f>
        <v>0</v>
      </c>
      <c r="P243" s="20">
        <f>Q!G96</f>
        <v>0</v>
      </c>
      <c r="Q243" s="20">
        <f>'R'!G96</f>
        <v>0</v>
      </c>
      <c r="R243" s="20">
        <f>S!G96</f>
        <v>0</v>
      </c>
      <c r="S243" s="20">
        <f>T!G96</f>
        <v>0</v>
      </c>
      <c r="T243" s="20">
        <f>U!G96</f>
        <v>0</v>
      </c>
      <c r="U243" s="20">
        <f>V!G96</f>
        <v>0</v>
      </c>
      <c r="V243" s="20">
        <f>W!G96</f>
        <v>0</v>
      </c>
      <c r="W243" s="20">
        <f>X!G96</f>
        <v>0</v>
      </c>
      <c r="X243" s="21">
        <f t="shared" ref="X243:X253" si="513">SUM(B243:W243)</f>
        <v>0</v>
      </c>
      <c r="Y243" s="22">
        <f>IF(AW243=0,0,X243/AW243)</f>
        <v>0</v>
      </c>
      <c r="Z243" s="122">
        <f t="shared" ref="Z243:Z278" si="514">A243</f>
        <v>0</v>
      </c>
      <c r="AA243" s="17">
        <f t="shared" ref="AA243:AA250" si="515">IF(B243=0,0,1)</f>
        <v>0</v>
      </c>
      <c r="AB243">
        <f t="shared" ref="AB243:AB250" si="516">IF(C243=0,0,1)</f>
        <v>0</v>
      </c>
      <c r="AC243">
        <f t="shared" ref="AC243:AC250" si="517">IF(D243=0,0,1)</f>
        <v>0</v>
      </c>
      <c r="AD243">
        <f t="shared" ref="AD243:AD250" si="518">IF(E243=0,0,1)</f>
        <v>0</v>
      </c>
      <c r="AE243">
        <f t="shared" ref="AE243:AE250" si="519">IF(F243=0,0,1)</f>
        <v>0</v>
      </c>
      <c r="AF243">
        <f t="shared" ref="AF243:AF250" si="520">IF(G243=0,0,1)</f>
        <v>0</v>
      </c>
      <c r="AG243">
        <f t="shared" ref="AG243:AG250" si="521">IF(H243=0,0,1)</f>
        <v>0</v>
      </c>
      <c r="AH243">
        <f t="shared" ref="AH243:AH250" si="522">IF(I243=0,0,1)</f>
        <v>0</v>
      </c>
      <c r="AI243">
        <f t="shared" ref="AI243:AI250" si="523">IF(J243=0,0,1)</f>
        <v>0</v>
      </c>
      <c r="AJ243">
        <f t="shared" ref="AJ243:AJ250" si="524">IF(K243=0,0,1)</f>
        <v>0</v>
      </c>
      <c r="AK243">
        <f t="shared" ref="AK243:AK250" si="525">IF(L243=0,0,1)</f>
        <v>0</v>
      </c>
      <c r="AL243">
        <f t="shared" ref="AL243:AL250" si="526">IF(M243=0,0,1)</f>
        <v>0</v>
      </c>
      <c r="AM243">
        <f t="shared" ref="AM243:AM250" si="527">IF(N243=0,0,1)</f>
        <v>0</v>
      </c>
      <c r="AN243">
        <f t="shared" ref="AN243:AN250" si="528">IF(O243=0,0,1)</f>
        <v>0</v>
      </c>
      <c r="AO243">
        <f t="shared" ref="AO243:AO250" si="529">IF(P243=0,0,1)</f>
        <v>0</v>
      </c>
      <c r="AP243">
        <f t="shared" ref="AP243:AP250" si="530">IF(Q243=0,0,1)</f>
        <v>0</v>
      </c>
      <c r="AQ243">
        <f t="shared" ref="AQ243:AQ250" si="531">IF(R243=0,0,1)</f>
        <v>0</v>
      </c>
      <c r="AR243">
        <f t="shared" ref="AR243:AR250" si="532">IF(S243=0,0,1)</f>
        <v>0</v>
      </c>
      <c r="AS243">
        <f t="shared" ref="AS243:AS250" si="533">IF(T243=0,0,1)</f>
        <v>0</v>
      </c>
      <c r="AT243">
        <f t="shared" ref="AT243:AT250" si="534">IF(U243=0,0,1)</f>
        <v>0</v>
      </c>
      <c r="AU243">
        <f t="shared" ref="AU243:AU250" si="535">IF(V243=0,0,1)</f>
        <v>0</v>
      </c>
      <c r="AV243">
        <f t="shared" ref="AV243:AV250" si="536">IF(W243=0,0,1)</f>
        <v>0</v>
      </c>
      <c r="AW243" s="23">
        <f t="shared" ref="AW243:AW250" si="537">SUM(AA243:AV243)</f>
        <v>0</v>
      </c>
      <c r="AX243" s="24">
        <f>IF(X243=0,0,X243)</f>
        <v>0</v>
      </c>
      <c r="AY243" s="121">
        <f>IF(X243=0,0,A243)</f>
        <v>0</v>
      </c>
      <c r="AZ243" s="124">
        <f>IF(AX243=0,0,A$242)</f>
        <v>0</v>
      </c>
      <c r="BA243" s="199"/>
      <c r="BB243" s="198"/>
      <c r="BC243" s="200"/>
      <c r="BD243" s="24"/>
      <c r="BE243" s="23"/>
      <c r="BF243" s="203"/>
      <c r="BG243" s="204"/>
    </row>
    <row r="244" spans="1:59">
      <c r="A244" s="19">
        <f>B!$E$324</f>
        <v>0</v>
      </c>
      <c r="B244" s="20">
        <f>'C'!G97</f>
        <v>0</v>
      </c>
      <c r="C244" s="20">
        <f>D!G97</f>
        <v>0</v>
      </c>
      <c r="D244" s="20">
        <f>E!G97</f>
        <v>0</v>
      </c>
      <c r="E244" s="20">
        <f>F!G97</f>
        <v>0</v>
      </c>
      <c r="F244" s="20">
        <f>G!G97</f>
        <v>0</v>
      </c>
      <c r="G244" s="20">
        <f>H!G97</f>
        <v>0</v>
      </c>
      <c r="H244" s="20">
        <f>I!G97</f>
        <v>0</v>
      </c>
      <c r="I244" s="20">
        <f>J!G97</f>
        <v>0</v>
      </c>
      <c r="J244" s="20">
        <f>K!G97</f>
        <v>0</v>
      </c>
      <c r="K244" s="20">
        <f>L!G97</f>
        <v>0</v>
      </c>
      <c r="L244" s="20">
        <f>M!G97</f>
        <v>0</v>
      </c>
      <c r="M244" s="20">
        <f>N!G97</f>
        <v>0</v>
      </c>
      <c r="N244" s="20">
        <f>O!G97</f>
        <v>0</v>
      </c>
      <c r="O244" s="20">
        <f>P!G97</f>
        <v>0</v>
      </c>
      <c r="P244" s="20">
        <f>Q!G97</f>
        <v>0</v>
      </c>
      <c r="Q244" s="20">
        <f>'R'!G97</f>
        <v>0</v>
      </c>
      <c r="R244" s="20">
        <f>S!G97</f>
        <v>0</v>
      </c>
      <c r="S244" s="20">
        <f>T!G97</f>
        <v>0</v>
      </c>
      <c r="T244" s="20">
        <f>U!G97</f>
        <v>0</v>
      </c>
      <c r="U244" s="20">
        <f>V!G97</f>
        <v>0</v>
      </c>
      <c r="V244" s="20">
        <f>W!G97</f>
        <v>0</v>
      </c>
      <c r="W244" s="20">
        <f>X!G97</f>
        <v>0</v>
      </c>
      <c r="X244" s="21">
        <f t="shared" si="513"/>
        <v>0</v>
      </c>
      <c r="Y244" s="22">
        <f t="shared" ref="Y244:Y250" si="538">IF(AW244=0,0,X244/AW244)</f>
        <v>0</v>
      </c>
      <c r="Z244" s="122">
        <f t="shared" si="514"/>
        <v>0</v>
      </c>
      <c r="AA244" s="17">
        <f t="shared" si="515"/>
        <v>0</v>
      </c>
      <c r="AB244">
        <f t="shared" si="516"/>
        <v>0</v>
      </c>
      <c r="AC244">
        <f t="shared" si="517"/>
        <v>0</v>
      </c>
      <c r="AD244">
        <f t="shared" si="518"/>
        <v>0</v>
      </c>
      <c r="AE244">
        <f t="shared" si="519"/>
        <v>0</v>
      </c>
      <c r="AF244">
        <f t="shared" si="520"/>
        <v>0</v>
      </c>
      <c r="AG244">
        <f t="shared" si="521"/>
        <v>0</v>
      </c>
      <c r="AH244">
        <f t="shared" si="522"/>
        <v>0</v>
      </c>
      <c r="AI244">
        <f t="shared" si="523"/>
        <v>0</v>
      </c>
      <c r="AJ244">
        <f t="shared" si="524"/>
        <v>0</v>
      </c>
      <c r="AK244">
        <f t="shared" si="525"/>
        <v>0</v>
      </c>
      <c r="AL244">
        <f t="shared" si="526"/>
        <v>0</v>
      </c>
      <c r="AM244">
        <f t="shared" si="527"/>
        <v>0</v>
      </c>
      <c r="AN244">
        <f t="shared" si="528"/>
        <v>0</v>
      </c>
      <c r="AO244">
        <f t="shared" si="529"/>
        <v>0</v>
      </c>
      <c r="AP244">
        <f t="shared" si="530"/>
        <v>0</v>
      </c>
      <c r="AQ244">
        <f t="shared" si="531"/>
        <v>0</v>
      </c>
      <c r="AR244">
        <f t="shared" si="532"/>
        <v>0</v>
      </c>
      <c r="AS244">
        <f t="shared" si="533"/>
        <v>0</v>
      </c>
      <c r="AT244">
        <f t="shared" si="534"/>
        <v>0</v>
      </c>
      <c r="AU244">
        <f t="shared" si="535"/>
        <v>0</v>
      </c>
      <c r="AV244">
        <f t="shared" si="536"/>
        <v>0</v>
      </c>
      <c r="AW244" s="23">
        <f t="shared" si="537"/>
        <v>0</v>
      </c>
      <c r="AX244" s="24">
        <f t="shared" ref="AX244:AX250" si="539">IF(X244=0,0,X244)</f>
        <v>0</v>
      </c>
      <c r="AY244" s="121">
        <f t="shared" ref="AY244:AY250" si="540">IF(X244=0,0,A244)</f>
        <v>0</v>
      </c>
      <c r="AZ244" s="124">
        <f t="shared" ref="AZ244:AZ250" si="541">IF(AX244=0,0,A$242)</f>
        <v>0</v>
      </c>
      <c r="BA244" s="199"/>
      <c r="BB244" s="198"/>
      <c r="BC244" s="200"/>
      <c r="BD244" s="24"/>
      <c r="BE244" s="23"/>
      <c r="BF244" s="203"/>
      <c r="BG244" s="204"/>
    </row>
    <row r="245" spans="1:59">
      <c r="A245" s="19">
        <f>B!$E$329</f>
        <v>0</v>
      </c>
      <c r="B245" s="20">
        <f>'C'!G98</f>
        <v>0</v>
      </c>
      <c r="C245" s="20">
        <f>D!G98</f>
        <v>0</v>
      </c>
      <c r="D245" s="20">
        <f>E!G98</f>
        <v>0</v>
      </c>
      <c r="E245" s="20">
        <f>F!G98</f>
        <v>0</v>
      </c>
      <c r="F245" s="20">
        <f>G!G98</f>
        <v>0</v>
      </c>
      <c r="G245" s="20">
        <f>H!G98</f>
        <v>0</v>
      </c>
      <c r="H245" s="20">
        <f>I!G98</f>
        <v>0</v>
      </c>
      <c r="I245" s="20">
        <f>J!G98</f>
        <v>0</v>
      </c>
      <c r="J245" s="20">
        <f>K!G98</f>
        <v>0</v>
      </c>
      <c r="K245" s="20">
        <f>L!G98</f>
        <v>0</v>
      </c>
      <c r="L245" s="20">
        <f>M!G98</f>
        <v>0</v>
      </c>
      <c r="M245" s="20">
        <f>N!G98</f>
        <v>0</v>
      </c>
      <c r="N245" s="20">
        <f>O!G98</f>
        <v>0</v>
      </c>
      <c r="O245" s="20">
        <f>P!G98</f>
        <v>0</v>
      </c>
      <c r="P245" s="20">
        <f>Q!G98</f>
        <v>0</v>
      </c>
      <c r="Q245" s="20">
        <f>'R'!G98</f>
        <v>0</v>
      </c>
      <c r="R245" s="20">
        <f>S!G98</f>
        <v>0</v>
      </c>
      <c r="S245" s="20">
        <f>T!G98</f>
        <v>0</v>
      </c>
      <c r="T245" s="20">
        <f>U!G98</f>
        <v>0</v>
      </c>
      <c r="U245" s="20">
        <f>V!G98</f>
        <v>0</v>
      </c>
      <c r="V245" s="20">
        <f>W!G98</f>
        <v>0</v>
      </c>
      <c r="W245" s="20">
        <f>X!G98</f>
        <v>0</v>
      </c>
      <c r="X245" s="21">
        <f t="shared" si="513"/>
        <v>0</v>
      </c>
      <c r="Y245" s="22">
        <f t="shared" si="538"/>
        <v>0</v>
      </c>
      <c r="Z245" s="122">
        <f t="shared" si="514"/>
        <v>0</v>
      </c>
      <c r="AA245" s="17">
        <f t="shared" si="515"/>
        <v>0</v>
      </c>
      <c r="AB245">
        <f t="shared" si="516"/>
        <v>0</v>
      </c>
      <c r="AC245">
        <f t="shared" si="517"/>
        <v>0</v>
      </c>
      <c r="AD245">
        <f t="shared" si="518"/>
        <v>0</v>
      </c>
      <c r="AE245">
        <f t="shared" si="519"/>
        <v>0</v>
      </c>
      <c r="AF245">
        <f t="shared" si="520"/>
        <v>0</v>
      </c>
      <c r="AG245">
        <f t="shared" si="521"/>
        <v>0</v>
      </c>
      <c r="AH245">
        <f t="shared" si="522"/>
        <v>0</v>
      </c>
      <c r="AI245">
        <f t="shared" si="523"/>
        <v>0</v>
      </c>
      <c r="AJ245">
        <f t="shared" si="524"/>
        <v>0</v>
      </c>
      <c r="AK245">
        <f t="shared" si="525"/>
        <v>0</v>
      </c>
      <c r="AL245">
        <f t="shared" si="526"/>
        <v>0</v>
      </c>
      <c r="AM245">
        <f t="shared" si="527"/>
        <v>0</v>
      </c>
      <c r="AN245">
        <f t="shared" si="528"/>
        <v>0</v>
      </c>
      <c r="AO245">
        <f t="shared" si="529"/>
        <v>0</v>
      </c>
      <c r="AP245">
        <f t="shared" si="530"/>
        <v>0</v>
      </c>
      <c r="AQ245">
        <f t="shared" si="531"/>
        <v>0</v>
      </c>
      <c r="AR245">
        <f t="shared" si="532"/>
        <v>0</v>
      </c>
      <c r="AS245">
        <f t="shared" si="533"/>
        <v>0</v>
      </c>
      <c r="AT245">
        <f t="shared" si="534"/>
        <v>0</v>
      </c>
      <c r="AU245">
        <f t="shared" si="535"/>
        <v>0</v>
      </c>
      <c r="AV245">
        <f t="shared" si="536"/>
        <v>0</v>
      </c>
      <c r="AW245" s="23">
        <f t="shared" si="537"/>
        <v>0</v>
      </c>
      <c r="AX245" s="24">
        <f t="shared" si="539"/>
        <v>0</v>
      </c>
      <c r="AY245" s="121">
        <f t="shared" si="540"/>
        <v>0</v>
      </c>
      <c r="AZ245" s="124">
        <f t="shared" si="541"/>
        <v>0</v>
      </c>
      <c r="BA245" s="199"/>
      <c r="BB245" s="198"/>
      <c r="BC245" s="200"/>
      <c r="BD245" s="24"/>
      <c r="BE245" s="23"/>
      <c r="BF245" s="203"/>
      <c r="BG245" s="204"/>
    </row>
    <row r="246" spans="1:59">
      <c r="A246" s="19">
        <f>B!$E$334</f>
        <v>0</v>
      </c>
      <c r="B246" s="20">
        <f>'C'!G99</f>
        <v>0</v>
      </c>
      <c r="C246" s="20">
        <f>D!G99</f>
        <v>0</v>
      </c>
      <c r="D246" s="20">
        <f>E!G99</f>
        <v>0</v>
      </c>
      <c r="E246" s="20">
        <f>F!G99</f>
        <v>0</v>
      </c>
      <c r="F246" s="20">
        <f>G!G99</f>
        <v>0</v>
      </c>
      <c r="G246" s="20">
        <f>H!G99</f>
        <v>0</v>
      </c>
      <c r="H246" s="20">
        <f>I!G99</f>
        <v>0</v>
      </c>
      <c r="I246" s="20">
        <f>J!G99</f>
        <v>0</v>
      </c>
      <c r="J246" s="20">
        <f>K!G99</f>
        <v>0</v>
      </c>
      <c r="K246" s="20">
        <f>L!G99</f>
        <v>0</v>
      </c>
      <c r="L246" s="20">
        <f>M!G99</f>
        <v>0</v>
      </c>
      <c r="M246" s="20">
        <f>N!G99</f>
        <v>0</v>
      </c>
      <c r="N246" s="20">
        <f>O!G99</f>
        <v>0</v>
      </c>
      <c r="O246" s="20">
        <f>P!G99</f>
        <v>0</v>
      </c>
      <c r="P246" s="20">
        <f>Q!G99</f>
        <v>0</v>
      </c>
      <c r="Q246" s="20">
        <f>'R'!G99</f>
        <v>0</v>
      </c>
      <c r="R246" s="20">
        <f>S!G99</f>
        <v>0</v>
      </c>
      <c r="S246" s="20">
        <f>T!G99</f>
        <v>0</v>
      </c>
      <c r="T246" s="20">
        <f>U!G99</f>
        <v>0</v>
      </c>
      <c r="U246" s="20">
        <f>V!G99</f>
        <v>0</v>
      </c>
      <c r="V246" s="20">
        <f>W!G99</f>
        <v>0</v>
      </c>
      <c r="W246" s="20">
        <f>X!G99</f>
        <v>0</v>
      </c>
      <c r="X246" s="21">
        <f t="shared" si="513"/>
        <v>0</v>
      </c>
      <c r="Y246" s="22">
        <f t="shared" si="538"/>
        <v>0</v>
      </c>
      <c r="Z246" s="122">
        <f t="shared" si="514"/>
        <v>0</v>
      </c>
      <c r="AA246" s="17">
        <f t="shared" si="515"/>
        <v>0</v>
      </c>
      <c r="AB246">
        <f t="shared" si="516"/>
        <v>0</v>
      </c>
      <c r="AC246">
        <f t="shared" si="517"/>
        <v>0</v>
      </c>
      <c r="AD246">
        <f t="shared" si="518"/>
        <v>0</v>
      </c>
      <c r="AE246">
        <f t="shared" si="519"/>
        <v>0</v>
      </c>
      <c r="AF246">
        <f t="shared" si="520"/>
        <v>0</v>
      </c>
      <c r="AG246">
        <f t="shared" si="521"/>
        <v>0</v>
      </c>
      <c r="AH246">
        <f t="shared" si="522"/>
        <v>0</v>
      </c>
      <c r="AI246">
        <f t="shared" si="523"/>
        <v>0</v>
      </c>
      <c r="AJ246">
        <f t="shared" si="524"/>
        <v>0</v>
      </c>
      <c r="AK246">
        <f t="shared" si="525"/>
        <v>0</v>
      </c>
      <c r="AL246">
        <f t="shared" si="526"/>
        <v>0</v>
      </c>
      <c r="AM246">
        <f t="shared" si="527"/>
        <v>0</v>
      </c>
      <c r="AN246">
        <f t="shared" si="528"/>
        <v>0</v>
      </c>
      <c r="AO246">
        <f t="shared" si="529"/>
        <v>0</v>
      </c>
      <c r="AP246">
        <f t="shared" si="530"/>
        <v>0</v>
      </c>
      <c r="AQ246">
        <f t="shared" si="531"/>
        <v>0</v>
      </c>
      <c r="AR246">
        <f t="shared" si="532"/>
        <v>0</v>
      </c>
      <c r="AS246">
        <f t="shared" si="533"/>
        <v>0</v>
      </c>
      <c r="AT246">
        <f t="shared" si="534"/>
        <v>0</v>
      </c>
      <c r="AU246">
        <f t="shared" si="535"/>
        <v>0</v>
      </c>
      <c r="AV246">
        <f t="shared" si="536"/>
        <v>0</v>
      </c>
      <c r="AW246" s="23">
        <f t="shared" si="537"/>
        <v>0</v>
      </c>
      <c r="AX246" s="24">
        <f t="shared" si="539"/>
        <v>0</v>
      </c>
      <c r="AY246" s="121">
        <f t="shared" si="540"/>
        <v>0</v>
      </c>
      <c r="AZ246" s="124">
        <f t="shared" si="541"/>
        <v>0</v>
      </c>
      <c r="BA246" s="199"/>
      <c r="BB246" s="198"/>
      <c r="BC246" s="200"/>
      <c r="BD246" s="24"/>
      <c r="BE246" s="23"/>
      <c r="BF246" s="203"/>
      <c r="BG246" s="204"/>
    </row>
    <row r="247" spans="1:59">
      <c r="A247" s="19">
        <f>B!$E$339</f>
        <v>0</v>
      </c>
      <c r="B247" s="20">
        <f>'C'!G100</f>
        <v>0</v>
      </c>
      <c r="C247" s="20">
        <f>D!G100</f>
        <v>0</v>
      </c>
      <c r="D247" s="20">
        <f>E!G100</f>
        <v>0</v>
      </c>
      <c r="E247" s="20">
        <f>F!G100</f>
        <v>0</v>
      </c>
      <c r="F247" s="20">
        <f>G!G100</f>
        <v>0</v>
      </c>
      <c r="G247" s="20">
        <f>H!G100</f>
        <v>0</v>
      </c>
      <c r="H247" s="20">
        <f>I!G100</f>
        <v>0</v>
      </c>
      <c r="I247" s="20">
        <f>J!G100</f>
        <v>0</v>
      </c>
      <c r="J247" s="20">
        <f>K!G100</f>
        <v>0</v>
      </c>
      <c r="K247" s="20">
        <f>L!G100</f>
        <v>0</v>
      </c>
      <c r="L247" s="20">
        <f>M!G100</f>
        <v>0</v>
      </c>
      <c r="M247" s="20">
        <f>N!G100</f>
        <v>0</v>
      </c>
      <c r="N247" s="20">
        <f>O!G100</f>
        <v>0</v>
      </c>
      <c r="O247" s="20">
        <f>P!G100</f>
        <v>0</v>
      </c>
      <c r="P247" s="20">
        <f>Q!G100</f>
        <v>0</v>
      </c>
      <c r="Q247" s="20">
        <f>'R'!G100</f>
        <v>0</v>
      </c>
      <c r="R247" s="20">
        <f>S!G100</f>
        <v>0</v>
      </c>
      <c r="S247" s="20">
        <f>T!G100</f>
        <v>0</v>
      </c>
      <c r="T247" s="20">
        <f>U!G100</f>
        <v>0</v>
      </c>
      <c r="U247" s="20">
        <f>V!G100</f>
        <v>0</v>
      </c>
      <c r="V247" s="20">
        <f>W!G100</f>
        <v>0</v>
      </c>
      <c r="W247" s="20">
        <f>X!G100</f>
        <v>0</v>
      </c>
      <c r="X247" s="21">
        <f t="shared" si="513"/>
        <v>0</v>
      </c>
      <c r="Y247" s="22">
        <f t="shared" si="538"/>
        <v>0</v>
      </c>
      <c r="Z247" s="122">
        <f t="shared" si="514"/>
        <v>0</v>
      </c>
      <c r="AA247" s="17">
        <f t="shared" si="515"/>
        <v>0</v>
      </c>
      <c r="AB247">
        <f t="shared" si="516"/>
        <v>0</v>
      </c>
      <c r="AC247">
        <f t="shared" si="517"/>
        <v>0</v>
      </c>
      <c r="AD247">
        <f t="shared" si="518"/>
        <v>0</v>
      </c>
      <c r="AE247">
        <f t="shared" si="519"/>
        <v>0</v>
      </c>
      <c r="AF247">
        <f t="shared" si="520"/>
        <v>0</v>
      </c>
      <c r="AG247">
        <f t="shared" si="521"/>
        <v>0</v>
      </c>
      <c r="AH247">
        <f t="shared" si="522"/>
        <v>0</v>
      </c>
      <c r="AI247">
        <f t="shared" si="523"/>
        <v>0</v>
      </c>
      <c r="AJ247">
        <f t="shared" si="524"/>
        <v>0</v>
      </c>
      <c r="AK247">
        <f t="shared" si="525"/>
        <v>0</v>
      </c>
      <c r="AL247">
        <f t="shared" si="526"/>
        <v>0</v>
      </c>
      <c r="AM247">
        <f t="shared" si="527"/>
        <v>0</v>
      </c>
      <c r="AN247">
        <f t="shared" si="528"/>
        <v>0</v>
      </c>
      <c r="AO247">
        <f t="shared" si="529"/>
        <v>0</v>
      </c>
      <c r="AP247">
        <f t="shared" si="530"/>
        <v>0</v>
      </c>
      <c r="AQ247">
        <f t="shared" si="531"/>
        <v>0</v>
      </c>
      <c r="AR247">
        <f t="shared" si="532"/>
        <v>0</v>
      </c>
      <c r="AS247">
        <f t="shared" si="533"/>
        <v>0</v>
      </c>
      <c r="AT247">
        <f t="shared" si="534"/>
        <v>0</v>
      </c>
      <c r="AU247">
        <f t="shared" si="535"/>
        <v>0</v>
      </c>
      <c r="AV247">
        <f t="shared" si="536"/>
        <v>0</v>
      </c>
      <c r="AW247" s="23">
        <f t="shared" si="537"/>
        <v>0</v>
      </c>
      <c r="AX247" s="24">
        <f t="shared" si="539"/>
        <v>0</v>
      </c>
      <c r="AY247" s="121">
        <f t="shared" si="540"/>
        <v>0</v>
      </c>
      <c r="AZ247" s="124">
        <f t="shared" si="541"/>
        <v>0</v>
      </c>
      <c r="BA247" s="199"/>
      <c r="BB247" s="198"/>
      <c r="BC247" s="200"/>
      <c r="BD247" s="24"/>
      <c r="BE247" s="23"/>
      <c r="BF247" s="203"/>
      <c r="BG247" s="204"/>
    </row>
    <row r="248" spans="1:59">
      <c r="A248" s="19">
        <f>B!$E$344</f>
        <v>0</v>
      </c>
      <c r="B248" s="20">
        <f>'C'!G101</f>
        <v>0</v>
      </c>
      <c r="C248" s="20">
        <f>D!G101</f>
        <v>0</v>
      </c>
      <c r="D248" s="20">
        <f>E!G101</f>
        <v>0</v>
      </c>
      <c r="E248" s="20">
        <f>F!G101</f>
        <v>0</v>
      </c>
      <c r="F248" s="20">
        <f>G!G101</f>
        <v>0</v>
      </c>
      <c r="G248" s="20">
        <f>H!G101</f>
        <v>0</v>
      </c>
      <c r="H248" s="20">
        <f>I!G101</f>
        <v>0</v>
      </c>
      <c r="I248" s="20">
        <f>J!G101</f>
        <v>0</v>
      </c>
      <c r="J248" s="20">
        <f>K!G101</f>
        <v>0</v>
      </c>
      <c r="K248" s="20">
        <f>L!G101</f>
        <v>0</v>
      </c>
      <c r="L248" s="20">
        <f>M!G101</f>
        <v>0</v>
      </c>
      <c r="M248" s="20">
        <f>N!G101</f>
        <v>0</v>
      </c>
      <c r="N248" s="20">
        <f>O!G101</f>
        <v>0</v>
      </c>
      <c r="O248" s="20">
        <f>P!G101</f>
        <v>0</v>
      </c>
      <c r="P248" s="20">
        <f>Q!G101</f>
        <v>0</v>
      </c>
      <c r="Q248" s="20">
        <f>'R'!G101</f>
        <v>0</v>
      </c>
      <c r="R248" s="20">
        <f>S!G101</f>
        <v>0</v>
      </c>
      <c r="S248" s="20">
        <f>T!G101</f>
        <v>0</v>
      </c>
      <c r="T248" s="20">
        <f>U!G101</f>
        <v>0</v>
      </c>
      <c r="U248" s="20">
        <f>V!G101</f>
        <v>0</v>
      </c>
      <c r="V248" s="20">
        <f>W!G101</f>
        <v>0</v>
      </c>
      <c r="W248" s="20">
        <f>X!G101</f>
        <v>0</v>
      </c>
      <c r="X248" s="21">
        <f t="shared" si="513"/>
        <v>0</v>
      </c>
      <c r="Y248" s="22">
        <f t="shared" si="538"/>
        <v>0</v>
      </c>
      <c r="Z248" s="122">
        <f t="shared" si="514"/>
        <v>0</v>
      </c>
      <c r="AA248" s="17">
        <f t="shared" si="515"/>
        <v>0</v>
      </c>
      <c r="AB248">
        <f t="shared" si="516"/>
        <v>0</v>
      </c>
      <c r="AC248">
        <f t="shared" si="517"/>
        <v>0</v>
      </c>
      <c r="AD248">
        <f t="shared" si="518"/>
        <v>0</v>
      </c>
      <c r="AE248">
        <f t="shared" si="519"/>
        <v>0</v>
      </c>
      <c r="AF248">
        <f t="shared" si="520"/>
        <v>0</v>
      </c>
      <c r="AG248">
        <f t="shared" si="521"/>
        <v>0</v>
      </c>
      <c r="AH248">
        <f t="shared" si="522"/>
        <v>0</v>
      </c>
      <c r="AI248">
        <f t="shared" si="523"/>
        <v>0</v>
      </c>
      <c r="AJ248">
        <f t="shared" si="524"/>
        <v>0</v>
      </c>
      <c r="AK248">
        <f t="shared" si="525"/>
        <v>0</v>
      </c>
      <c r="AL248">
        <f t="shared" si="526"/>
        <v>0</v>
      </c>
      <c r="AM248">
        <f t="shared" si="527"/>
        <v>0</v>
      </c>
      <c r="AN248">
        <f t="shared" si="528"/>
        <v>0</v>
      </c>
      <c r="AO248">
        <f t="shared" si="529"/>
        <v>0</v>
      </c>
      <c r="AP248">
        <f t="shared" si="530"/>
        <v>0</v>
      </c>
      <c r="AQ248">
        <f t="shared" si="531"/>
        <v>0</v>
      </c>
      <c r="AR248">
        <f t="shared" si="532"/>
        <v>0</v>
      </c>
      <c r="AS248">
        <f t="shared" si="533"/>
        <v>0</v>
      </c>
      <c r="AT248">
        <f t="shared" si="534"/>
        <v>0</v>
      </c>
      <c r="AU248">
        <f t="shared" si="535"/>
        <v>0</v>
      </c>
      <c r="AV248">
        <f t="shared" si="536"/>
        <v>0</v>
      </c>
      <c r="AW248" s="23">
        <f t="shared" si="537"/>
        <v>0</v>
      </c>
      <c r="AX248" s="24">
        <f t="shared" si="539"/>
        <v>0</v>
      </c>
      <c r="AY248" s="121">
        <f t="shared" si="540"/>
        <v>0</v>
      </c>
      <c r="AZ248" s="124">
        <f t="shared" si="541"/>
        <v>0</v>
      </c>
      <c r="BA248" s="199"/>
      <c r="BB248" s="198"/>
      <c r="BC248" s="200"/>
      <c r="BD248" s="24"/>
      <c r="BE248" s="23"/>
      <c r="BF248" s="203"/>
      <c r="BG248" s="204"/>
    </row>
    <row r="249" spans="1:59">
      <c r="A249" s="19">
        <f>B!$E$349</f>
        <v>0</v>
      </c>
      <c r="B249" s="20">
        <f>'C'!G102</f>
        <v>0</v>
      </c>
      <c r="C249" s="20">
        <f>D!G102</f>
        <v>0</v>
      </c>
      <c r="D249" s="20">
        <f>E!G102</f>
        <v>0</v>
      </c>
      <c r="E249" s="20">
        <f>F!G102</f>
        <v>0</v>
      </c>
      <c r="F249" s="20">
        <f>G!G102</f>
        <v>0</v>
      </c>
      <c r="G249" s="20">
        <f>H!G102</f>
        <v>0</v>
      </c>
      <c r="H249" s="20">
        <f>I!G102</f>
        <v>0</v>
      </c>
      <c r="I249" s="20">
        <f>J!G102</f>
        <v>0</v>
      </c>
      <c r="J249" s="20">
        <f>K!G102</f>
        <v>0</v>
      </c>
      <c r="K249" s="20">
        <f>L!G102</f>
        <v>0</v>
      </c>
      <c r="L249" s="20">
        <f>M!G102</f>
        <v>0</v>
      </c>
      <c r="M249" s="20">
        <f>N!G102</f>
        <v>0</v>
      </c>
      <c r="N249" s="20">
        <f>O!G102</f>
        <v>0</v>
      </c>
      <c r="O249" s="20">
        <f>P!G102</f>
        <v>0</v>
      </c>
      <c r="P249" s="20">
        <f>Q!G102</f>
        <v>0</v>
      </c>
      <c r="Q249" s="20">
        <f>'R'!G102</f>
        <v>0</v>
      </c>
      <c r="R249" s="20">
        <f>S!G102</f>
        <v>0</v>
      </c>
      <c r="S249" s="20">
        <f>T!G102</f>
        <v>0</v>
      </c>
      <c r="T249" s="20">
        <f>U!G102</f>
        <v>0</v>
      </c>
      <c r="U249" s="20">
        <f>V!G102</f>
        <v>0</v>
      </c>
      <c r="V249" s="20">
        <f>W!G102</f>
        <v>0</v>
      </c>
      <c r="W249" s="20">
        <f>X!G102</f>
        <v>0</v>
      </c>
      <c r="X249" s="21">
        <f t="shared" si="513"/>
        <v>0</v>
      </c>
      <c r="Y249" s="22">
        <f t="shared" si="538"/>
        <v>0</v>
      </c>
      <c r="Z249" s="122">
        <f t="shared" si="514"/>
        <v>0</v>
      </c>
      <c r="AA249" s="17">
        <f t="shared" si="515"/>
        <v>0</v>
      </c>
      <c r="AB249">
        <f t="shared" si="516"/>
        <v>0</v>
      </c>
      <c r="AC249">
        <f t="shared" si="517"/>
        <v>0</v>
      </c>
      <c r="AD249">
        <f t="shared" si="518"/>
        <v>0</v>
      </c>
      <c r="AE249">
        <f t="shared" si="519"/>
        <v>0</v>
      </c>
      <c r="AF249">
        <f t="shared" si="520"/>
        <v>0</v>
      </c>
      <c r="AG249">
        <f t="shared" si="521"/>
        <v>0</v>
      </c>
      <c r="AH249">
        <f t="shared" si="522"/>
        <v>0</v>
      </c>
      <c r="AI249">
        <f t="shared" si="523"/>
        <v>0</v>
      </c>
      <c r="AJ249">
        <f t="shared" si="524"/>
        <v>0</v>
      </c>
      <c r="AK249">
        <f t="shared" si="525"/>
        <v>0</v>
      </c>
      <c r="AL249">
        <f t="shared" si="526"/>
        <v>0</v>
      </c>
      <c r="AM249">
        <f t="shared" si="527"/>
        <v>0</v>
      </c>
      <c r="AN249">
        <f t="shared" si="528"/>
        <v>0</v>
      </c>
      <c r="AO249">
        <f t="shared" si="529"/>
        <v>0</v>
      </c>
      <c r="AP249">
        <f t="shared" si="530"/>
        <v>0</v>
      </c>
      <c r="AQ249">
        <f t="shared" si="531"/>
        <v>0</v>
      </c>
      <c r="AR249">
        <f t="shared" si="532"/>
        <v>0</v>
      </c>
      <c r="AS249">
        <f t="shared" si="533"/>
        <v>0</v>
      </c>
      <c r="AT249">
        <f t="shared" si="534"/>
        <v>0</v>
      </c>
      <c r="AU249">
        <f t="shared" si="535"/>
        <v>0</v>
      </c>
      <c r="AV249">
        <f t="shared" si="536"/>
        <v>0</v>
      </c>
      <c r="AW249" s="23">
        <f t="shared" si="537"/>
        <v>0</v>
      </c>
      <c r="AX249" s="24">
        <f t="shared" si="539"/>
        <v>0</v>
      </c>
      <c r="AY249" s="121">
        <f t="shared" si="540"/>
        <v>0</v>
      </c>
      <c r="AZ249" s="124">
        <f t="shared" si="541"/>
        <v>0</v>
      </c>
      <c r="BA249" s="199"/>
      <c r="BB249" s="198"/>
      <c r="BC249" s="200"/>
      <c r="BD249" s="24"/>
      <c r="BE249" s="23"/>
      <c r="BF249" s="203"/>
      <c r="BG249" s="204"/>
    </row>
    <row r="250" spans="1:59" ht="15.75" thickBot="1">
      <c r="A250" s="19">
        <f>B!$E$354</f>
        <v>0</v>
      </c>
      <c r="B250" s="20">
        <f>'C'!G103</f>
        <v>0</v>
      </c>
      <c r="C250" s="20">
        <f>D!G103</f>
        <v>0</v>
      </c>
      <c r="D250" s="20">
        <f>E!G103</f>
        <v>0</v>
      </c>
      <c r="E250" s="20">
        <f>F!G103</f>
        <v>0</v>
      </c>
      <c r="F250" s="20">
        <f>G!G103</f>
        <v>0</v>
      </c>
      <c r="G250" s="20">
        <f>H!G103</f>
        <v>0</v>
      </c>
      <c r="H250" s="20">
        <f>I!G103</f>
        <v>0</v>
      </c>
      <c r="I250" s="20">
        <f>J!G103</f>
        <v>0</v>
      </c>
      <c r="J250" s="20">
        <f>K!G103</f>
        <v>0</v>
      </c>
      <c r="K250" s="20">
        <f>L!G103</f>
        <v>0</v>
      </c>
      <c r="L250" s="20">
        <f>M!G103</f>
        <v>0</v>
      </c>
      <c r="M250" s="20">
        <f>N!G103</f>
        <v>0</v>
      </c>
      <c r="N250" s="20">
        <f>O!G103</f>
        <v>0</v>
      </c>
      <c r="O250" s="20">
        <f>P!G103</f>
        <v>0</v>
      </c>
      <c r="P250" s="20">
        <f>Q!G103</f>
        <v>0</v>
      </c>
      <c r="Q250" s="20">
        <f>'R'!G103</f>
        <v>0</v>
      </c>
      <c r="R250" s="20">
        <f>S!G103</f>
        <v>0</v>
      </c>
      <c r="S250" s="20">
        <f>T!G103</f>
        <v>0</v>
      </c>
      <c r="T250" s="20">
        <f>U!G103</f>
        <v>0</v>
      </c>
      <c r="U250" s="20">
        <f>V!G103</f>
        <v>0</v>
      </c>
      <c r="V250" s="20">
        <f>W!G103</f>
        <v>0</v>
      </c>
      <c r="W250" s="20">
        <f>X!G103</f>
        <v>0</v>
      </c>
      <c r="X250" s="21">
        <f t="shared" si="513"/>
        <v>0</v>
      </c>
      <c r="Y250" s="22">
        <f t="shared" si="538"/>
        <v>0</v>
      </c>
      <c r="Z250" s="122">
        <f t="shared" si="514"/>
        <v>0</v>
      </c>
      <c r="AA250" s="17">
        <f t="shared" si="515"/>
        <v>0</v>
      </c>
      <c r="AB250">
        <f t="shared" si="516"/>
        <v>0</v>
      </c>
      <c r="AC250">
        <f t="shared" si="517"/>
        <v>0</v>
      </c>
      <c r="AD250">
        <f t="shared" si="518"/>
        <v>0</v>
      </c>
      <c r="AE250">
        <f t="shared" si="519"/>
        <v>0</v>
      </c>
      <c r="AF250">
        <f t="shared" si="520"/>
        <v>0</v>
      </c>
      <c r="AG250">
        <f t="shared" si="521"/>
        <v>0</v>
      </c>
      <c r="AH250">
        <f t="shared" si="522"/>
        <v>0</v>
      </c>
      <c r="AI250">
        <f t="shared" si="523"/>
        <v>0</v>
      </c>
      <c r="AJ250">
        <f t="shared" si="524"/>
        <v>0</v>
      </c>
      <c r="AK250">
        <f t="shared" si="525"/>
        <v>0</v>
      </c>
      <c r="AL250">
        <f t="shared" si="526"/>
        <v>0</v>
      </c>
      <c r="AM250">
        <f t="shared" si="527"/>
        <v>0</v>
      </c>
      <c r="AN250">
        <f t="shared" si="528"/>
        <v>0</v>
      </c>
      <c r="AO250">
        <f t="shared" si="529"/>
        <v>0</v>
      </c>
      <c r="AP250">
        <f t="shared" si="530"/>
        <v>0</v>
      </c>
      <c r="AQ250">
        <f t="shared" si="531"/>
        <v>0</v>
      </c>
      <c r="AR250">
        <f t="shared" si="532"/>
        <v>0</v>
      </c>
      <c r="AS250">
        <f t="shared" si="533"/>
        <v>0</v>
      </c>
      <c r="AT250">
        <f t="shared" si="534"/>
        <v>0</v>
      </c>
      <c r="AU250">
        <f t="shared" si="535"/>
        <v>0</v>
      </c>
      <c r="AV250">
        <f t="shared" si="536"/>
        <v>0</v>
      </c>
      <c r="AW250" s="23">
        <f t="shared" si="537"/>
        <v>0</v>
      </c>
      <c r="AX250" s="24">
        <f t="shared" si="539"/>
        <v>0</v>
      </c>
      <c r="AY250" s="121">
        <f t="shared" si="540"/>
        <v>0</v>
      </c>
      <c r="AZ250" s="124">
        <f t="shared" si="541"/>
        <v>0</v>
      </c>
      <c r="BA250" s="199"/>
      <c r="BB250" s="198"/>
      <c r="BC250" s="200"/>
      <c r="BD250" s="24"/>
      <c r="BE250" s="23"/>
      <c r="BF250" s="203"/>
      <c r="BG250" s="204"/>
    </row>
    <row r="251" spans="1:59" ht="15.75" thickTop="1">
      <c r="A251" s="133" t="s">
        <v>134</v>
      </c>
      <c r="B251" s="134">
        <f t="shared" ref="B251:W251" si="542">SUM(B243:B250)</f>
        <v>0</v>
      </c>
      <c r="C251" s="134">
        <f t="shared" si="542"/>
        <v>0</v>
      </c>
      <c r="D251" s="134">
        <f t="shared" si="542"/>
        <v>0</v>
      </c>
      <c r="E251" s="134">
        <f t="shared" si="542"/>
        <v>0</v>
      </c>
      <c r="F251" s="134">
        <f t="shared" si="542"/>
        <v>0</v>
      </c>
      <c r="G251" s="134">
        <f t="shared" si="542"/>
        <v>0</v>
      </c>
      <c r="H251" s="134">
        <f t="shared" si="542"/>
        <v>0</v>
      </c>
      <c r="I251" s="134">
        <f t="shared" si="542"/>
        <v>0</v>
      </c>
      <c r="J251" s="134">
        <f t="shared" si="542"/>
        <v>0</v>
      </c>
      <c r="K251" s="134">
        <f t="shared" si="542"/>
        <v>0</v>
      </c>
      <c r="L251" s="134">
        <f t="shared" si="542"/>
        <v>0</v>
      </c>
      <c r="M251" s="134">
        <f t="shared" si="542"/>
        <v>0</v>
      </c>
      <c r="N251" s="134">
        <f t="shared" si="542"/>
        <v>0</v>
      </c>
      <c r="O251" s="134">
        <f t="shared" si="542"/>
        <v>0</v>
      </c>
      <c r="P251" s="134">
        <f t="shared" si="542"/>
        <v>0</v>
      </c>
      <c r="Q251" s="134">
        <f t="shared" si="542"/>
        <v>0</v>
      </c>
      <c r="R251" s="134">
        <f t="shared" si="542"/>
        <v>0</v>
      </c>
      <c r="S251" s="134">
        <f t="shared" si="542"/>
        <v>0</v>
      </c>
      <c r="T251" s="134">
        <f t="shared" si="542"/>
        <v>0</v>
      </c>
      <c r="U251" s="134">
        <f t="shared" si="542"/>
        <v>0</v>
      </c>
      <c r="V251" s="134">
        <f t="shared" si="542"/>
        <v>0</v>
      </c>
      <c r="W251" s="134">
        <f t="shared" si="542"/>
        <v>0</v>
      </c>
      <c r="X251" s="135">
        <f t="shared" si="513"/>
        <v>0</v>
      </c>
      <c r="Y251" s="137">
        <f>IF(X251=0,0,X251/AW251)</f>
        <v>0</v>
      </c>
      <c r="Z251" s="122"/>
      <c r="AA251" s="138">
        <f t="shared" ref="AA251:AV251" si="543">SUM(AA243:AA250)</f>
        <v>0</v>
      </c>
      <c r="AB251" s="11">
        <f t="shared" si="543"/>
        <v>0</v>
      </c>
      <c r="AC251" s="11">
        <f t="shared" si="543"/>
        <v>0</v>
      </c>
      <c r="AD251" s="11">
        <f t="shared" si="543"/>
        <v>0</v>
      </c>
      <c r="AE251" s="11">
        <f t="shared" si="543"/>
        <v>0</v>
      </c>
      <c r="AF251" s="11">
        <f t="shared" si="543"/>
        <v>0</v>
      </c>
      <c r="AG251" s="11">
        <f t="shared" si="543"/>
        <v>0</v>
      </c>
      <c r="AH251" s="11">
        <f t="shared" si="543"/>
        <v>0</v>
      </c>
      <c r="AI251" s="11">
        <f t="shared" si="543"/>
        <v>0</v>
      </c>
      <c r="AJ251" s="11">
        <f t="shared" si="543"/>
        <v>0</v>
      </c>
      <c r="AK251" s="11">
        <f t="shared" si="543"/>
        <v>0</v>
      </c>
      <c r="AL251" s="11">
        <f t="shared" si="543"/>
        <v>0</v>
      </c>
      <c r="AM251" s="11">
        <f t="shared" si="543"/>
        <v>0</v>
      </c>
      <c r="AN251" s="11">
        <f t="shared" si="543"/>
        <v>0</v>
      </c>
      <c r="AO251" s="11">
        <f t="shared" si="543"/>
        <v>0</v>
      </c>
      <c r="AP251" s="11">
        <f t="shared" si="543"/>
        <v>0</v>
      </c>
      <c r="AQ251" s="11">
        <f t="shared" si="543"/>
        <v>0</v>
      </c>
      <c r="AR251" s="11">
        <f t="shared" si="543"/>
        <v>0</v>
      </c>
      <c r="AS251" s="11">
        <f t="shared" si="543"/>
        <v>0</v>
      </c>
      <c r="AT251" s="11">
        <f t="shared" si="543"/>
        <v>0</v>
      </c>
      <c r="AU251" s="11">
        <f t="shared" si="543"/>
        <v>0</v>
      </c>
      <c r="AV251" s="11">
        <f t="shared" si="543"/>
        <v>0</v>
      </c>
      <c r="AW251" s="12">
        <f>MAXA(AW243:AW250)</f>
        <v>0</v>
      </c>
      <c r="AX251" s="24"/>
      <c r="AZ251" s="124"/>
      <c r="BA251" s="199"/>
      <c r="BB251" s="198"/>
      <c r="BC251" s="200"/>
      <c r="BD251" s="24"/>
      <c r="BE251" s="23"/>
      <c r="BF251" s="203"/>
      <c r="BG251" s="204"/>
    </row>
    <row r="252" spans="1:59" ht="16.5" thickBot="1">
      <c r="A252" s="105" t="s">
        <v>189</v>
      </c>
      <c r="B252" s="20">
        <f>'C'!G104</f>
        <v>0</v>
      </c>
      <c r="C252" s="20">
        <f>D!G104</f>
        <v>0</v>
      </c>
      <c r="D252" s="20">
        <f>E!G104</f>
        <v>0</v>
      </c>
      <c r="E252" s="20">
        <f>F!G104</f>
        <v>0</v>
      </c>
      <c r="F252" s="20">
        <f>G!G104</f>
        <v>0</v>
      </c>
      <c r="G252" s="20">
        <f>H!G104</f>
        <v>0</v>
      </c>
      <c r="H252" s="20">
        <f>I!G104</f>
        <v>0</v>
      </c>
      <c r="I252" s="20">
        <f>J!G104</f>
        <v>0</v>
      </c>
      <c r="J252" s="20">
        <f>K!G104</f>
        <v>0</v>
      </c>
      <c r="K252" s="20">
        <f>L!G104</f>
        <v>0</v>
      </c>
      <c r="L252" s="20">
        <f>M!G104</f>
        <v>0</v>
      </c>
      <c r="M252" s="20">
        <f>N!G104</f>
        <v>0</v>
      </c>
      <c r="N252" s="20">
        <f>O!G104</f>
        <v>0</v>
      </c>
      <c r="O252" s="20">
        <f>P!G104</f>
        <v>0</v>
      </c>
      <c r="P252" s="20">
        <f>Q!G104</f>
        <v>0</v>
      </c>
      <c r="Q252" s="20">
        <f>'R'!G104</f>
        <v>0</v>
      </c>
      <c r="R252" s="20">
        <f>S!G104</f>
        <v>0</v>
      </c>
      <c r="S252" s="20">
        <f>T!G104</f>
        <v>0</v>
      </c>
      <c r="T252" s="20">
        <f>U!G104</f>
        <v>0</v>
      </c>
      <c r="U252" s="20">
        <f>V!G104</f>
        <v>0</v>
      </c>
      <c r="V252" s="20">
        <f>W!G104</f>
        <v>0</v>
      </c>
      <c r="W252" s="20">
        <f>X!G104</f>
        <v>0</v>
      </c>
      <c r="X252" s="21">
        <f t="shared" si="513"/>
        <v>0</v>
      </c>
      <c r="Y252" s="120"/>
      <c r="Z252" s="122"/>
      <c r="AA252" s="17"/>
      <c r="AW252" s="23"/>
      <c r="AX252" s="24"/>
      <c r="AZ252" s="124"/>
      <c r="BA252" s="199"/>
      <c r="BB252" s="198"/>
      <c r="BC252" s="200"/>
      <c r="BD252" s="24"/>
      <c r="BE252" s="23"/>
      <c r="BF252" s="203"/>
      <c r="BG252" s="204"/>
    </row>
    <row r="253" spans="1:59" ht="16.5" thickTop="1" thickBot="1">
      <c r="A253" s="100" t="s">
        <v>53</v>
      </c>
      <c r="B253" s="68">
        <f t="shared" ref="B253:W253" si="544">SUM(B251:B252)</f>
        <v>0</v>
      </c>
      <c r="C253" s="68">
        <f t="shared" si="544"/>
        <v>0</v>
      </c>
      <c r="D253" s="68">
        <f t="shared" si="544"/>
        <v>0</v>
      </c>
      <c r="E253" s="68">
        <f t="shared" si="544"/>
        <v>0</v>
      </c>
      <c r="F253" s="68">
        <f t="shared" si="544"/>
        <v>0</v>
      </c>
      <c r="G253" s="68">
        <f t="shared" si="544"/>
        <v>0</v>
      </c>
      <c r="H253" s="68">
        <f t="shared" si="544"/>
        <v>0</v>
      </c>
      <c r="I253" s="68">
        <f t="shared" si="544"/>
        <v>0</v>
      </c>
      <c r="J253" s="68">
        <f t="shared" si="544"/>
        <v>0</v>
      </c>
      <c r="K253" s="68">
        <f t="shared" si="544"/>
        <v>0</v>
      </c>
      <c r="L253" s="68">
        <f t="shared" si="544"/>
        <v>0</v>
      </c>
      <c r="M253" s="68">
        <f t="shared" si="544"/>
        <v>0</v>
      </c>
      <c r="N253" s="68">
        <f t="shared" si="544"/>
        <v>0</v>
      </c>
      <c r="O253" s="68">
        <f t="shared" si="544"/>
        <v>0</v>
      </c>
      <c r="P253" s="68">
        <f t="shared" si="544"/>
        <v>0</v>
      </c>
      <c r="Q253" s="68">
        <f t="shared" si="544"/>
        <v>0</v>
      </c>
      <c r="R253" s="68">
        <f t="shared" si="544"/>
        <v>0</v>
      </c>
      <c r="S253" s="68">
        <f t="shared" si="544"/>
        <v>0</v>
      </c>
      <c r="T253" s="68">
        <f t="shared" si="544"/>
        <v>0</v>
      </c>
      <c r="U253" s="68">
        <f t="shared" si="544"/>
        <v>0</v>
      </c>
      <c r="V253" s="68">
        <f t="shared" si="544"/>
        <v>0</v>
      </c>
      <c r="W253" s="68">
        <f t="shared" si="544"/>
        <v>0</v>
      </c>
      <c r="X253" s="28">
        <f t="shared" si="513"/>
        <v>0</v>
      </c>
      <c r="Y253" s="136"/>
      <c r="Z253" s="122"/>
      <c r="AA253" s="17"/>
      <c r="AW253" s="23"/>
      <c r="AX253" s="24"/>
      <c r="AZ253" s="124"/>
      <c r="BA253" s="199"/>
      <c r="BB253" s="198"/>
      <c r="BC253" s="200"/>
      <c r="BD253" s="24">
        <f>X253</f>
        <v>0</v>
      </c>
      <c r="BE253" s="23">
        <f>A242</f>
        <v>0</v>
      </c>
      <c r="BF253" s="203"/>
      <c r="BG253" s="204"/>
    </row>
    <row r="254" spans="1:59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22"/>
      <c r="AA254" s="17"/>
      <c r="AW254" s="23"/>
      <c r="AX254" s="24"/>
      <c r="AZ254" s="124"/>
      <c r="BA254" s="199"/>
      <c r="BB254" s="198"/>
      <c r="BC254" s="200"/>
      <c r="BD254" s="24"/>
      <c r="BE254" s="23"/>
      <c r="BF254" s="203"/>
      <c r="BG254" s="204"/>
    </row>
    <row r="255" spans="1:59" ht="15.75" thickBot="1">
      <c r="A255" s="7" t="s">
        <v>71</v>
      </c>
      <c r="B255" s="8" t="s">
        <v>27</v>
      </c>
      <c r="C255" s="8" t="s">
        <v>28</v>
      </c>
      <c r="D255" s="8" t="s">
        <v>29</v>
      </c>
      <c r="E255" s="8" t="s">
        <v>30</v>
      </c>
      <c r="F255" s="8" t="s">
        <v>31</v>
      </c>
      <c r="G255" s="8" t="s">
        <v>32</v>
      </c>
      <c r="H255" s="8" t="s">
        <v>33</v>
      </c>
      <c r="I255" s="8" t="s">
        <v>34</v>
      </c>
      <c r="J255" s="8" t="s">
        <v>35</v>
      </c>
      <c r="K255" s="8" t="s">
        <v>36</v>
      </c>
      <c r="L255" s="8" t="s">
        <v>37</v>
      </c>
      <c r="M255" s="8" t="s">
        <v>38</v>
      </c>
      <c r="N255" s="8" t="s">
        <v>39</v>
      </c>
      <c r="O255" s="8" t="s">
        <v>40</v>
      </c>
      <c r="P255" s="8" t="s">
        <v>41</v>
      </c>
      <c r="Q255" s="8" t="s">
        <v>42</v>
      </c>
      <c r="R255" s="8" t="s">
        <v>43</v>
      </c>
      <c r="S255" s="8" t="s">
        <v>44</v>
      </c>
      <c r="T255" s="8" t="s">
        <v>45</v>
      </c>
      <c r="U255" s="8" t="s">
        <v>46</v>
      </c>
      <c r="V255" s="8" t="s">
        <v>47</v>
      </c>
      <c r="W255" s="8" t="s">
        <v>48</v>
      </c>
      <c r="X255" s="1"/>
      <c r="Y255" s="1"/>
      <c r="Z255" s="3" t="str">
        <f>A255</f>
        <v>Team #19 Name:</v>
      </c>
      <c r="AA255" s="17"/>
      <c r="AW255" s="23"/>
      <c r="AX255" s="24"/>
      <c r="AZ255" s="124"/>
      <c r="BA255" s="199"/>
      <c r="BB255" s="198"/>
      <c r="BC255" s="200"/>
      <c r="BD255" s="24"/>
      <c r="BE255" s="23"/>
      <c r="BF255" s="203"/>
      <c r="BG255" s="204"/>
    </row>
    <row r="256" spans="1:59">
      <c r="A256" s="13">
        <f>B!$E$360</f>
        <v>0</v>
      </c>
      <c r="B256" s="29" t="s">
        <v>50</v>
      </c>
      <c r="C256" s="29" t="s">
        <v>50</v>
      </c>
      <c r="D256" s="29" t="s">
        <v>50</v>
      </c>
      <c r="E256" s="29" t="s">
        <v>50</v>
      </c>
      <c r="F256" s="29" t="s">
        <v>50</v>
      </c>
      <c r="G256" s="29" t="s">
        <v>50</v>
      </c>
      <c r="H256" s="29" t="s">
        <v>50</v>
      </c>
      <c r="I256" s="29" t="s">
        <v>50</v>
      </c>
      <c r="J256" s="29" t="s">
        <v>50</v>
      </c>
      <c r="K256" s="29" t="s">
        <v>50</v>
      </c>
      <c r="L256" s="29" t="s">
        <v>50</v>
      </c>
      <c r="M256" s="29" t="s">
        <v>50</v>
      </c>
      <c r="N256" s="29" t="s">
        <v>50</v>
      </c>
      <c r="O256" s="29" t="s">
        <v>50</v>
      </c>
      <c r="P256" s="29" t="s">
        <v>50</v>
      </c>
      <c r="Q256" s="29" t="s">
        <v>50</v>
      </c>
      <c r="R256" s="29" t="s">
        <v>50</v>
      </c>
      <c r="S256" s="29" t="s">
        <v>50</v>
      </c>
      <c r="T256" s="29" t="s">
        <v>50</v>
      </c>
      <c r="U256" s="29" t="s">
        <v>50</v>
      </c>
      <c r="V256" s="29" t="s">
        <v>50</v>
      </c>
      <c r="W256" s="29" t="s">
        <v>50</v>
      </c>
      <c r="X256" s="15" t="s">
        <v>51</v>
      </c>
      <c r="Y256" s="16" t="s">
        <v>52</v>
      </c>
      <c r="Z256" s="123">
        <f>A256</f>
        <v>0</v>
      </c>
      <c r="AA256" s="17"/>
      <c r="AW256" s="4" t="s">
        <v>97</v>
      </c>
      <c r="AX256" s="24"/>
      <c r="AZ256" s="124"/>
      <c r="BA256" s="199"/>
      <c r="BB256" s="198"/>
      <c r="BC256" s="200"/>
      <c r="BD256" s="24"/>
      <c r="BE256" s="23"/>
      <c r="BF256" s="203"/>
      <c r="BG256" s="204"/>
    </row>
    <row r="257" spans="1:59">
      <c r="A257" s="19">
        <f>B!$E$362</f>
        <v>0</v>
      </c>
      <c r="B257" s="20">
        <f>'C'!G109</f>
        <v>0</v>
      </c>
      <c r="C257" s="20">
        <f>D!G109</f>
        <v>0</v>
      </c>
      <c r="D257" s="20">
        <f>E!G109</f>
        <v>0</v>
      </c>
      <c r="E257" s="20">
        <f>F!G109</f>
        <v>0</v>
      </c>
      <c r="F257" s="20">
        <f>G!G109</f>
        <v>0</v>
      </c>
      <c r="G257" s="20">
        <f>H!G109</f>
        <v>0</v>
      </c>
      <c r="H257" s="20">
        <f>I!G109</f>
        <v>0</v>
      </c>
      <c r="I257" s="20">
        <f>J!G109</f>
        <v>0</v>
      </c>
      <c r="J257" s="20">
        <f>K!G109</f>
        <v>0</v>
      </c>
      <c r="K257" s="20">
        <f>L!G109</f>
        <v>0</v>
      </c>
      <c r="L257" s="20">
        <f>M!G109</f>
        <v>0</v>
      </c>
      <c r="M257" s="20">
        <f>N!G109</f>
        <v>0</v>
      </c>
      <c r="N257" s="20">
        <f>O!G109</f>
        <v>0</v>
      </c>
      <c r="O257" s="20">
        <f>P!G109</f>
        <v>0</v>
      </c>
      <c r="P257" s="20">
        <f>Q!G109</f>
        <v>0</v>
      </c>
      <c r="Q257" s="20">
        <f>'R'!G109</f>
        <v>0</v>
      </c>
      <c r="R257" s="20">
        <f>S!G109</f>
        <v>0</v>
      </c>
      <c r="S257" s="20">
        <f>T!G109</f>
        <v>0</v>
      </c>
      <c r="T257" s="20">
        <f>U!G109</f>
        <v>0</v>
      </c>
      <c r="U257" s="20">
        <f>V!G109</f>
        <v>0</v>
      </c>
      <c r="V257" s="20">
        <f>W!G109</f>
        <v>0</v>
      </c>
      <c r="W257" s="20">
        <f>X!G109</f>
        <v>0</v>
      </c>
      <c r="X257" s="21">
        <f t="shared" ref="X257:X267" si="545">SUM(B257:W257)</f>
        <v>0</v>
      </c>
      <c r="Y257" s="22">
        <f>IF(AW257=0,0,X257/AW257)</f>
        <v>0</v>
      </c>
      <c r="Z257" s="122">
        <f t="shared" si="514"/>
        <v>0</v>
      </c>
      <c r="AA257" s="17">
        <f t="shared" ref="AA257:AA264" si="546">IF(B257=0,0,1)</f>
        <v>0</v>
      </c>
      <c r="AB257">
        <f t="shared" ref="AB257:AB264" si="547">IF(C257=0,0,1)</f>
        <v>0</v>
      </c>
      <c r="AC257">
        <f t="shared" ref="AC257:AC264" si="548">IF(D257=0,0,1)</f>
        <v>0</v>
      </c>
      <c r="AD257">
        <f t="shared" ref="AD257:AD264" si="549">IF(E257=0,0,1)</f>
        <v>0</v>
      </c>
      <c r="AE257">
        <f t="shared" ref="AE257:AE264" si="550">IF(F257=0,0,1)</f>
        <v>0</v>
      </c>
      <c r="AF257">
        <f t="shared" ref="AF257:AF264" si="551">IF(G257=0,0,1)</f>
        <v>0</v>
      </c>
      <c r="AG257">
        <f t="shared" ref="AG257:AG264" si="552">IF(H257=0,0,1)</f>
        <v>0</v>
      </c>
      <c r="AH257">
        <f t="shared" ref="AH257:AH264" si="553">IF(I257=0,0,1)</f>
        <v>0</v>
      </c>
      <c r="AI257">
        <f t="shared" ref="AI257:AI264" si="554">IF(J257=0,0,1)</f>
        <v>0</v>
      </c>
      <c r="AJ257">
        <f t="shared" ref="AJ257:AJ264" si="555">IF(K257=0,0,1)</f>
        <v>0</v>
      </c>
      <c r="AK257">
        <f t="shared" ref="AK257:AK264" si="556">IF(L257=0,0,1)</f>
        <v>0</v>
      </c>
      <c r="AL257">
        <f t="shared" ref="AL257:AL264" si="557">IF(M257=0,0,1)</f>
        <v>0</v>
      </c>
      <c r="AM257">
        <f t="shared" ref="AM257:AM264" si="558">IF(N257=0,0,1)</f>
        <v>0</v>
      </c>
      <c r="AN257">
        <f t="shared" ref="AN257:AN264" si="559">IF(O257=0,0,1)</f>
        <v>0</v>
      </c>
      <c r="AO257">
        <f t="shared" ref="AO257:AO264" si="560">IF(P257=0,0,1)</f>
        <v>0</v>
      </c>
      <c r="AP257">
        <f t="shared" ref="AP257:AP264" si="561">IF(Q257=0,0,1)</f>
        <v>0</v>
      </c>
      <c r="AQ257">
        <f t="shared" ref="AQ257:AQ264" si="562">IF(R257=0,0,1)</f>
        <v>0</v>
      </c>
      <c r="AR257">
        <f t="shared" ref="AR257:AR264" si="563">IF(S257=0,0,1)</f>
        <v>0</v>
      </c>
      <c r="AS257">
        <f t="shared" ref="AS257:AS264" si="564">IF(T257=0,0,1)</f>
        <v>0</v>
      </c>
      <c r="AT257">
        <f t="shared" ref="AT257:AT264" si="565">IF(U257=0,0,1)</f>
        <v>0</v>
      </c>
      <c r="AU257">
        <f t="shared" ref="AU257:AU264" si="566">IF(V257=0,0,1)</f>
        <v>0</v>
      </c>
      <c r="AV257">
        <f t="shared" ref="AV257:AV264" si="567">IF(W257=0,0,1)</f>
        <v>0</v>
      </c>
      <c r="AW257" s="23">
        <f t="shared" ref="AW257:AW264" si="568">SUM(AA257:AV257)</f>
        <v>0</v>
      </c>
      <c r="AX257" s="24">
        <f>IF(X257=0,0,X257)</f>
        <v>0</v>
      </c>
      <c r="AY257" s="121">
        <f>IF(X257=0,0,A257)</f>
        <v>0</v>
      </c>
      <c r="AZ257" s="124">
        <f>IF(AX257=0,0,A$256)</f>
        <v>0</v>
      </c>
      <c r="BA257" s="199"/>
      <c r="BB257" s="198"/>
      <c r="BC257" s="200"/>
      <c r="BD257" s="24"/>
      <c r="BE257" s="23"/>
      <c r="BF257" s="203"/>
      <c r="BG257" s="204"/>
    </row>
    <row r="258" spans="1:59">
      <c r="A258" s="19">
        <f>B!$E$367</f>
        <v>0</v>
      </c>
      <c r="B258" s="20">
        <f>'C'!G110</f>
        <v>0</v>
      </c>
      <c r="C258" s="20">
        <f>D!G110</f>
        <v>0</v>
      </c>
      <c r="D258" s="20">
        <f>E!G110</f>
        <v>0</v>
      </c>
      <c r="E258" s="20">
        <f>F!G110</f>
        <v>0</v>
      </c>
      <c r="F258" s="20">
        <f>G!G110</f>
        <v>0</v>
      </c>
      <c r="G258" s="20">
        <f>H!G110</f>
        <v>0</v>
      </c>
      <c r="H258" s="20">
        <f>I!G110</f>
        <v>0</v>
      </c>
      <c r="I258" s="20">
        <f>J!G110</f>
        <v>0</v>
      </c>
      <c r="J258" s="20">
        <f>K!G110</f>
        <v>0</v>
      </c>
      <c r="K258" s="20">
        <f>L!G110</f>
        <v>0</v>
      </c>
      <c r="L258" s="20">
        <f>M!G110</f>
        <v>0</v>
      </c>
      <c r="M258" s="20">
        <f>N!G110</f>
        <v>0</v>
      </c>
      <c r="N258" s="20">
        <f>O!G110</f>
        <v>0</v>
      </c>
      <c r="O258" s="20">
        <f>P!G110</f>
        <v>0</v>
      </c>
      <c r="P258" s="20">
        <f>Q!G110</f>
        <v>0</v>
      </c>
      <c r="Q258" s="20">
        <f>'R'!G110</f>
        <v>0</v>
      </c>
      <c r="R258" s="20">
        <f>S!G110</f>
        <v>0</v>
      </c>
      <c r="S258" s="20">
        <f>T!G110</f>
        <v>0</v>
      </c>
      <c r="T258" s="20">
        <f>U!G110</f>
        <v>0</v>
      </c>
      <c r="U258" s="20">
        <f>V!G110</f>
        <v>0</v>
      </c>
      <c r="V258" s="20">
        <f>W!G110</f>
        <v>0</v>
      </c>
      <c r="W258" s="20">
        <f>X!G110</f>
        <v>0</v>
      </c>
      <c r="X258" s="21">
        <f t="shared" si="545"/>
        <v>0</v>
      </c>
      <c r="Y258" s="22">
        <f t="shared" ref="Y258:Y264" si="569">IF(AW258=0,0,X258/AW258)</f>
        <v>0</v>
      </c>
      <c r="Z258" s="122">
        <f t="shared" si="514"/>
        <v>0</v>
      </c>
      <c r="AA258" s="17">
        <f t="shared" si="546"/>
        <v>0</v>
      </c>
      <c r="AB258">
        <f t="shared" si="547"/>
        <v>0</v>
      </c>
      <c r="AC258">
        <f t="shared" si="548"/>
        <v>0</v>
      </c>
      <c r="AD258">
        <f t="shared" si="549"/>
        <v>0</v>
      </c>
      <c r="AE258">
        <f t="shared" si="550"/>
        <v>0</v>
      </c>
      <c r="AF258">
        <f t="shared" si="551"/>
        <v>0</v>
      </c>
      <c r="AG258">
        <f t="shared" si="552"/>
        <v>0</v>
      </c>
      <c r="AH258">
        <f t="shared" si="553"/>
        <v>0</v>
      </c>
      <c r="AI258">
        <f t="shared" si="554"/>
        <v>0</v>
      </c>
      <c r="AJ258">
        <f t="shared" si="555"/>
        <v>0</v>
      </c>
      <c r="AK258">
        <f t="shared" si="556"/>
        <v>0</v>
      </c>
      <c r="AL258">
        <f t="shared" si="557"/>
        <v>0</v>
      </c>
      <c r="AM258">
        <f t="shared" si="558"/>
        <v>0</v>
      </c>
      <c r="AN258">
        <f t="shared" si="559"/>
        <v>0</v>
      </c>
      <c r="AO258">
        <f t="shared" si="560"/>
        <v>0</v>
      </c>
      <c r="AP258">
        <f t="shared" si="561"/>
        <v>0</v>
      </c>
      <c r="AQ258">
        <f t="shared" si="562"/>
        <v>0</v>
      </c>
      <c r="AR258">
        <f t="shared" si="563"/>
        <v>0</v>
      </c>
      <c r="AS258">
        <f t="shared" si="564"/>
        <v>0</v>
      </c>
      <c r="AT258">
        <f t="shared" si="565"/>
        <v>0</v>
      </c>
      <c r="AU258">
        <f t="shared" si="566"/>
        <v>0</v>
      </c>
      <c r="AV258">
        <f t="shared" si="567"/>
        <v>0</v>
      </c>
      <c r="AW258" s="23">
        <f t="shared" si="568"/>
        <v>0</v>
      </c>
      <c r="AX258" s="24">
        <f t="shared" ref="AX258:AX264" si="570">IF(X258=0,0,X258)</f>
        <v>0</v>
      </c>
      <c r="AY258" s="121">
        <f t="shared" ref="AY258:AY264" si="571">IF(X258=0,0,A258)</f>
        <v>0</v>
      </c>
      <c r="AZ258" s="124">
        <f t="shared" ref="AZ258:AZ264" si="572">IF(AX258=0,0,A$256)</f>
        <v>0</v>
      </c>
      <c r="BA258" s="199"/>
      <c r="BB258" s="198"/>
      <c r="BC258" s="200"/>
      <c r="BD258" s="24"/>
      <c r="BE258" s="23"/>
      <c r="BF258" s="203"/>
      <c r="BG258" s="204"/>
    </row>
    <row r="259" spans="1:59">
      <c r="A259" s="19">
        <f>B!$E$372</f>
        <v>0</v>
      </c>
      <c r="B259" s="20">
        <f>'C'!G111</f>
        <v>0</v>
      </c>
      <c r="C259" s="20">
        <f>D!G111</f>
        <v>0</v>
      </c>
      <c r="D259" s="20">
        <f>E!G111</f>
        <v>0</v>
      </c>
      <c r="E259" s="20">
        <f>F!G111</f>
        <v>0</v>
      </c>
      <c r="F259" s="20">
        <f>G!G111</f>
        <v>0</v>
      </c>
      <c r="G259" s="20">
        <f>H!G111</f>
        <v>0</v>
      </c>
      <c r="H259" s="20">
        <f>I!G111</f>
        <v>0</v>
      </c>
      <c r="I259" s="20">
        <f>J!G111</f>
        <v>0</v>
      </c>
      <c r="J259" s="20">
        <f>K!G111</f>
        <v>0</v>
      </c>
      <c r="K259" s="20">
        <f>L!G111</f>
        <v>0</v>
      </c>
      <c r="L259" s="20">
        <f>M!G111</f>
        <v>0</v>
      </c>
      <c r="M259" s="20">
        <f>N!G111</f>
        <v>0</v>
      </c>
      <c r="N259" s="20">
        <f>O!G111</f>
        <v>0</v>
      </c>
      <c r="O259" s="20">
        <f>P!G111</f>
        <v>0</v>
      </c>
      <c r="P259" s="20">
        <f>Q!G111</f>
        <v>0</v>
      </c>
      <c r="Q259" s="20">
        <f>'R'!G111</f>
        <v>0</v>
      </c>
      <c r="R259" s="20">
        <f>S!G111</f>
        <v>0</v>
      </c>
      <c r="S259" s="20">
        <f>T!G111</f>
        <v>0</v>
      </c>
      <c r="T259" s="20">
        <f>U!G111</f>
        <v>0</v>
      </c>
      <c r="U259" s="20">
        <f>V!G111</f>
        <v>0</v>
      </c>
      <c r="V259" s="20">
        <f>W!G111</f>
        <v>0</v>
      </c>
      <c r="W259" s="20">
        <f>X!G111</f>
        <v>0</v>
      </c>
      <c r="X259" s="21">
        <f t="shared" si="545"/>
        <v>0</v>
      </c>
      <c r="Y259" s="22">
        <f t="shared" si="569"/>
        <v>0</v>
      </c>
      <c r="Z259" s="122">
        <f t="shared" si="514"/>
        <v>0</v>
      </c>
      <c r="AA259" s="17">
        <f t="shared" si="546"/>
        <v>0</v>
      </c>
      <c r="AB259">
        <f t="shared" si="547"/>
        <v>0</v>
      </c>
      <c r="AC259">
        <f t="shared" si="548"/>
        <v>0</v>
      </c>
      <c r="AD259">
        <f t="shared" si="549"/>
        <v>0</v>
      </c>
      <c r="AE259">
        <f t="shared" si="550"/>
        <v>0</v>
      </c>
      <c r="AF259">
        <f t="shared" si="551"/>
        <v>0</v>
      </c>
      <c r="AG259">
        <f t="shared" si="552"/>
        <v>0</v>
      </c>
      <c r="AH259">
        <f t="shared" si="553"/>
        <v>0</v>
      </c>
      <c r="AI259">
        <f t="shared" si="554"/>
        <v>0</v>
      </c>
      <c r="AJ259">
        <f t="shared" si="555"/>
        <v>0</v>
      </c>
      <c r="AK259">
        <f t="shared" si="556"/>
        <v>0</v>
      </c>
      <c r="AL259">
        <f t="shared" si="557"/>
        <v>0</v>
      </c>
      <c r="AM259">
        <f t="shared" si="558"/>
        <v>0</v>
      </c>
      <c r="AN259">
        <f t="shared" si="559"/>
        <v>0</v>
      </c>
      <c r="AO259">
        <f t="shared" si="560"/>
        <v>0</v>
      </c>
      <c r="AP259">
        <f t="shared" si="561"/>
        <v>0</v>
      </c>
      <c r="AQ259">
        <f t="shared" si="562"/>
        <v>0</v>
      </c>
      <c r="AR259">
        <f t="shared" si="563"/>
        <v>0</v>
      </c>
      <c r="AS259">
        <f t="shared" si="564"/>
        <v>0</v>
      </c>
      <c r="AT259">
        <f t="shared" si="565"/>
        <v>0</v>
      </c>
      <c r="AU259">
        <f t="shared" si="566"/>
        <v>0</v>
      </c>
      <c r="AV259">
        <f t="shared" si="567"/>
        <v>0</v>
      </c>
      <c r="AW259" s="23">
        <f t="shared" si="568"/>
        <v>0</v>
      </c>
      <c r="AX259" s="24">
        <f t="shared" si="570"/>
        <v>0</v>
      </c>
      <c r="AY259" s="121">
        <f t="shared" si="571"/>
        <v>0</v>
      </c>
      <c r="AZ259" s="124">
        <f t="shared" si="572"/>
        <v>0</v>
      </c>
      <c r="BA259" s="199"/>
      <c r="BB259" s="198"/>
      <c r="BC259" s="200"/>
      <c r="BD259" s="24"/>
      <c r="BE259" s="23"/>
      <c r="BF259" s="203"/>
      <c r="BG259" s="204"/>
    </row>
    <row r="260" spans="1:59">
      <c r="A260" s="19">
        <f>B!$E$377</f>
        <v>0</v>
      </c>
      <c r="B260" s="20">
        <f>'C'!G112</f>
        <v>0</v>
      </c>
      <c r="C260" s="20">
        <f>D!G112</f>
        <v>0</v>
      </c>
      <c r="D260" s="20">
        <f>E!G112</f>
        <v>0</v>
      </c>
      <c r="E260" s="20">
        <f>F!G112</f>
        <v>0</v>
      </c>
      <c r="F260" s="20">
        <f>G!G112</f>
        <v>0</v>
      </c>
      <c r="G260" s="20">
        <f>H!G112</f>
        <v>0</v>
      </c>
      <c r="H260" s="20">
        <f>I!G112</f>
        <v>0</v>
      </c>
      <c r="I260" s="20">
        <f>J!G112</f>
        <v>0</v>
      </c>
      <c r="J260" s="20">
        <f>K!G112</f>
        <v>0</v>
      </c>
      <c r="K260" s="20">
        <f>L!G112</f>
        <v>0</v>
      </c>
      <c r="L260" s="20">
        <f>M!G112</f>
        <v>0</v>
      </c>
      <c r="M260" s="20">
        <f>N!G112</f>
        <v>0</v>
      </c>
      <c r="N260" s="20">
        <f>O!G112</f>
        <v>0</v>
      </c>
      <c r="O260" s="20">
        <f>P!G112</f>
        <v>0</v>
      </c>
      <c r="P260" s="20">
        <f>Q!G112</f>
        <v>0</v>
      </c>
      <c r="Q260" s="20">
        <f>'R'!G112</f>
        <v>0</v>
      </c>
      <c r="R260" s="20">
        <f>S!G112</f>
        <v>0</v>
      </c>
      <c r="S260" s="20">
        <f>T!G112</f>
        <v>0</v>
      </c>
      <c r="T260" s="20">
        <f>U!G112</f>
        <v>0</v>
      </c>
      <c r="U260" s="20">
        <f>V!G112</f>
        <v>0</v>
      </c>
      <c r="V260" s="20">
        <f>W!G112</f>
        <v>0</v>
      </c>
      <c r="W260" s="20">
        <f>X!G112</f>
        <v>0</v>
      </c>
      <c r="X260" s="21">
        <f t="shared" si="545"/>
        <v>0</v>
      </c>
      <c r="Y260" s="22">
        <f t="shared" si="569"/>
        <v>0</v>
      </c>
      <c r="Z260" s="122">
        <f t="shared" si="514"/>
        <v>0</v>
      </c>
      <c r="AA260" s="17">
        <f t="shared" si="546"/>
        <v>0</v>
      </c>
      <c r="AB260">
        <f t="shared" si="547"/>
        <v>0</v>
      </c>
      <c r="AC260">
        <f t="shared" si="548"/>
        <v>0</v>
      </c>
      <c r="AD260">
        <f t="shared" si="549"/>
        <v>0</v>
      </c>
      <c r="AE260">
        <f t="shared" si="550"/>
        <v>0</v>
      </c>
      <c r="AF260">
        <f t="shared" si="551"/>
        <v>0</v>
      </c>
      <c r="AG260">
        <f t="shared" si="552"/>
        <v>0</v>
      </c>
      <c r="AH260">
        <f t="shared" si="553"/>
        <v>0</v>
      </c>
      <c r="AI260">
        <f t="shared" si="554"/>
        <v>0</v>
      </c>
      <c r="AJ260">
        <f t="shared" si="555"/>
        <v>0</v>
      </c>
      <c r="AK260">
        <f t="shared" si="556"/>
        <v>0</v>
      </c>
      <c r="AL260">
        <f t="shared" si="557"/>
        <v>0</v>
      </c>
      <c r="AM260">
        <f t="shared" si="558"/>
        <v>0</v>
      </c>
      <c r="AN260">
        <f t="shared" si="559"/>
        <v>0</v>
      </c>
      <c r="AO260">
        <f t="shared" si="560"/>
        <v>0</v>
      </c>
      <c r="AP260">
        <f t="shared" si="561"/>
        <v>0</v>
      </c>
      <c r="AQ260">
        <f t="shared" si="562"/>
        <v>0</v>
      </c>
      <c r="AR260">
        <f t="shared" si="563"/>
        <v>0</v>
      </c>
      <c r="AS260">
        <f t="shared" si="564"/>
        <v>0</v>
      </c>
      <c r="AT260">
        <f t="shared" si="565"/>
        <v>0</v>
      </c>
      <c r="AU260">
        <f t="shared" si="566"/>
        <v>0</v>
      </c>
      <c r="AV260">
        <f t="shared" si="567"/>
        <v>0</v>
      </c>
      <c r="AW260" s="23">
        <f t="shared" si="568"/>
        <v>0</v>
      </c>
      <c r="AX260" s="24">
        <f t="shared" si="570"/>
        <v>0</v>
      </c>
      <c r="AY260" s="121">
        <f t="shared" si="571"/>
        <v>0</v>
      </c>
      <c r="AZ260" s="124">
        <f t="shared" si="572"/>
        <v>0</v>
      </c>
      <c r="BA260" s="199"/>
      <c r="BB260" s="198"/>
      <c r="BC260" s="200"/>
      <c r="BD260" s="24"/>
      <c r="BE260" s="23"/>
      <c r="BF260" s="203"/>
      <c r="BG260" s="204"/>
    </row>
    <row r="261" spans="1:59">
      <c r="A261" s="19">
        <f>B!$E$382</f>
        <v>0</v>
      </c>
      <c r="B261" s="20">
        <f>'C'!G113</f>
        <v>0</v>
      </c>
      <c r="C261" s="20">
        <f>D!G113</f>
        <v>0</v>
      </c>
      <c r="D261" s="20">
        <f>E!G113</f>
        <v>0</v>
      </c>
      <c r="E261" s="20">
        <f>F!G113</f>
        <v>0</v>
      </c>
      <c r="F261" s="20">
        <f>G!G113</f>
        <v>0</v>
      </c>
      <c r="G261" s="20">
        <f>H!G113</f>
        <v>0</v>
      </c>
      <c r="H261" s="20">
        <f>I!G113</f>
        <v>0</v>
      </c>
      <c r="I261" s="20">
        <f>J!G113</f>
        <v>0</v>
      </c>
      <c r="J261" s="20">
        <f>K!G113</f>
        <v>0</v>
      </c>
      <c r="K261" s="20">
        <f>L!G113</f>
        <v>0</v>
      </c>
      <c r="L261" s="20">
        <f>M!G113</f>
        <v>0</v>
      </c>
      <c r="M261" s="20">
        <f>N!G113</f>
        <v>0</v>
      </c>
      <c r="N261" s="20">
        <f>O!G113</f>
        <v>0</v>
      </c>
      <c r="O261" s="20">
        <f>P!G113</f>
        <v>0</v>
      </c>
      <c r="P261" s="20">
        <f>Q!G113</f>
        <v>0</v>
      </c>
      <c r="Q261" s="20">
        <f>'R'!G113</f>
        <v>0</v>
      </c>
      <c r="R261" s="20">
        <f>S!G113</f>
        <v>0</v>
      </c>
      <c r="S261" s="20">
        <f>T!G113</f>
        <v>0</v>
      </c>
      <c r="T261" s="20">
        <f>U!G113</f>
        <v>0</v>
      </c>
      <c r="U261" s="20">
        <f>V!G113</f>
        <v>0</v>
      </c>
      <c r="V261" s="20">
        <f>W!G113</f>
        <v>0</v>
      </c>
      <c r="W261" s="20">
        <f>X!G113</f>
        <v>0</v>
      </c>
      <c r="X261" s="21">
        <f t="shared" si="545"/>
        <v>0</v>
      </c>
      <c r="Y261" s="22">
        <f t="shared" si="569"/>
        <v>0</v>
      </c>
      <c r="Z261" s="122">
        <f t="shared" si="514"/>
        <v>0</v>
      </c>
      <c r="AA261" s="17">
        <f t="shared" si="546"/>
        <v>0</v>
      </c>
      <c r="AB261">
        <f t="shared" si="547"/>
        <v>0</v>
      </c>
      <c r="AC261">
        <f t="shared" si="548"/>
        <v>0</v>
      </c>
      <c r="AD261">
        <f t="shared" si="549"/>
        <v>0</v>
      </c>
      <c r="AE261">
        <f t="shared" si="550"/>
        <v>0</v>
      </c>
      <c r="AF261">
        <f t="shared" si="551"/>
        <v>0</v>
      </c>
      <c r="AG261">
        <f t="shared" si="552"/>
        <v>0</v>
      </c>
      <c r="AH261">
        <f t="shared" si="553"/>
        <v>0</v>
      </c>
      <c r="AI261">
        <f t="shared" si="554"/>
        <v>0</v>
      </c>
      <c r="AJ261">
        <f t="shared" si="555"/>
        <v>0</v>
      </c>
      <c r="AK261">
        <f t="shared" si="556"/>
        <v>0</v>
      </c>
      <c r="AL261">
        <f t="shared" si="557"/>
        <v>0</v>
      </c>
      <c r="AM261">
        <f t="shared" si="558"/>
        <v>0</v>
      </c>
      <c r="AN261">
        <f t="shared" si="559"/>
        <v>0</v>
      </c>
      <c r="AO261">
        <f t="shared" si="560"/>
        <v>0</v>
      </c>
      <c r="AP261">
        <f t="shared" si="561"/>
        <v>0</v>
      </c>
      <c r="AQ261">
        <f t="shared" si="562"/>
        <v>0</v>
      </c>
      <c r="AR261">
        <f t="shared" si="563"/>
        <v>0</v>
      </c>
      <c r="AS261">
        <f t="shared" si="564"/>
        <v>0</v>
      </c>
      <c r="AT261">
        <f t="shared" si="565"/>
        <v>0</v>
      </c>
      <c r="AU261">
        <f t="shared" si="566"/>
        <v>0</v>
      </c>
      <c r="AV261">
        <f t="shared" si="567"/>
        <v>0</v>
      </c>
      <c r="AW261" s="23">
        <f t="shared" si="568"/>
        <v>0</v>
      </c>
      <c r="AX261" s="24">
        <f t="shared" si="570"/>
        <v>0</v>
      </c>
      <c r="AY261" s="121">
        <f t="shared" si="571"/>
        <v>0</v>
      </c>
      <c r="AZ261" s="124">
        <f t="shared" si="572"/>
        <v>0</v>
      </c>
      <c r="BA261" s="199"/>
      <c r="BB261" s="198"/>
      <c r="BC261" s="200"/>
      <c r="BD261" s="24"/>
      <c r="BE261" s="23"/>
      <c r="BF261" s="203"/>
      <c r="BG261" s="204"/>
    </row>
    <row r="262" spans="1:59">
      <c r="A262" s="19">
        <f>B!$E$387</f>
        <v>0</v>
      </c>
      <c r="B262" s="20">
        <f>'C'!G114</f>
        <v>0</v>
      </c>
      <c r="C262" s="20">
        <f>D!G114</f>
        <v>0</v>
      </c>
      <c r="D262" s="20">
        <f>E!G114</f>
        <v>0</v>
      </c>
      <c r="E262" s="20">
        <f>F!G114</f>
        <v>0</v>
      </c>
      <c r="F262" s="20">
        <f>G!G114</f>
        <v>0</v>
      </c>
      <c r="G262" s="20">
        <f>H!G114</f>
        <v>0</v>
      </c>
      <c r="H262" s="20">
        <f>I!G114</f>
        <v>0</v>
      </c>
      <c r="I262" s="20">
        <f>J!G114</f>
        <v>0</v>
      </c>
      <c r="J262" s="20">
        <f>K!G114</f>
        <v>0</v>
      </c>
      <c r="K262" s="20">
        <f>L!G114</f>
        <v>0</v>
      </c>
      <c r="L262" s="20">
        <f>M!G114</f>
        <v>0</v>
      </c>
      <c r="M262" s="20">
        <f>N!G114</f>
        <v>0</v>
      </c>
      <c r="N262" s="20">
        <f>O!G114</f>
        <v>0</v>
      </c>
      <c r="O262" s="20">
        <f>P!G114</f>
        <v>0</v>
      </c>
      <c r="P262" s="20">
        <f>Q!G114</f>
        <v>0</v>
      </c>
      <c r="Q262" s="20">
        <f>'R'!G114</f>
        <v>0</v>
      </c>
      <c r="R262" s="20">
        <f>S!G114</f>
        <v>0</v>
      </c>
      <c r="S262" s="20">
        <f>T!G114</f>
        <v>0</v>
      </c>
      <c r="T262" s="20">
        <f>U!G114</f>
        <v>0</v>
      </c>
      <c r="U262" s="20">
        <f>V!G114</f>
        <v>0</v>
      </c>
      <c r="V262" s="20">
        <f>W!G114</f>
        <v>0</v>
      </c>
      <c r="W262" s="20">
        <f>X!G114</f>
        <v>0</v>
      </c>
      <c r="X262" s="21">
        <f t="shared" si="545"/>
        <v>0</v>
      </c>
      <c r="Y262" s="22">
        <f t="shared" si="569"/>
        <v>0</v>
      </c>
      <c r="Z262" s="122">
        <f t="shared" si="514"/>
        <v>0</v>
      </c>
      <c r="AA262" s="17">
        <f t="shared" si="546"/>
        <v>0</v>
      </c>
      <c r="AB262">
        <f t="shared" si="547"/>
        <v>0</v>
      </c>
      <c r="AC262">
        <f t="shared" si="548"/>
        <v>0</v>
      </c>
      <c r="AD262">
        <f t="shared" si="549"/>
        <v>0</v>
      </c>
      <c r="AE262">
        <f t="shared" si="550"/>
        <v>0</v>
      </c>
      <c r="AF262">
        <f t="shared" si="551"/>
        <v>0</v>
      </c>
      <c r="AG262">
        <f t="shared" si="552"/>
        <v>0</v>
      </c>
      <c r="AH262">
        <f t="shared" si="553"/>
        <v>0</v>
      </c>
      <c r="AI262">
        <f t="shared" si="554"/>
        <v>0</v>
      </c>
      <c r="AJ262">
        <f t="shared" si="555"/>
        <v>0</v>
      </c>
      <c r="AK262">
        <f t="shared" si="556"/>
        <v>0</v>
      </c>
      <c r="AL262">
        <f t="shared" si="557"/>
        <v>0</v>
      </c>
      <c r="AM262">
        <f t="shared" si="558"/>
        <v>0</v>
      </c>
      <c r="AN262">
        <f t="shared" si="559"/>
        <v>0</v>
      </c>
      <c r="AO262">
        <f t="shared" si="560"/>
        <v>0</v>
      </c>
      <c r="AP262">
        <f t="shared" si="561"/>
        <v>0</v>
      </c>
      <c r="AQ262">
        <f t="shared" si="562"/>
        <v>0</v>
      </c>
      <c r="AR262">
        <f t="shared" si="563"/>
        <v>0</v>
      </c>
      <c r="AS262">
        <f t="shared" si="564"/>
        <v>0</v>
      </c>
      <c r="AT262">
        <f t="shared" si="565"/>
        <v>0</v>
      </c>
      <c r="AU262">
        <f t="shared" si="566"/>
        <v>0</v>
      </c>
      <c r="AV262">
        <f t="shared" si="567"/>
        <v>0</v>
      </c>
      <c r="AW262" s="23">
        <f t="shared" si="568"/>
        <v>0</v>
      </c>
      <c r="AX262" s="24">
        <f t="shared" si="570"/>
        <v>0</v>
      </c>
      <c r="AY262" s="121">
        <f t="shared" si="571"/>
        <v>0</v>
      </c>
      <c r="AZ262" s="124">
        <f t="shared" si="572"/>
        <v>0</v>
      </c>
      <c r="BA262" s="199"/>
      <c r="BB262" s="198"/>
      <c r="BC262" s="200"/>
      <c r="BD262" s="24"/>
      <c r="BE262" s="23"/>
      <c r="BF262" s="203"/>
      <c r="BG262" s="204"/>
    </row>
    <row r="263" spans="1:59">
      <c r="A263" s="19">
        <f>B!$E$392</f>
        <v>0</v>
      </c>
      <c r="B263" s="20">
        <f>'C'!G115</f>
        <v>0</v>
      </c>
      <c r="C263" s="20">
        <f>D!G115</f>
        <v>0</v>
      </c>
      <c r="D263" s="20">
        <f>E!G115</f>
        <v>0</v>
      </c>
      <c r="E263" s="20">
        <f>F!G115</f>
        <v>0</v>
      </c>
      <c r="F263" s="20">
        <f>G!G115</f>
        <v>0</v>
      </c>
      <c r="G263" s="20">
        <f>H!G115</f>
        <v>0</v>
      </c>
      <c r="H263" s="20">
        <f>I!G115</f>
        <v>0</v>
      </c>
      <c r="I263" s="20">
        <f>J!G115</f>
        <v>0</v>
      </c>
      <c r="J263" s="20">
        <f>K!G115</f>
        <v>0</v>
      </c>
      <c r="K263" s="20">
        <f>L!G115</f>
        <v>0</v>
      </c>
      <c r="L263" s="20">
        <f>M!G115</f>
        <v>0</v>
      </c>
      <c r="M263" s="20">
        <f>N!G115</f>
        <v>0</v>
      </c>
      <c r="N263" s="20">
        <f>O!G115</f>
        <v>0</v>
      </c>
      <c r="O263" s="20">
        <f>P!G115</f>
        <v>0</v>
      </c>
      <c r="P263" s="20">
        <f>Q!G115</f>
        <v>0</v>
      </c>
      <c r="Q263" s="20">
        <f>'R'!G115</f>
        <v>0</v>
      </c>
      <c r="R263" s="20">
        <f>S!G115</f>
        <v>0</v>
      </c>
      <c r="S263" s="20">
        <f>T!G115</f>
        <v>0</v>
      </c>
      <c r="T263" s="20">
        <f>U!G115</f>
        <v>0</v>
      </c>
      <c r="U263" s="20">
        <f>V!G115</f>
        <v>0</v>
      </c>
      <c r="V263" s="20">
        <f>W!G115</f>
        <v>0</v>
      </c>
      <c r="W263" s="20">
        <f>X!G115</f>
        <v>0</v>
      </c>
      <c r="X263" s="21">
        <f t="shared" si="545"/>
        <v>0</v>
      </c>
      <c r="Y263" s="22">
        <f t="shared" si="569"/>
        <v>0</v>
      </c>
      <c r="Z263" s="122">
        <f t="shared" si="514"/>
        <v>0</v>
      </c>
      <c r="AA263" s="17">
        <f t="shared" si="546"/>
        <v>0</v>
      </c>
      <c r="AB263">
        <f t="shared" si="547"/>
        <v>0</v>
      </c>
      <c r="AC263">
        <f t="shared" si="548"/>
        <v>0</v>
      </c>
      <c r="AD263">
        <f t="shared" si="549"/>
        <v>0</v>
      </c>
      <c r="AE263">
        <f t="shared" si="550"/>
        <v>0</v>
      </c>
      <c r="AF263">
        <f t="shared" si="551"/>
        <v>0</v>
      </c>
      <c r="AG263">
        <f t="shared" si="552"/>
        <v>0</v>
      </c>
      <c r="AH263">
        <f t="shared" si="553"/>
        <v>0</v>
      </c>
      <c r="AI263">
        <f t="shared" si="554"/>
        <v>0</v>
      </c>
      <c r="AJ263">
        <f t="shared" si="555"/>
        <v>0</v>
      </c>
      <c r="AK263">
        <f t="shared" si="556"/>
        <v>0</v>
      </c>
      <c r="AL263">
        <f t="shared" si="557"/>
        <v>0</v>
      </c>
      <c r="AM263">
        <f t="shared" si="558"/>
        <v>0</v>
      </c>
      <c r="AN263">
        <f t="shared" si="559"/>
        <v>0</v>
      </c>
      <c r="AO263">
        <f t="shared" si="560"/>
        <v>0</v>
      </c>
      <c r="AP263">
        <f t="shared" si="561"/>
        <v>0</v>
      </c>
      <c r="AQ263">
        <f t="shared" si="562"/>
        <v>0</v>
      </c>
      <c r="AR263">
        <f t="shared" si="563"/>
        <v>0</v>
      </c>
      <c r="AS263">
        <f t="shared" si="564"/>
        <v>0</v>
      </c>
      <c r="AT263">
        <f t="shared" si="565"/>
        <v>0</v>
      </c>
      <c r="AU263">
        <f t="shared" si="566"/>
        <v>0</v>
      </c>
      <c r="AV263">
        <f t="shared" si="567"/>
        <v>0</v>
      </c>
      <c r="AW263" s="23">
        <f t="shared" si="568"/>
        <v>0</v>
      </c>
      <c r="AX263" s="24">
        <f t="shared" si="570"/>
        <v>0</v>
      </c>
      <c r="AY263" s="121">
        <f t="shared" si="571"/>
        <v>0</v>
      </c>
      <c r="AZ263" s="124">
        <f t="shared" si="572"/>
        <v>0</v>
      </c>
      <c r="BA263" s="199"/>
      <c r="BB263" s="198"/>
      <c r="BC263" s="200"/>
      <c r="BD263" s="24"/>
      <c r="BE263" s="23"/>
      <c r="BF263" s="203"/>
      <c r="BG263" s="204"/>
    </row>
    <row r="264" spans="1:59" ht="15.75" thickBot="1">
      <c r="A264" s="19">
        <f>B!$E$397</f>
        <v>0</v>
      </c>
      <c r="B264" s="20">
        <f>'C'!G116</f>
        <v>0</v>
      </c>
      <c r="C264" s="20">
        <f>D!G116</f>
        <v>0</v>
      </c>
      <c r="D264" s="20">
        <f>E!G116</f>
        <v>0</v>
      </c>
      <c r="E264" s="20">
        <f>F!G116</f>
        <v>0</v>
      </c>
      <c r="F264" s="20">
        <f>G!G116</f>
        <v>0</v>
      </c>
      <c r="G264" s="20">
        <f>H!G116</f>
        <v>0</v>
      </c>
      <c r="H264" s="20">
        <f>I!G116</f>
        <v>0</v>
      </c>
      <c r="I264" s="20">
        <f>J!G116</f>
        <v>0</v>
      </c>
      <c r="J264" s="20">
        <f>K!G116</f>
        <v>0</v>
      </c>
      <c r="K264" s="20">
        <f>L!G116</f>
        <v>0</v>
      </c>
      <c r="L264" s="20">
        <f>M!G116</f>
        <v>0</v>
      </c>
      <c r="M264" s="20">
        <f>N!G116</f>
        <v>0</v>
      </c>
      <c r="N264" s="20">
        <f>O!G116</f>
        <v>0</v>
      </c>
      <c r="O264" s="20">
        <f>P!G116</f>
        <v>0</v>
      </c>
      <c r="P264" s="20">
        <f>Q!G116</f>
        <v>0</v>
      </c>
      <c r="Q264" s="20">
        <f>'R'!G116</f>
        <v>0</v>
      </c>
      <c r="R264" s="20">
        <f>S!G116</f>
        <v>0</v>
      </c>
      <c r="S264" s="20">
        <f>T!G116</f>
        <v>0</v>
      </c>
      <c r="T264" s="20">
        <f>U!G116</f>
        <v>0</v>
      </c>
      <c r="U264" s="20">
        <f>V!G116</f>
        <v>0</v>
      </c>
      <c r="V264" s="20">
        <f>W!G116</f>
        <v>0</v>
      </c>
      <c r="W264" s="20">
        <f>X!G116</f>
        <v>0</v>
      </c>
      <c r="X264" s="21">
        <f t="shared" si="545"/>
        <v>0</v>
      </c>
      <c r="Y264" s="22">
        <f t="shared" si="569"/>
        <v>0</v>
      </c>
      <c r="Z264" s="122">
        <f t="shared" si="514"/>
        <v>0</v>
      </c>
      <c r="AA264" s="17">
        <f t="shared" si="546"/>
        <v>0</v>
      </c>
      <c r="AB264">
        <f t="shared" si="547"/>
        <v>0</v>
      </c>
      <c r="AC264">
        <f t="shared" si="548"/>
        <v>0</v>
      </c>
      <c r="AD264">
        <f t="shared" si="549"/>
        <v>0</v>
      </c>
      <c r="AE264">
        <f t="shared" si="550"/>
        <v>0</v>
      </c>
      <c r="AF264">
        <f t="shared" si="551"/>
        <v>0</v>
      </c>
      <c r="AG264">
        <f t="shared" si="552"/>
        <v>0</v>
      </c>
      <c r="AH264">
        <f t="shared" si="553"/>
        <v>0</v>
      </c>
      <c r="AI264">
        <f t="shared" si="554"/>
        <v>0</v>
      </c>
      <c r="AJ264">
        <f t="shared" si="555"/>
        <v>0</v>
      </c>
      <c r="AK264">
        <f t="shared" si="556"/>
        <v>0</v>
      </c>
      <c r="AL264">
        <f t="shared" si="557"/>
        <v>0</v>
      </c>
      <c r="AM264">
        <f t="shared" si="558"/>
        <v>0</v>
      </c>
      <c r="AN264">
        <f t="shared" si="559"/>
        <v>0</v>
      </c>
      <c r="AO264">
        <f t="shared" si="560"/>
        <v>0</v>
      </c>
      <c r="AP264">
        <f t="shared" si="561"/>
        <v>0</v>
      </c>
      <c r="AQ264">
        <f t="shared" si="562"/>
        <v>0</v>
      </c>
      <c r="AR264">
        <f t="shared" si="563"/>
        <v>0</v>
      </c>
      <c r="AS264">
        <f t="shared" si="564"/>
        <v>0</v>
      </c>
      <c r="AT264">
        <f t="shared" si="565"/>
        <v>0</v>
      </c>
      <c r="AU264">
        <f t="shared" si="566"/>
        <v>0</v>
      </c>
      <c r="AV264">
        <f t="shared" si="567"/>
        <v>0</v>
      </c>
      <c r="AW264" s="23">
        <f t="shared" si="568"/>
        <v>0</v>
      </c>
      <c r="AX264" s="24">
        <f t="shared" si="570"/>
        <v>0</v>
      </c>
      <c r="AY264" s="121">
        <f t="shared" si="571"/>
        <v>0</v>
      </c>
      <c r="AZ264" s="124">
        <f t="shared" si="572"/>
        <v>0</v>
      </c>
      <c r="BA264" s="199"/>
      <c r="BB264" s="198"/>
      <c r="BC264" s="200"/>
      <c r="BD264" s="24"/>
      <c r="BE264" s="23"/>
      <c r="BF264" s="203"/>
      <c r="BG264" s="204"/>
    </row>
    <row r="265" spans="1:59" ht="15.75" thickTop="1">
      <c r="A265" s="133" t="s">
        <v>134</v>
      </c>
      <c r="B265" s="134">
        <f t="shared" ref="B265:W265" si="573">SUM(B257:B264)</f>
        <v>0</v>
      </c>
      <c r="C265" s="134">
        <f t="shared" si="573"/>
        <v>0</v>
      </c>
      <c r="D265" s="134">
        <f t="shared" si="573"/>
        <v>0</v>
      </c>
      <c r="E265" s="134">
        <f t="shared" si="573"/>
        <v>0</v>
      </c>
      <c r="F265" s="134">
        <f t="shared" si="573"/>
        <v>0</v>
      </c>
      <c r="G265" s="134">
        <f t="shared" si="573"/>
        <v>0</v>
      </c>
      <c r="H265" s="134">
        <f t="shared" si="573"/>
        <v>0</v>
      </c>
      <c r="I265" s="134">
        <f t="shared" si="573"/>
        <v>0</v>
      </c>
      <c r="J265" s="134">
        <f t="shared" si="573"/>
        <v>0</v>
      </c>
      <c r="K265" s="134">
        <f t="shared" si="573"/>
        <v>0</v>
      </c>
      <c r="L265" s="134">
        <f t="shared" si="573"/>
        <v>0</v>
      </c>
      <c r="M265" s="134">
        <f t="shared" si="573"/>
        <v>0</v>
      </c>
      <c r="N265" s="134">
        <f t="shared" si="573"/>
        <v>0</v>
      </c>
      <c r="O265" s="134">
        <f t="shared" si="573"/>
        <v>0</v>
      </c>
      <c r="P265" s="134">
        <f t="shared" si="573"/>
        <v>0</v>
      </c>
      <c r="Q265" s="134">
        <f t="shared" si="573"/>
        <v>0</v>
      </c>
      <c r="R265" s="134">
        <f t="shared" si="573"/>
        <v>0</v>
      </c>
      <c r="S265" s="134">
        <f t="shared" si="573"/>
        <v>0</v>
      </c>
      <c r="T265" s="134">
        <f t="shared" si="573"/>
        <v>0</v>
      </c>
      <c r="U265" s="134">
        <f t="shared" si="573"/>
        <v>0</v>
      </c>
      <c r="V265" s="134">
        <f t="shared" si="573"/>
        <v>0</v>
      </c>
      <c r="W265" s="134">
        <f t="shared" si="573"/>
        <v>0</v>
      </c>
      <c r="X265" s="135">
        <f t="shared" si="545"/>
        <v>0</v>
      </c>
      <c r="Y265" s="137">
        <f>IF(X265=0,0,X265/AW265)</f>
        <v>0</v>
      </c>
      <c r="Z265" s="122"/>
      <c r="AA265" s="138">
        <f t="shared" ref="AA265:AV265" si="574">SUM(AA257:AA264)</f>
        <v>0</v>
      </c>
      <c r="AB265" s="11">
        <f t="shared" si="574"/>
        <v>0</v>
      </c>
      <c r="AC265" s="11">
        <f t="shared" si="574"/>
        <v>0</v>
      </c>
      <c r="AD265" s="11">
        <f t="shared" si="574"/>
        <v>0</v>
      </c>
      <c r="AE265" s="11">
        <f t="shared" si="574"/>
        <v>0</v>
      </c>
      <c r="AF265" s="11">
        <f t="shared" si="574"/>
        <v>0</v>
      </c>
      <c r="AG265" s="11">
        <f t="shared" si="574"/>
        <v>0</v>
      </c>
      <c r="AH265" s="11">
        <f t="shared" si="574"/>
        <v>0</v>
      </c>
      <c r="AI265" s="11">
        <f t="shared" si="574"/>
        <v>0</v>
      </c>
      <c r="AJ265" s="11">
        <f t="shared" si="574"/>
        <v>0</v>
      </c>
      <c r="AK265" s="11">
        <f t="shared" si="574"/>
        <v>0</v>
      </c>
      <c r="AL265" s="11">
        <f t="shared" si="574"/>
        <v>0</v>
      </c>
      <c r="AM265" s="11">
        <f t="shared" si="574"/>
        <v>0</v>
      </c>
      <c r="AN265" s="11">
        <f t="shared" si="574"/>
        <v>0</v>
      </c>
      <c r="AO265" s="11">
        <f t="shared" si="574"/>
        <v>0</v>
      </c>
      <c r="AP265" s="11">
        <f t="shared" si="574"/>
        <v>0</v>
      </c>
      <c r="AQ265" s="11">
        <f t="shared" si="574"/>
        <v>0</v>
      </c>
      <c r="AR265" s="11">
        <f t="shared" si="574"/>
        <v>0</v>
      </c>
      <c r="AS265" s="11">
        <f t="shared" si="574"/>
        <v>0</v>
      </c>
      <c r="AT265" s="11">
        <f t="shared" si="574"/>
        <v>0</v>
      </c>
      <c r="AU265" s="11">
        <f t="shared" si="574"/>
        <v>0</v>
      </c>
      <c r="AV265" s="11">
        <f t="shared" si="574"/>
        <v>0</v>
      </c>
      <c r="AW265" s="12">
        <f>MAXA(AW257:AW264)</f>
        <v>0</v>
      </c>
      <c r="AX265" s="24"/>
      <c r="AZ265" s="124"/>
      <c r="BA265" s="199"/>
      <c r="BB265" s="198"/>
      <c r="BC265" s="200"/>
      <c r="BD265" s="24"/>
      <c r="BE265" s="23"/>
      <c r="BF265" s="203"/>
      <c r="BG265" s="204"/>
    </row>
    <row r="266" spans="1:59" ht="16.5" thickBot="1">
      <c r="A266" s="105" t="s">
        <v>189</v>
      </c>
      <c r="B266" s="20">
        <f>'C'!G117</f>
        <v>0</v>
      </c>
      <c r="C266" s="20">
        <f>D!G117</f>
        <v>0</v>
      </c>
      <c r="D266" s="20">
        <f>E!G117</f>
        <v>0</v>
      </c>
      <c r="E266" s="20">
        <f>F!G117</f>
        <v>0</v>
      </c>
      <c r="F266" s="20">
        <f>G!G117</f>
        <v>0</v>
      </c>
      <c r="G266" s="20">
        <f>H!G117</f>
        <v>0</v>
      </c>
      <c r="H266" s="20">
        <f>I!G117</f>
        <v>0</v>
      </c>
      <c r="I266" s="20">
        <f>J!G117</f>
        <v>0</v>
      </c>
      <c r="J266" s="20">
        <f>K!G117</f>
        <v>0</v>
      </c>
      <c r="K266" s="20">
        <f>L!G117</f>
        <v>0</v>
      </c>
      <c r="L266" s="20">
        <f>M!G117</f>
        <v>0</v>
      </c>
      <c r="M266" s="20">
        <f>N!G117</f>
        <v>0</v>
      </c>
      <c r="N266" s="20">
        <f>O!G117</f>
        <v>0</v>
      </c>
      <c r="O266" s="20">
        <f>P!G117</f>
        <v>0</v>
      </c>
      <c r="P266" s="20">
        <f>Q!G117</f>
        <v>0</v>
      </c>
      <c r="Q266" s="20">
        <f>'R'!G117</f>
        <v>0</v>
      </c>
      <c r="R266" s="20">
        <f>S!G117</f>
        <v>0</v>
      </c>
      <c r="S266" s="20">
        <f>T!G117</f>
        <v>0</v>
      </c>
      <c r="T266" s="20">
        <f>U!G117</f>
        <v>0</v>
      </c>
      <c r="U266" s="20">
        <f>V!G117</f>
        <v>0</v>
      </c>
      <c r="V266" s="20">
        <f>W!G117</f>
        <v>0</v>
      </c>
      <c r="W266" s="20">
        <f>X!G117</f>
        <v>0</v>
      </c>
      <c r="X266" s="21">
        <f t="shared" si="545"/>
        <v>0</v>
      </c>
      <c r="Y266" s="120"/>
      <c r="Z266" s="122"/>
      <c r="AA266" s="17"/>
      <c r="AW266" s="23"/>
      <c r="AX266" s="24"/>
      <c r="AZ266" s="124"/>
      <c r="BA266" s="199"/>
      <c r="BB266" s="198"/>
      <c r="BC266" s="200"/>
      <c r="BD266" s="24"/>
      <c r="BE266" s="23"/>
      <c r="BF266" s="203"/>
      <c r="BG266" s="204"/>
    </row>
    <row r="267" spans="1:59" ht="16.5" thickTop="1" thickBot="1">
      <c r="A267" s="100" t="s">
        <v>53</v>
      </c>
      <c r="B267" s="68">
        <f t="shared" ref="B267:W267" si="575">SUM(B265:B266)</f>
        <v>0</v>
      </c>
      <c r="C267" s="68">
        <f t="shared" si="575"/>
        <v>0</v>
      </c>
      <c r="D267" s="68">
        <f t="shared" si="575"/>
        <v>0</v>
      </c>
      <c r="E267" s="68">
        <f t="shared" si="575"/>
        <v>0</v>
      </c>
      <c r="F267" s="68">
        <f t="shared" si="575"/>
        <v>0</v>
      </c>
      <c r="G267" s="68">
        <f t="shared" si="575"/>
        <v>0</v>
      </c>
      <c r="H267" s="68">
        <f t="shared" si="575"/>
        <v>0</v>
      </c>
      <c r="I267" s="68">
        <f t="shared" si="575"/>
        <v>0</v>
      </c>
      <c r="J267" s="68">
        <f t="shared" si="575"/>
        <v>0</v>
      </c>
      <c r="K267" s="68">
        <f t="shared" si="575"/>
        <v>0</v>
      </c>
      <c r="L267" s="68">
        <f t="shared" si="575"/>
        <v>0</v>
      </c>
      <c r="M267" s="68">
        <f t="shared" si="575"/>
        <v>0</v>
      </c>
      <c r="N267" s="68">
        <f t="shared" si="575"/>
        <v>0</v>
      </c>
      <c r="O267" s="68">
        <f t="shared" si="575"/>
        <v>0</v>
      </c>
      <c r="P267" s="68">
        <f t="shared" si="575"/>
        <v>0</v>
      </c>
      <c r="Q267" s="68">
        <f t="shared" si="575"/>
        <v>0</v>
      </c>
      <c r="R267" s="68">
        <f t="shared" si="575"/>
        <v>0</v>
      </c>
      <c r="S267" s="68">
        <f t="shared" si="575"/>
        <v>0</v>
      </c>
      <c r="T267" s="68">
        <f t="shared" si="575"/>
        <v>0</v>
      </c>
      <c r="U267" s="68">
        <f t="shared" si="575"/>
        <v>0</v>
      </c>
      <c r="V267" s="68">
        <f t="shared" si="575"/>
        <v>0</v>
      </c>
      <c r="W267" s="68">
        <f t="shared" si="575"/>
        <v>0</v>
      </c>
      <c r="X267" s="28">
        <f t="shared" si="545"/>
        <v>0</v>
      </c>
      <c r="Y267" s="136"/>
      <c r="Z267" s="122"/>
      <c r="AA267" s="17"/>
      <c r="AW267" s="23"/>
      <c r="AX267" s="24"/>
      <c r="AZ267" s="124"/>
      <c r="BA267" s="199"/>
      <c r="BB267" s="198"/>
      <c r="BC267" s="200"/>
      <c r="BD267" s="24">
        <f>X267</f>
        <v>0</v>
      </c>
      <c r="BE267" s="23">
        <f>A256</f>
        <v>0</v>
      </c>
      <c r="BF267" s="203"/>
      <c r="BG267" s="204"/>
    </row>
    <row r="268" spans="1:59"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22"/>
      <c r="AA268" s="17"/>
      <c r="AW268" s="23"/>
      <c r="AX268" s="24"/>
      <c r="AZ268" s="124"/>
      <c r="BA268" s="199"/>
      <c r="BB268" s="198"/>
      <c r="BC268" s="200"/>
      <c r="BD268" s="24"/>
      <c r="BE268" s="23"/>
      <c r="BF268" s="203"/>
      <c r="BG268" s="204"/>
    </row>
    <row r="269" spans="1:59" ht="15.75" thickBot="1">
      <c r="A269" s="7" t="s">
        <v>72</v>
      </c>
      <c r="B269" s="8" t="s">
        <v>27</v>
      </c>
      <c r="C269" s="8" t="s">
        <v>28</v>
      </c>
      <c r="D269" s="8" t="s">
        <v>29</v>
      </c>
      <c r="E269" s="8" t="s">
        <v>30</v>
      </c>
      <c r="F269" s="8" t="s">
        <v>31</v>
      </c>
      <c r="G269" s="8" t="s">
        <v>32</v>
      </c>
      <c r="H269" s="8" t="s">
        <v>33</v>
      </c>
      <c r="I269" s="8" t="s">
        <v>34</v>
      </c>
      <c r="J269" s="8" t="s">
        <v>35</v>
      </c>
      <c r="K269" s="8" t="s">
        <v>36</v>
      </c>
      <c r="L269" s="8" t="s">
        <v>37</v>
      </c>
      <c r="M269" s="8" t="s">
        <v>38</v>
      </c>
      <c r="N269" s="8" t="s">
        <v>39</v>
      </c>
      <c r="O269" s="8" t="s">
        <v>40</v>
      </c>
      <c r="P269" s="8" t="s">
        <v>41</v>
      </c>
      <c r="Q269" s="8" t="s">
        <v>42</v>
      </c>
      <c r="R269" s="8" t="s">
        <v>43</v>
      </c>
      <c r="S269" s="8" t="s">
        <v>44</v>
      </c>
      <c r="T269" s="8" t="s">
        <v>45</v>
      </c>
      <c r="U269" s="8" t="s">
        <v>46</v>
      </c>
      <c r="V269" s="8" t="s">
        <v>47</v>
      </c>
      <c r="W269" s="8" t="s">
        <v>48</v>
      </c>
      <c r="X269" s="1"/>
      <c r="Y269" s="1"/>
      <c r="Z269" s="3" t="str">
        <f>A269</f>
        <v>Team #20 Name:</v>
      </c>
      <c r="AA269" s="17"/>
      <c r="AW269" s="23"/>
      <c r="AX269" s="24"/>
      <c r="AZ269" s="124"/>
      <c r="BA269" s="199"/>
      <c r="BB269" s="198"/>
      <c r="BC269" s="200"/>
      <c r="BD269" s="24"/>
      <c r="BE269" s="23"/>
      <c r="BF269" s="203"/>
      <c r="BG269" s="204"/>
    </row>
    <row r="270" spans="1:59">
      <c r="A270" s="13">
        <f>B!$E$403</f>
        <v>0</v>
      </c>
      <c r="B270" s="29" t="s">
        <v>50</v>
      </c>
      <c r="C270" s="29" t="s">
        <v>50</v>
      </c>
      <c r="D270" s="29" t="s">
        <v>50</v>
      </c>
      <c r="E270" s="29" t="s">
        <v>50</v>
      </c>
      <c r="F270" s="29" t="s">
        <v>50</v>
      </c>
      <c r="G270" s="29" t="s">
        <v>50</v>
      </c>
      <c r="H270" s="29" t="s">
        <v>50</v>
      </c>
      <c r="I270" s="29" t="s">
        <v>50</v>
      </c>
      <c r="J270" s="29" t="s">
        <v>50</v>
      </c>
      <c r="K270" s="29" t="s">
        <v>50</v>
      </c>
      <c r="L270" s="29" t="s">
        <v>50</v>
      </c>
      <c r="M270" s="29" t="s">
        <v>50</v>
      </c>
      <c r="N270" s="29" t="s">
        <v>50</v>
      </c>
      <c r="O270" s="29" t="s">
        <v>50</v>
      </c>
      <c r="P270" s="29" t="s">
        <v>50</v>
      </c>
      <c r="Q270" s="29" t="s">
        <v>50</v>
      </c>
      <c r="R270" s="29" t="s">
        <v>50</v>
      </c>
      <c r="S270" s="29" t="s">
        <v>50</v>
      </c>
      <c r="T270" s="29" t="s">
        <v>50</v>
      </c>
      <c r="U270" s="29" t="s">
        <v>50</v>
      </c>
      <c r="V270" s="29" t="s">
        <v>50</v>
      </c>
      <c r="W270" s="29" t="s">
        <v>50</v>
      </c>
      <c r="X270" s="15" t="s">
        <v>51</v>
      </c>
      <c r="Y270" s="16" t="s">
        <v>52</v>
      </c>
      <c r="Z270" s="123">
        <f>A270</f>
        <v>0</v>
      </c>
      <c r="AA270" s="17"/>
      <c r="AW270" s="4" t="s">
        <v>97</v>
      </c>
      <c r="AX270" s="24"/>
      <c r="AZ270" s="124"/>
      <c r="BA270" s="199"/>
      <c r="BB270" s="198"/>
      <c r="BC270" s="200"/>
      <c r="BD270" s="24"/>
      <c r="BE270" s="23"/>
      <c r="BF270" s="203"/>
      <c r="BG270" s="204"/>
    </row>
    <row r="271" spans="1:59">
      <c r="A271" s="19">
        <f>B!$E$405</f>
        <v>0</v>
      </c>
      <c r="B271" s="20">
        <f>'C'!G122</f>
        <v>0</v>
      </c>
      <c r="C271" s="20">
        <f>D!G122</f>
        <v>0</v>
      </c>
      <c r="D271" s="20">
        <f>E!G122</f>
        <v>0</v>
      </c>
      <c r="E271" s="20">
        <f>F!G122</f>
        <v>0</v>
      </c>
      <c r="F271" s="20">
        <f>G!G122</f>
        <v>0</v>
      </c>
      <c r="G271" s="20">
        <f>H!G122</f>
        <v>0</v>
      </c>
      <c r="H271" s="20">
        <f>I!G122</f>
        <v>0</v>
      </c>
      <c r="I271" s="20">
        <f>J!G122</f>
        <v>0</v>
      </c>
      <c r="J271" s="20">
        <f>K!G122</f>
        <v>0</v>
      </c>
      <c r="K271" s="20">
        <f>L!G122</f>
        <v>0</v>
      </c>
      <c r="L271" s="20">
        <f>M!G122</f>
        <v>0</v>
      </c>
      <c r="M271" s="20">
        <f>N!G122</f>
        <v>0</v>
      </c>
      <c r="N271" s="20">
        <f>O!G122</f>
        <v>0</v>
      </c>
      <c r="O271" s="20">
        <f>P!G122</f>
        <v>0</v>
      </c>
      <c r="P271" s="20">
        <f>Q!G122</f>
        <v>0</v>
      </c>
      <c r="Q271" s="20">
        <f>'R'!G122</f>
        <v>0</v>
      </c>
      <c r="R271" s="20">
        <f>S!G122</f>
        <v>0</v>
      </c>
      <c r="S271" s="20">
        <f>T!G122</f>
        <v>0</v>
      </c>
      <c r="T271" s="20">
        <f>U!G122</f>
        <v>0</v>
      </c>
      <c r="U271" s="20">
        <f>V!G122</f>
        <v>0</v>
      </c>
      <c r="V271" s="20">
        <f>W!G122</f>
        <v>0</v>
      </c>
      <c r="W271" s="20">
        <f>X!G122</f>
        <v>0</v>
      </c>
      <c r="X271" s="21">
        <f t="shared" ref="X271:X281" si="576">SUM(B271:W271)</f>
        <v>0</v>
      </c>
      <c r="Y271" s="22">
        <f>IF(AW271=0,0,X271/AW271)</f>
        <v>0</v>
      </c>
      <c r="Z271" s="122">
        <f t="shared" si="514"/>
        <v>0</v>
      </c>
      <c r="AA271" s="17">
        <f t="shared" ref="AA271:AA278" si="577">IF(B271=0,0,1)</f>
        <v>0</v>
      </c>
      <c r="AB271">
        <f t="shared" ref="AB271:AB278" si="578">IF(C271=0,0,1)</f>
        <v>0</v>
      </c>
      <c r="AC271">
        <f t="shared" ref="AC271:AC278" si="579">IF(D271=0,0,1)</f>
        <v>0</v>
      </c>
      <c r="AD271">
        <f t="shared" ref="AD271:AD278" si="580">IF(E271=0,0,1)</f>
        <v>0</v>
      </c>
      <c r="AE271">
        <f t="shared" ref="AE271:AE278" si="581">IF(F271=0,0,1)</f>
        <v>0</v>
      </c>
      <c r="AF271">
        <f t="shared" ref="AF271:AF278" si="582">IF(G271=0,0,1)</f>
        <v>0</v>
      </c>
      <c r="AG271">
        <f t="shared" ref="AG271:AG278" si="583">IF(H271=0,0,1)</f>
        <v>0</v>
      </c>
      <c r="AH271">
        <f t="shared" ref="AH271:AH278" si="584">IF(I271=0,0,1)</f>
        <v>0</v>
      </c>
      <c r="AI271">
        <f t="shared" ref="AI271:AI278" si="585">IF(J271=0,0,1)</f>
        <v>0</v>
      </c>
      <c r="AJ271">
        <f t="shared" ref="AJ271:AJ278" si="586">IF(K271=0,0,1)</f>
        <v>0</v>
      </c>
      <c r="AK271">
        <f t="shared" ref="AK271:AK278" si="587">IF(L271=0,0,1)</f>
        <v>0</v>
      </c>
      <c r="AL271">
        <f t="shared" ref="AL271:AL278" si="588">IF(M271=0,0,1)</f>
        <v>0</v>
      </c>
      <c r="AM271">
        <f t="shared" ref="AM271:AM278" si="589">IF(N271=0,0,1)</f>
        <v>0</v>
      </c>
      <c r="AN271">
        <f t="shared" ref="AN271:AN278" si="590">IF(O271=0,0,1)</f>
        <v>0</v>
      </c>
      <c r="AO271">
        <f t="shared" ref="AO271:AO278" si="591">IF(P271=0,0,1)</f>
        <v>0</v>
      </c>
      <c r="AP271">
        <f t="shared" ref="AP271:AP278" si="592">IF(Q271=0,0,1)</f>
        <v>0</v>
      </c>
      <c r="AQ271">
        <f t="shared" ref="AQ271:AQ278" si="593">IF(R271=0,0,1)</f>
        <v>0</v>
      </c>
      <c r="AR271">
        <f t="shared" ref="AR271:AR278" si="594">IF(S271=0,0,1)</f>
        <v>0</v>
      </c>
      <c r="AS271">
        <f t="shared" ref="AS271:AS278" si="595">IF(T271=0,0,1)</f>
        <v>0</v>
      </c>
      <c r="AT271">
        <f t="shared" ref="AT271:AT278" si="596">IF(U271=0,0,1)</f>
        <v>0</v>
      </c>
      <c r="AU271">
        <f t="shared" ref="AU271:AU278" si="597">IF(V271=0,0,1)</f>
        <v>0</v>
      </c>
      <c r="AV271">
        <f t="shared" ref="AV271:AV278" si="598">IF(W271=0,0,1)</f>
        <v>0</v>
      </c>
      <c r="AW271" s="23">
        <f t="shared" ref="AW271:AW278" si="599">SUM(AA271:AV271)</f>
        <v>0</v>
      </c>
      <c r="AX271" s="24">
        <f>IF(X271=0,0,X271)</f>
        <v>0</v>
      </c>
      <c r="AY271" s="121">
        <f>IF(X271=0,0,A271)</f>
        <v>0</v>
      </c>
      <c r="AZ271" s="124">
        <f>IF(AX271=0,0,A$270)</f>
        <v>0</v>
      </c>
      <c r="BA271" s="199"/>
      <c r="BB271" s="198"/>
      <c r="BC271" s="200"/>
      <c r="BD271" s="24"/>
      <c r="BE271" s="23"/>
      <c r="BF271" s="203"/>
      <c r="BG271" s="204"/>
    </row>
    <row r="272" spans="1:59">
      <c r="A272" s="19">
        <f>B!$E$410</f>
        <v>0</v>
      </c>
      <c r="B272" s="20">
        <f>'C'!G123</f>
        <v>0</v>
      </c>
      <c r="C272" s="20">
        <f>D!G123</f>
        <v>0</v>
      </c>
      <c r="D272" s="20">
        <f>E!G123</f>
        <v>0</v>
      </c>
      <c r="E272" s="20">
        <f>F!G123</f>
        <v>0</v>
      </c>
      <c r="F272" s="20">
        <f>G!G123</f>
        <v>0</v>
      </c>
      <c r="G272" s="20">
        <f>H!G123</f>
        <v>0</v>
      </c>
      <c r="H272" s="20">
        <f>I!G123</f>
        <v>0</v>
      </c>
      <c r="I272" s="20">
        <f>J!G123</f>
        <v>0</v>
      </c>
      <c r="J272" s="20">
        <f>K!G123</f>
        <v>0</v>
      </c>
      <c r="K272" s="20">
        <f>L!G123</f>
        <v>0</v>
      </c>
      <c r="L272" s="20">
        <f>M!G123</f>
        <v>0</v>
      </c>
      <c r="M272" s="20">
        <f>N!G123</f>
        <v>0</v>
      </c>
      <c r="N272" s="20">
        <f>O!G123</f>
        <v>0</v>
      </c>
      <c r="O272" s="20">
        <f>P!G123</f>
        <v>0</v>
      </c>
      <c r="P272" s="20">
        <f>Q!G123</f>
        <v>0</v>
      </c>
      <c r="Q272" s="20">
        <f>'R'!G123</f>
        <v>0</v>
      </c>
      <c r="R272" s="20">
        <f>S!G123</f>
        <v>0</v>
      </c>
      <c r="S272" s="20">
        <f>T!G123</f>
        <v>0</v>
      </c>
      <c r="T272" s="20">
        <f>U!G123</f>
        <v>0</v>
      </c>
      <c r="U272" s="20">
        <f>V!G123</f>
        <v>0</v>
      </c>
      <c r="V272" s="20">
        <f>W!G123</f>
        <v>0</v>
      </c>
      <c r="W272" s="20">
        <f>X!G123</f>
        <v>0</v>
      </c>
      <c r="X272" s="21">
        <f t="shared" si="576"/>
        <v>0</v>
      </c>
      <c r="Y272" s="22">
        <f t="shared" ref="Y272:Y278" si="600">IF(AW272=0,0,X272/AW272)</f>
        <v>0</v>
      </c>
      <c r="Z272" s="122">
        <f t="shared" si="514"/>
        <v>0</v>
      </c>
      <c r="AA272" s="17">
        <f t="shared" si="577"/>
        <v>0</v>
      </c>
      <c r="AB272">
        <f t="shared" si="578"/>
        <v>0</v>
      </c>
      <c r="AC272">
        <f t="shared" si="579"/>
        <v>0</v>
      </c>
      <c r="AD272">
        <f t="shared" si="580"/>
        <v>0</v>
      </c>
      <c r="AE272">
        <f t="shared" si="581"/>
        <v>0</v>
      </c>
      <c r="AF272">
        <f t="shared" si="582"/>
        <v>0</v>
      </c>
      <c r="AG272">
        <f t="shared" si="583"/>
        <v>0</v>
      </c>
      <c r="AH272">
        <f t="shared" si="584"/>
        <v>0</v>
      </c>
      <c r="AI272">
        <f t="shared" si="585"/>
        <v>0</v>
      </c>
      <c r="AJ272">
        <f t="shared" si="586"/>
        <v>0</v>
      </c>
      <c r="AK272">
        <f t="shared" si="587"/>
        <v>0</v>
      </c>
      <c r="AL272">
        <f t="shared" si="588"/>
        <v>0</v>
      </c>
      <c r="AM272">
        <f t="shared" si="589"/>
        <v>0</v>
      </c>
      <c r="AN272">
        <f t="shared" si="590"/>
        <v>0</v>
      </c>
      <c r="AO272">
        <f t="shared" si="591"/>
        <v>0</v>
      </c>
      <c r="AP272">
        <f t="shared" si="592"/>
        <v>0</v>
      </c>
      <c r="AQ272">
        <f t="shared" si="593"/>
        <v>0</v>
      </c>
      <c r="AR272">
        <f t="shared" si="594"/>
        <v>0</v>
      </c>
      <c r="AS272">
        <f t="shared" si="595"/>
        <v>0</v>
      </c>
      <c r="AT272">
        <f t="shared" si="596"/>
        <v>0</v>
      </c>
      <c r="AU272">
        <f t="shared" si="597"/>
        <v>0</v>
      </c>
      <c r="AV272">
        <f t="shared" si="598"/>
        <v>0</v>
      </c>
      <c r="AW272" s="23">
        <f t="shared" si="599"/>
        <v>0</v>
      </c>
      <c r="AX272" s="24">
        <f t="shared" ref="AX272:AX278" si="601">IF(X272=0,0,X272)</f>
        <v>0</v>
      </c>
      <c r="AY272" s="121">
        <f t="shared" ref="AY272:AY278" si="602">IF(X272=0,0,A272)</f>
        <v>0</v>
      </c>
      <c r="AZ272" s="124">
        <f t="shared" ref="AZ272:AZ278" si="603">IF(AX272=0,0,A$270)</f>
        <v>0</v>
      </c>
      <c r="BA272" s="199"/>
      <c r="BB272" s="198"/>
      <c r="BC272" s="200"/>
      <c r="BD272" s="24"/>
      <c r="BE272" s="23"/>
      <c r="BF272" s="203"/>
      <c r="BG272" s="204"/>
    </row>
    <row r="273" spans="1:59">
      <c r="A273" s="19">
        <f>B!$E$415</f>
        <v>0</v>
      </c>
      <c r="B273" s="20">
        <f>'C'!G124</f>
        <v>0</v>
      </c>
      <c r="C273" s="20">
        <f>D!G124</f>
        <v>0</v>
      </c>
      <c r="D273" s="20">
        <f>E!G124</f>
        <v>0</v>
      </c>
      <c r="E273" s="20">
        <f>F!G124</f>
        <v>0</v>
      </c>
      <c r="F273" s="20">
        <f>G!G124</f>
        <v>0</v>
      </c>
      <c r="G273" s="20">
        <f>H!G124</f>
        <v>0</v>
      </c>
      <c r="H273" s="20">
        <f>I!G124</f>
        <v>0</v>
      </c>
      <c r="I273" s="20">
        <f>J!G124</f>
        <v>0</v>
      </c>
      <c r="J273" s="20">
        <f>K!G124</f>
        <v>0</v>
      </c>
      <c r="K273" s="20">
        <f>L!G124</f>
        <v>0</v>
      </c>
      <c r="L273" s="20">
        <f>M!G124</f>
        <v>0</v>
      </c>
      <c r="M273" s="20">
        <f>N!G124</f>
        <v>0</v>
      </c>
      <c r="N273" s="20">
        <f>O!G124</f>
        <v>0</v>
      </c>
      <c r="O273" s="20">
        <f>P!G124</f>
        <v>0</v>
      </c>
      <c r="P273" s="20">
        <f>Q!G124</f>
        <v>0</v>
      </c>
      <c r="Q273" s="20">
        <f>'R'!G124</f>
        <v>0</v>
      </c>
      <c r="R273" s="20">
        <f>S!G124</f>
        <v>0</v>
      </c>
      <c r="S273" s="20">
        <f>T!G124</f>
        <v>0</v>
      </c>
      <c r="T273" s="20">
        <f>U!G124</f>
        <v>0</v>
      </c>
      <c r="U273" s="20">
        <f>V!G124</f>
        <v>0</v>
      </c>
      <c r="V273" s="20">
        <f>W!G124</f>
        <v>0</v>
      </c>
      <c r="W273" s="20">
        <f>X!G124</f>
        <v>0</v>
      </c>
      <c r="X273" s="21">
        <f t="shared" si="576"/>
        <v>0</v>
      </c>
      <c r="Y273" s="22">
        <f t="shared" si="600"/>
        <v>0</v>
      </c>
      <c r="Z273" s="122">
        <f t="shared" si="514"/>
        <v>0</v>
      </c>
      <c r="AA273" s="17">
        <f t="shared" si="577"/>
        <v>0</v>
      </c>
      <c r="AB273">
        <f t="shared" si="578"/>
        <v>0</v>
      </c>
      <c r="AC273">
        <f t="shared" si="579"/>
        <v>0</v>
      </c>
      <c r="AD273">
        <f t="shared" si="580"/>
        <v>0</v>
      </c>
      <c r="AE273">
        <f t="shared" si="581"/>
        <v>0</v>
      </c>
      <c r="AF273">
        <f t="shared" si="582"/>
        <v>0</v>
      </c>
      <c r="AG273">
        <f t="shared" si="583"/>
        <v>0</v>
      </c>
      <c r="AH273">
        <f t="shared" si="584"/>
        <v>0</v>
      </c>
      <c r="AI273">
        <f t="shared" si="585"/>
        <v>0</v>
      </c>
      <c r="AJ273">
        <f t="shared" si="586"/>
        <v>0</v>
      </c>
      <c r="AK273">
        <f t="shared" si="587"/>
        <v>0</v>
      </c>
      <c r="AL273">
        <f t="shared" si="588"/>
        <v>0</v>
      </c>
      <c r="AM273">
        <f t="shared" si="589"/>
        <v>0</v>
      </c>
      <c r="AN273">
        <f t="shared" si="590"/>
        <v>0</v>
      </c>
      <c r="AO273">
        <f t="shared" si="591"/>
        <v>0</v>
      </c>
      <c r="AP273">
        <f t="shared" si="592"/>
        <v>0</v>
      </c>
      <c r="AQ273">
        <f t="shared" si="593"/>
        <v>0</v>
      </c>
      <c r="AR273">
        <f t="shared" si="594"/>
        <v>0</v>
      </c>
      <c r="AS273">
        <f t="shared" si="595"/>
        <v>0</v>
      </c>
      <c r="AT273">
        <f t="shared" si="596"/>
        <v>0</v>
      </c>
      <c r="AU273">
        <f t="shared" si="597"/>
        <v>0</v>
      </c>
      <c r="AV273">
        <f t="shared" si="598"/>
        <v>0</v>
      </c>
      <c r="AW273" s="23">
        <f t="shared" si="599"/>
        <v>0</v>
      </c>
      <c r="AX273" s="24">
        <f t="shared" si="601"/>
        <v>0</v>
      </c>
      <c r="AY273" s="121">
        <f t="shared" si="602"/>
        <v>0</v>
      </c>
      <c r="AZ273" s="124">
        <f t="shared" si="603"/>
        <v>0</v>
      </c>
      <c r="BA273" s="199"/>
      <c r="BB273" s="198"/>
      <c r="BC273" s="200"/>
      <c r="BD273" s="24"/>
      <c r="BE273" s="23"/>
      <c r="BF273" s="203"/>
      <c r="BG273" s="204"/>
    </row>
    <row r="274" spans="1:59">
      <c r="A274" s="19">
        <f>B!$E$420</f>
        <v>0</v>
      </c>
      <c r="B274" s="20">
        <f>'C'!G125</f>
        <v>0</v>
      </c>
      <c r="C274" s="20">
        <f>D!G125</f>
        <v>0</v>
      </c>
      <c r="D274" s="20">
        <f>E!G125</f>
        <v>0</v>
      </c>
      <c r="E274" s="20">
        <f>F!G125</f>
        <v>0</v>
      </c>
      <c r="F274" s="20">
        <f>G!G125</f>
        <v>0</v>
      </c>
      <c r="G274" s="20">
        <f>H!G125</f>
        <v>0</v>
      </c>
      <c r="H274" s="20">
        <f>I!G125</f>
        <v>0</v>
      </c>
      <c r="I274" s="20">
        <f>J!G125</f>
        <v>0</v>
      </c>
      <c r="J274" s="20">
        <f>K!G125</f>
        <v>0</v>
      </c>
      <c r="K274" s="20">
        <f>L!G125</f>
        <v>0</v>
      </c>
      <c r="L274" s="20">
        <f>M!G125</f>
        <v>0</v>
      </c>
      <c r="M274" s="20">
        <f>N!G125</f>
        <v>0</v>
      </c>
      <c r="N274" s="20">
        <f>O!G125</f>
        <v>0</v>
      </c>
      <c r="O274" s="20">
        <f>P!G125</f>
        <v>0</v>
      </c>
      <c r="P274" s="20">
        <f>Q!G125</f>
        <v>0</v>
      </c>
      <c r="Q274" s="20">
        <f>'R'!G125</f>
        <v>0</v>
      </c>
      <c r="R274" s="20">
        <f>S!G125</f>
        <v>0</v>
      </c>
      <c r="S274" s="20">
        <f>T!G125</f>
        <v>0</v>
      </c>
      <c r="T274" s="20">
        <f>U!G125</f>
        <v>0</v>
      </c>
      <c r="U274" s="20">
        <f>V!G125</f>
        <v>0</v>
      </c>
      <c r="V274" s="20">
        <f>W!G125</f>
        <v>0</v>
      </c>
      <c r="W274" s="20">
        <f>X!G125</f>
        <v>0</v>
      </c>
      <c r="X274" s="21">
        <f t="shared" si="576"/>
        <v>0</v>
      </c>
      <c r="Y274" s="22">
        <f t="shared" si="600"/>
        <v>0</v>
      </c>
      <c r="Z274" s="122">
        <f t="shared" si="514"/>
        <v>0</v>
      </c>
      <c r="AA274" s="17">
        <f t="shared" si="577"/>
        <v>0</v>
      </c>
      <c r="AB274">
        <f t="shared" si="578"/>
        <v>0</v>
      </c>
      <c r="AC274">
        <f t="shared" si="579"/>
        <v>0</v>
      </c>
      <c r="AD274">
        <f t="shared" si="580"/>
        <v>0</v>
      </c>
      <c r="AE274">
        <f t="shared" si="581"/>
        <v>0</v>
      </c>
      <c r="AF274">
        <f t="shared" si="582"/>
        <v>0</v>
      </c>
      <c r="AG274">
        <f t="shared" si="583"/>
        <v>0</v>
      </c>
      <c r="AH274">
        <f t="shared" si="584"/>
        <v>0</v>
      </c>
      <c r="AI274">
        <f t="shared" si="585"/>
        <v>0</v>
      </c>
      <c r="AJ274">
        <f t="shared" si="586"/>
        <v>0</v>
      </c>
      <c r="AK274">
        <f t="shared" si="587"/>
        <v>0</v>
      </c>
      <c r="AL274">
        <f t="shared" si="588"/>
        <v>0</v>
      </c>
      <c r="AM274">
        <f t="shared" si="589"/>
        <v>0</v>
      </c>
      <c r="AN274">
        <f t="shared" si="590"/>
        <v>0</v>
      </c>
      <c r="AO274">
        <f t="shared" si="591"/>
        <v>0</v>
      </c>
      <c r="AP274">
        <f t="shared" si="592"/>
        <v>0</v>
      </c>
      <c r="AQ274">
        <f t="shared" si="593"/>
        <v>0</v>
      </c>
      <c r="AR274">
        <f t="shared" si="594"/>
        <v>0</v>
      </c>
      <c r="AS274">
        <f t="shared" si="595"/>
        <v>0</v>
      </c>
      <c r="AT274">
        <f t="shared" si="596"/>
        <v>0</v>
      </c>
      <c r="AU274">
        <f t="shared" si="597"/>
        <v>0</v>
      </c>
      <c r="AV274">
        <f t="shared" si="598"/>
        <v>0</v>
      </c>
      <c r="AW274" s="23">
        <f t="shared" si="599"/>
        <v>0</v>
      </c>
      <c r="AX274" s="24">
        <f t="shared" si="601"/>
        <v>0</v>
      </c>
      <c r="AY274" s="121">
        <f t="shared" si="602"/>
        <v>0</v>
      </c>
      <c r="AZ274" s="124">
        <f t="shared" si="603"/>
        <v>0</v>
      </c>
      <c r="BA274" s="199"/>
      <c r="BB274" s="198"/>
      <c r="BC274" s="200"/>
      <c r="BD274" s="24"/>
      <c r="BE274" s="23"/>
      <c r="BF274" s="203"/>
      <c r="BG274" s="204"/>
    </row>
    <row r="275" spans="1:59">
      <c r="A275" s="19">
        <f>B!$E$425</f>
        <v>0</v>
      </c>
      <c r="B275" s="20">
        <f>'C'!G126</f>
        <v>0</v>
      </c>
      <c r="C275" s="20">
        <f>D!G126</f>
        <v>0</v>
      </c>
      <c r="D275" s="20">
        <f>E!G126</f>
        <v>0</v>
      </c>
      <c r="E275" s="20">
        <f>F!G126</f>
        <v>0</v>
      </c>
      <c r="F275" s="20">
        <f>G!G126</f>
        <v>0</v>
      </c>
      <c r="G275" s="20">
        <f>H!G126</f>
        <v>0</v>
      </c>
      <c r="H275" s="20">
        <f>I!G126</f>
        <v>0</v>
      </c>
      <c r="I275" s="20">
        <f>J!G126</f>
        <v>0</v>
      </c>
      <c r="J275" s="20">
        <f>K!G126</f>
        <v>0</v>
      </c>
      <c r="K275" s="20">
        <f>L!G126</f>
        <v>0</v>
      </c>
      <c r="L275" s="20">
        <f>M!G126</f>
        <v>0</v>
      </c>
      <c r="M275" s="20">
        <f>N!G126</f>
        <v>0</v>
      </c>
      <c r="N275" s="20">
        <f>O!G126</f>
        <v>0</v>
      </c>
      <c r="O275" s="20">
        <f>P!G126</f>
        <v>0</v>
      </c>
      <c r="P275" s="20">
        <f>Q!G126</f>
        <v>0</v>
      </c>
      <c r="Q275" s="20">
        <f>'R'!G126</f>
        <v>0</v>
      </c>
      <c r="R275" s="20">
        <f>S!G126</f>
        <v>0</v>
      </c>
      <c r="S275" s="20">
        <f>T!G126</f>
        <v>0</v>
      </c>
      <c r="T275" s="20">
        <f>U!G126</f>
        <v>0</v>
      </c>
      <c r="U275" s="20">
        <f>V!G126</f>
        <v>0</v>
      </c>
      <c r="V275" s="20">
        <f>W!G126</f>
        <v>0</v>
      </c>
      <c r="W275" s="20">
        <f>X!G126</f>
        <v>0</v>
      </c>
      <c r="X275" s="21">
        <f t="shared" si="576"/>
        <v>0</v>
      </c>
      <c r="Y275" s="22">
        <f t="shared" si="600"/>
        <v>0</v>
      </c>
      <c r="Z275" s="122">
        <f t="shared" si="514"/>
        <v>0</v>
      </c>
      <c r="AA275" s="17">
        <f t="shared" si="577"/>
        <v>0</v>
      </c>
      <c r="AB275">
        <f t="shared" si="578"/>
        <v>0</v>
      </c>
      <c r="AC275">
        <f t="shared" si="579"/>
        <v>0</v>
      </c>
      <c r="AD275">
        <f t="shared" si="580"/>
        <v>0</v>
      </c>
      <c r="AE275">
        <f t="shared" si="581"/>
        <v>0</v>
      </c>
      <c r="AF275">
        <f t="shared" si="582"/>
        <v>0</v>
      </c>
      <c r="AG275">
        <f t="shared" si="583"/>
        <v>0</v>
      </c>
      <c r="AH275">
        <f t="shared" si="584"/>
        <v>0</v>
      </c>
      <c r="AI275">
        <f t="shared" si="585"/>
        <v>0</v>
      </c>
      <c r="AJ275">
        <f t="shared" si="586"/>
        <v>0</v>
      </c>
      <c r="AK275">
        <f t="shared" si="587"/>
        <v>0</v>
      </c>
      <c r="AL275">
        <f t="shared" si="588"/>
        <v>0</v>
      </c>
      <c r="AM275">
        <f t="shared" si="589"/>
        <v>0</v>
      </c>
      <c r="AN275">
        <f t="shared" si="590"/>
        <v>0</v>
      </c>
      <c r="AO275">
        <f t="shared" si="591"/>
        <v>0</v>
      </c>
      <c r="AP275">
        <f t="shared" si="592"/>
        <v>0</v>
      </c>
      <c r="AQ275">
        <f t="shared" si="593"/>
        <v>0</v>
      </c>
      <c r="AR275">
        <f t="shared" si="594"/>
        <v>0</v>
      </c>
      <c r="AS275">
        <f t="shared" si="595"/>
        <v>0</v>
      </c>
      <c r="AT275">
        <f t="shared" si="596"/>
        <v>0</v>
      </c>
      <c r="AU275">
        <f t="shared" si="597"/>
        <v>0</v>
      </c>
      <c r="AV275">
        <f t="shared" si="598"/>
        <v>0</v>
      </c>
      <c r="AW275" s="23">
        <f t="shared" si="599"/>
        <v>0</v>
      </c>
      <c r="AX275" s="24">
        <f t="shared" si="601"/>
        <v>0</v>
      </c>
      <c r="AY275" s="121">
        <f t="shared" si="602"/>
        <v>0</v>
      </c>
      <c r="AZ275" s="124">
        <f t="shared" si="603"/>
        <v>0</v>
      </c>
      <c r="BA275" s="199"/>
      <c r="BB275" s="198"/>
      <c r="BC275" s="200"/>
      <c r="BD275" s="24"/>
      <c r="BE275" s="23"/>
      <c r="BF275" s="203"/>
      <c r="BG275" s="204"/>
    </row>
    <row r="276" spans="1:59">
      <c r="A276" s="19">
        <f>B!$E$430</f>
        <v>0</v>
      </c>
      <c r="B276" s="20">
        <f>'C'!G127</f>
        <v>0</v>
      </c>
      <c r="C276" s="20">
        <f>D!G127</f>
        <v>0</v>
      </c>
      <c r="D276" s="20">
        <f>E!G127</f>
        <v>0</v>
      </c>
      <c r="E276" s="20">
        <f>F!G127</f>
        <v>0</v>
      </c>
      <c r="F276" s="20">
        <f>G!G127</f>
        <v>0</v>
      </c>
      <c r="G276" s="20">
        <f>H!G127</f>
        <v>0</v>
      </c>
      <c r="H276" s="20">
        <f>I!G127</f>
        <v>0</v>
      </c>
      <c r="I276" s="20">
        <f>J!G127</f>
        <v>0</v>
      </c>
      <c r="J276" s="20">
        <f>K!G127</f>
        <v>0</v>
      </c>
      <c r="K276" s="20">
        <f>L!G127</f>
        <v>0</v>
      </c>
      <c r="L276" s="20">
        <f>M!G127</f>
        <v>0</v>
      </c>
      <c r="M276" s="20">
        <f>N!G127</f>
        <v>0</v>
      </c>
      <c r="N276" s="20">
        <f>O!G127</f>
        <v>0</v>
      </c>
      <c r="O276" s="20">
        <f>P!G127</f>
        <v>0</v>
      </c>
      <c r="P276" s="20">
        <f>Q!G127</f>
        <v>0</v>
      </c>
      <c r="Q276" s="20">
        <f>'R'!G127</f>
        <v>0</v>
      </c>
      <c r="R276" s="20">
        <f>S!G127</f>
        <v>0</v>
      </c>
      <c r="S276" s="20">
        <f>T!G127</f>
        <v>0</v>
      </c>
      <c r="T276" s="20">
        <f>U!G127</f>
        <v>0</v>
      </c>
      <c r="U276" s="20">
        <f>V!G127</f>
        <v>0</v>
      </c>
      <c r="V276" s="20">
        <f>W!G127</f>
        <v>0</v>
      </c>
      <c r="W276" s="20">
        <f>X!G127</f>
        <v>0</v>
      </c>
      <c r="X276" s="21">
        <f t="shared" si="576"/>
        <v>0</v>
      </c>
      <c r="Y276" s="22">
        <f t="shared" si="600"/>
        <v>0</v>
      </c>
      <c r="Z276" s="122">
        <f t="shared" si="514"/>
        <v>0</v>
      </c>
      <c r="AA276" s="17">
        <f t="shared" si="577"/>
        <v>0</v>
      </c>
      <c r="AB276">
        <f t="shared" si="578"/>
        <v>0</v>
      </c>
      <c r="AC276">
        <f t="shared" si="579"/>
        <v>0</v>
      </c>
      <c r="AD276">
        <f t="shared" si="580"/>
        <v>0</v>
      </c>
      <c r="AE276">
        <f t="shared" si="581"/>
        <v>0</v>
      </c>
      <c r="AF276">
        <f t="shared" si="582"/>
        <v>0</v>
      </c>
      <c r="AG276">
        <f t="shared" si="583"/>
        <v>0</v>
      </c>
      <c r="AH276">
        <f t="shared" si="584"/>
        <v>0</v>
      </c>
      <c r="AI276">
        <f t="shared" si="585"/>
        <v>0</v>
      </c>
      <c r="AJ276">
        <f t="shared" si="586"/>
        <v>0</v>
      </c>
      <c r="AK276">
        <f t="shared" si="587"/>
        <v>0</v>
      </c>
      <c r="AL276">
        <f t="shared" si="588"/>
        <v>0</v>
      </c>
      <c r="AM276">
        <f t="shared" si="589"/>
        <v>0</v>
      </c>
      <c r="AN276">
        <f t="shared" si="590"/>
        <v>0</v>
      </c>
      <c r="AO276">
        <f t="shared" si="591"/>
        <v>0</v>
      </c>
      <c r="AP276">
        <f t="shared" si="592"/>
        <v>0</v>
      </c>
      <c r="AQ276">
        <f t="shared" si="593"/>
        <v>0</v>
      </c>
      <c r="AR276">
        <f t="shared" si="594"/>
        <v>0</v>
      </c>
      <c r="AS276">
        <f t="shared" si="595"/>
        <v>0</v>
      </c>
      <c r="AT276">
        <f t="shared" si="596"/>
        <v>0</v>
      </c>
      <c r="AU276">
        <f t="shared" si="597"/>
        <v>0</v>
      </c>
      <c r="AV276">
        <f t="shared" si="598"/>
        <v>0</v>
      </c>
      <c r="AW276" s="23">
        <f t="shared" si="599"/>
        <v>0</v>
      </c>
      <c r="AX276" s="24">
        <f t="shared" si="601"/>
        <v>0</v>
      </c>
      <c r="AY276" s="121">
        <f t="shared" si="602"/>
        <v>0</v>
      </c>
      <c r="AZ276" s="124">
        <f t="shared" si="603"/>
        <v>0</v>
      </c>
      <c r="BA276" s="199"/>
      <c r="BB276" s="198"/>
      <c r="BC276" s="200"/>
      <c r="BD276" s="24"/>
      <c r="BE276" s="23"/>
      <c r="BF276" s="203"/>
      <c r="BG276" s="204"/>
    </row>
    <row r="277" spans="1:59">
      <c r="A277" s="19">
        <f>B!$E$435</f>
        <v>0</v>
      </c>
      <c r="B277" s="20">
        <f>'C'!G128</f>
        <v>0</v>
      </c>
      <c r="C277" s="20">
        <f>D!G128</f>
        <v>0</v>
      </c>
      <c r="D277" s="20">
        <f>E!G128</f>
        <v>0</v>
      </c>
      <c r="E277" s="20">
        <f>F!G128</f>
        <v>0</v>
      </c>
      <c r="F277" s="20">
        <f>G!G128</f>
        <v>0</v>
      </c>
      <c r="G277" s="20">
        <f>H!G128</f>
        <v>0</v>
      </c>
      <c r="H277" s="20">
        <f>I!G128</f>
        <v>0</v>
      </c>
      <c r="I277" s="20">
        <f>J!G128</f>
        <v>0</v>
      </c>
      <c r="J277" s="20">
        <f>K!G128</f>
        <v>0</v>
      </c>
      <c r="K277" s="20">
        <f>L!G128</f>
        <v>0</v>
      </c>
      <c r="L277" s="20">
        <f>M!G128</f>
        <v>0</v>
      </c>
      <c r="M277" s="20">
        <f>N!G128</f>
        <v>0</v>
      </c>
      <c r="N277" s="20">
        <f>O!G128</f>
        <v>0</v>
      </c>
      <c r="O277" s="20">
        <f>P!G128</f>
        <v>0</v>
      </c>
      <c r="P277" s="20">
        <f>Q!G128</f>
        <v>0</v>
      </c>
      <c r="Q277" s="20">
        <f>'R'!G128</f>
        <v>0</v>
      </c>
      <c r="R277" s="20">
        <f>S!G128</f>
        <v>0</v>
      </c>
      <c r="S277" s="20">
        <f>T!G128</f>
        <v>0</v>
      </c>
      <c r="T277" s="20">
        <f>U!G128</f>
        <v>0</v>
      </c>
      <c r="U277" s="20">
        <f>V!G128</f>
        <v>0</v>
      </c>
      <c r="V277" s="20">
        <f>W!G128</f>
        <v>0</v>
      </c>
      <c r="W277" s="20">
        <f>X!G128</f>
        <v>0</v>
      </c>
      <c r="X277" s="21">
        <f t="shared" si="576"/>
        <v>0</v>
      </c>
      <c r="Y277" s="22">
        <f t="shared" si="600"/>
        <v>0</v>
      </c>
      <c r="Z277" s="122">
        <f t="shared" si="514"/>
        <v>0</v>
      </c>
      <c r="AA277" s="17">
        <f t="shared" si="577"/>
        <v>0</v>
      </c>
      <c r="AB277">
        <f t="shared" si="578"/>
        <v>0</v>
      </c>
      <c r="AC277">
        <f t="shared" si="579"/>
        <v>0</v>
      </c>
      <c r="AD277">
        <f t="shared" si="580"/>
        <v>0</v>
      </c>
      <c r="AE277">
        <f t="shared" si="581"/>
        <v>0</v>
      </c>
      <c r="AF277">
        <f t="shared" si="582"/>
        <v>0</v>
      </c>
      <c r="AG277">
        <f t="shared" si="583"/>
        <v>0</v>
      </c>
      <c r="AH277">
        <f t="shared" si="584"/>
        <v>0</v>
      </c>
      <c r="AI277">
        <f t="shared" si="585"/>
        <v>0</v>
      </c>
      <c r="AJ277">
        <f t="shared" si="586"/>
        <v>0</v>
      </c>
      <c r="AK277">
        <f t="shared" si="587"/>
        <v>0</v>
      </c>
      <c r="AL277">
        <f t="shared" si="588"/>
        <v>0</v>
      </c>
      <c r="AM277">
        <f t="shared" si="589"/>
        <v>0</v>
      </c>
      <c r="AN277">
        <f t="shared" si="590"/>
        <v>0</v>
      </c>
      <c r="AO277">
        <f t="shared" si="591"/>
        <v>0</v>
      </c>
      <c r="AP277">
        <f t="shared" si="592"/>
        <v>0</v>
      </c>
      <c r="AQ277">
        <f t="shared" si="593"/>
        <v>0</v>
      </c>
      <c r="AR277">
        <f t="shared" si="594"/>
        <v>0</v>
      </c>
      <c r="AS277">
        <f t="shared" si="595"/>
        <v>0</v>
      </c>
      <c r="AT277">
        <f t="shared" si="596"/>
        <v>0</v>
      </c>
      <c r="AU277">
        <f t="shared" si="597"/>
        <v>0</v>
      </c>
      <c r="AV277">
        <f t="shared" si="598"/>
        <v>0</v>
      </c>
      <c r="AW277" s="23">
        <f t="shared" si="599"/>
        <v>0</v>
      </c>
      <c r="AX277" s="24">
        <f t="shared" si="601"/>
        <v>0</v>
      </c>
      <c r="AY277" s="121">
        <f t="shared" si="602"/>
        <v>0</v>
      </c>
      <c r="AZ277" s="124">
        <f t="shared" si="603"/>
        <v>0</v>
      </c>
      <c r="BA277" s="199"/>
      <c r="BB277" s="198"/>
      <c r="BC277" s="200"/>
      <c r="BD277" s="24"/>
      <c r="BE277" s="23"/>
      <c r="BF277" s="203"/>
      <c r="BG277" s="204"/>
    </row>
    <row r="278" spans="1:59" ht="15.75" thickBot="1">
      <c r="A278" s="19">
        <f>B!$E$440</f>
        <v>0</v>
      </c>
      <c r="B278" s="20">
        <f>'C'!G129</f>
        <v>0</v>
      </c>
      <c r="C278" s="20">
        <f>D!G129</f>
        <v>0</v>
      </c>
      <c r="D278" s="20">
        <f>E!G129</f>
        <v>0</v>
      </c>
      <c r="E278" s="20">
        <f>F!G129</f>
        <v>0</v>
      </c>
      <c r="F278" s="20">
        <f>G!G129</f>
        <v>0</v>
      </c>
      <c r="G278" s="20">
        <f>H!G129</f>
        <v>0</v>
      </c>
      <c r="H278" s="20">
        <f>I!G129</f>
        <v>0</v>
      </c>
      <c r="I278" s="20">
        <f>J!G129</f>
        <v>0</v>
      </c>
      <c r="J278" s="20">
        <f>K!G129</f>
        <v>0</v>
      </c>
      <c r="K278" s="20">
        <f>L!G129</f>
        <v>0</v>
      </c>
      <c r="L278" s="20">
        <f>M!G129</f>
        <v>0</v>
      </c>
      <c r="M278" s="20">
        <f>N!G129</f>
        <v>0</v>
      </c>
      <c r="N278" s="20">
        <f>O!G129</f>
        <v>0</v>
      </c>
      <c r="O278" s="20">
        <f>P!G129</f>
        <v>0</v>
      </c>
      <c r="P278" s="20">
        <f>Q!G129</f>
        <v>0</v>
      </c>
      <c r="Q278" s="20">
        <f>'R'!G129</f>
        <v>0</v>
      </c>
      <c r="R278" s="20">
        <f>S!G129</f>
        <v>0</v>
      </c>
      <c r="S278" s="20">
        <f>T!G129</f>
        <v>0</v>
      </c>
      <c r="T278" s="20">
        <f>U!G129</f>
        <v>0</v>
      </c>
      <c r="U278" s="20">
        <f>V!G129</f>
        <v>0</v>
      </c>
      <c r="V278" s="20">
        <f>W!G129</f>
        <v>0</v>
      </c>
      <c r="W278" s="20">
        <f>X!G129</f>
        <v>0</v>
      </c>
      <c r="X278" s="21">
        <f t="shared" si="576"/>
        <v>0</v>
      </c>
      <c r="Y278" s="22">
        <f t="shared" si="600"/>
        <v>0</v>
      </c>
      <c r="Z278" s="122">
        <f t="shared" si="514"/>
        <v>0</v>
      </c>
      <c r="AA278" s="17">
        <f t="shared" si="577"/>
        <v>0</v>
      </c>
      <c r="AB278">
        <f t="shared" si="578"/>
        <v>0</v>
      </c>
      <c r="AC278">
        <f t="shared" si="579"/>
        <v>0</v>
      </c>
      <c r="AD278">
        <f t="shared" si="580"/>
        <v>0</v>
      </c>
      <c r="AE278">
        <f t="shared" si="581"/>
        <v>0</v>
      </c>
      <c r="AF278">
        <f t="shared" si="582"/>
        <v>0</v>
      </c>
      <c r="AG278">
        <f t="shared" si="583"/>
        <v>0</v>
      </c>
      <c r="AH278">
        <f t="shared" si="584"/>
        <v>0</v>
      </c>
      <c r="AI278">
        <f t="shared" si="585"/>
        <v>0</v>
      </c>
      <c r="AJ278">
        <f t="shared" si="586"/>
        <v>0</v>
      </c>
      <c r="AK278">
        <f t="shared" si="587"/>
        <v>0</v>
      </c>
      <c r="AL278">
        <f t="shared" si="588"/>
        <v>0</v>
      </c>
      <c r="AM278">
        <f t="shared" si="589"/>
        <v>0</v>
      </c>
      <c r="AN278">
        <f t="shared" si="590"/>
        <v>0</v>
      </c>
      <c r="AO278">
        <f t="shared" si="591"/>
        <v>0</v>
      </c>
      <c r="AP278">
        <f t="shared" si="592"/>
        <v>0</v>
      </c>
      <c r="AQ278">
        <f t="shared" si="593"/>
        <v>0</v>
      </c>
      <c r="AR278">
        <f t="shared" si="594"/>
        <v>0</v>
      </c>
      <c r="AS278">
        <f t="shared" si="595"/>
        <v>0</v>
      </c>
      <c r="AT278">
        <f t="shared" si="596"/>
        <v>0</v>
      </c>
      <c r="AU278">
        <f t="shared" si="597"/>
        <v>0</v>
      </c>
      <c r="AV278">
        <f t="shared" si="598"/>
        <v>0</v>
      </c>
      <c r="AW278" s="23">
        <f t="shared" si="599"/>
        <v>0</v>
      </c>
      <c r="AX278" s="24">
        <f t="shared" si="601"/>
        <v>0</v>
      </c>
      <c r="AY278" s="121">
        <f t="shared" si="602"/>
        <v>0</v>
      </c>
      <c r="AZ278" s="124">
        <f t="shared" si="603"/>
        <v>0</v>
      </c>
      <c r="BA278" s="199"/>
      <c r="BB278" s="198"/>
      <c r="BC278" s="200"/>
      <c r="BD278" s="24"/>
      <c r="BE278" s="23"/>
      <c r="BF278" s="203"/>
      <c r="BG278" s="204"/>
    </row>
    <row r="279" spans="1:59" ht="15.75" thickTop="1">
      <c r="A279" s="133" t="s">
        <v>134</v>
      </c>
      <c r="B279" s="134">
        <f t="shared" ref="B279:W279" si="604">SUM(B271:B278)</f>
        <v>0</v>
      </c>
      <c r="C279" s="134">
        <f t="shared" si="604"/>
        <v>0</v>
      </c>
      <c r="D279" s="134">
        <f t="shared" si="604"/>
        <v>0</v>
      </c>
      <c r="E279" s="134">
        <f t="shared" si="604"/>
        <v>0</v>
      </c>
      <c r="F279" s="134">
        <f t="shared" si="604"/>
        <v>0</v>
      </c>
      <c r="G279" s="134">
        <f t="shared" si="604"/>
        <v>0</v>
      </c>
      <c r="H279" s="134">
        <f t="shared" si="604"/>
        <v>0</v>
      </c>
      <c r="I279" s="134">
        <f t="shared" si="604"/>
        <v>0</v>
      </c>
      <c r="J279" s="134">
        <f t="shared" si="604"/>
        <v>0</v>
      </c>
      <c r="K279" s="134">
        <f t="shared" si="604"/>
        <v>0</v>
      </c>
      <c r="L279" s="134">
        <f t="shared" si="604"/>
        <v>0</v>
      </c>
      <c r="M279" s="134">
        <f t="shared" si="604"/>
        <v>0</v>
      </c>
      <c r="N279" s="134">
        <f t="shared" si="604"/>
        <v>0</v>
      </c>
      <c r="O279" s="134">
        <f t="shared" si="604"/>
        <v>0</v>
      </c>
      <c r="P279" s="134">
        <f t="shared" si="604"/>
        <v>0</v>
      </c>
      <c r="Q279" s="134">
        <f t="shared" si="604"/>
        <v>0</v>
      </c>
      <c r="R279" s="134">
        <f t="shared" si="604"/>
        <v>0</v>
      </c>
      <c r="S279" s="134">
        <f t="shared" si="604"/>
        <v>0</v>
      </c>
      <c r="T279" s="134">
        <f t="shared" si="604"/>
        <v>0</v>
      </c>
      <c r="U279" s="134">
        <f t="shared" si="604"/>
        <v>0</v>
      </c>
      <c r="V279" s="134">
        <f t="shared" si="604"/>
        <v>0</v>
      </c>
      <c r="W279" s="134">
        <f t="shared" si="604"/>
        <v>0</v>
      </c>
      <c r="X279" s="135">
        <f t="shared" si="576"/>
        <v>0</v>
      </c>
      <c r="Y279" s="137">
        <f>IF(X279=0,0,X279/AW279)</f>
        <v>0</v>
      </c>
      <c r="Z279" s="122"/>
      <c r="AA279" s="138">
        <f t="shared" ref="AA279:AV279" si="605">SUM(AA271:AA278)</f>
        <v>0</v>
      </c>
      <c r="AB279" s="11">
        <f t="shared" si="605"/>
        <v>0</v>
      </c>
      <c r="AC279" s="11">
        <f t="shared" si="605"/>
        <v>0</v>
      </c>
      <c r="AD279" s="11">
        <f t="shared" si="605"/>
        <v>0</v>
      </c>
      <c r="AE279" s="11">
        <f t="shared" si="605"/>
        <v>0</v>
      </c>
      <c r="AF279" s="11">
        <f t="shared" si="605"/>
        <v>0</v>
      </c>
      <c r="AG279" s="11">
        <f t="shared" si="605"/>
        <v>0</v>
      </c>
      <c r="AH279" s="11">
        <f t="shared" si="605"/>
        <v>0</v>
      </c>
      <c r="AI279" s="11">
        <f t="shared" si="605"/>
        <v>0</v>
      </c>
      <c r="AJ279" s="11">
        <f t="shared" si="605"/>
        <v>0</v>
      </c>
      <c r="AK279" s="11">
        <f t="shared" si="605"/>
        <v>0</v>
      </c>
      <c r="AL279" s="11">
        <f t="shared" si="605"/>
        <v>0</v>
      </c>
      <c r="AM279" s="11">
        <f t="shared" si="605"/>
        <v>0</v>
      </c>
      <c r="AN279" s="11">
        <f t="shared" si="605"/>
        <v>0</v>
      </c>
      <c r="AO279" s="11">
        <f t="shared" si="605"/>
        <v>0</v>
      </c>
      <c r="AP279" s="11">
        <f t="shared" si="605"/>
        <v>0</v>
      </c>
      <c r="AQ279" s="11">
        <f t="shared" si="605"/>
        <v>0</v>
      </c>
      <c r="AR279" s="11">
        <f t="shared" si="605"/>
        <v>0</v>
      </c>
      <c r="AS279" s="11">
        <f t="shared" si="605"/>
        <v>0</v>
      </c>
      <c r="AT279" s="11">
        <f t="shared" si="605"/>
        <v>0</v>
      </c>
      <c r="AU279" s="11">
        <f t="shared" si="605"/>
        <v>0</v>
      </c>
      <c r="AV279" s="11">
        <f t="shared" si="605"/>
        <v>0</v>
      </c>
      <c r="AW279" s="12">
        <f>MAXA(AW271:AW278)</f>
        <v>0</v>
      </c>
      <c r="AX279" s="24"/>
      <c r="AZ279" s="124"/>
      <c r="BA279" s="199"/>
      <c r="BB279" s="198"/>
      <c r="BC279" s="200"/>
      <c r="BD279" s="24"/>
      <c r="BE279" s="23"/>
      <c r="BF279" s="203"/>
      <c r="BG279" s="204"/>
    </row>
    <row r="280" spans="1:59" ht="16.5" thickBot="1">
      <c r="A280" s="105" t="s">
        <v>189</v>
      </c>
      <c r="B280" s="20">
        <f>'C'!G130</f>
        <v>0</v>
      </c>
      <c r="C280" s="20">
        <f>D!G130</f>
        <v>0</v>
      </c>
      <c r="D280" s="20">
        <f>E!G130</f>
        <v>0</v>
      </c>
      <c r="E280" s="20">
        <f>F!G130</f>
        <v>0</v>
      </c>
      <c r="F280" s="20">
        <f>G!G130</f>
        <v>0</v>
      </c>
      <c r="G280" s="20">
        <f>H!G130</f>
        <v>0</v>
      </c>
      <c r="H280" s="20">
        <f>I!G130</f>
        <v>0</v>
      </c>
      <c r="I280" s="20">
        <f>J!G130</f>
        <v>0</v>
      </c>
      <c r="J280" s="20">
        <f>K!G130</f>
        <v>0</v>
      </c>
      <c r="K280" s="20">
        <f>L!G130</f>
        <v>0</v>
      </c>
      <c r="L280" s="20">
        <f>M!G130</f>
        <v>0</v>
      </c>
      <c r="M280" s="20">
        <f>N!G130</f>
        <v>0</v>
      </c>
      <c r="N280" s="20">
        <f>O!G130</f>
        <v>0</v>
      </c>
      <c r="O280" s="20">
        <f>P!G130</f>
        <v>0</v>
      </c>
      <c r="P280" s="20">
        <f>Q!G130</f>
        <v>0</v>
      </c>
      <c r="Q280" s="20">
        <f>'R'!G130</f>
        <v>0</v>
      </c>
      <c r="R280" s="20">
        <f>S!G130</f>
        <v>0</v>
      </c>
      <c r="S280" s="20">
        <f>T!G130</f>
        <v>0</v>
      </c>
      <c r="T280" s="20">
        <f>U!G130</f>
        <v>0</v>
      </c>
      <c r="U280" s="20">
        <f>V!G130</f>
        <v>0</v>
      </c>
      <c r="V280" s="20">
        <f>W!G130</f>
        <v>0</v>
      </c>
      <c r="W280" s="20">
        <f>X!G130</f>
        <v>0</v>
      </c>
      <c r="X280" s="21">
        <f t="shared" si="576"/>
        <v>0</v>
      </c>
      <c r="Y280" s="120"/>
      <c r="Z280" s="122"/>
      <c r="AA280" s="17"/>
      <c r="AW280" s="23"/>
      <c r="AX280" s="24"/>
      <c r="AZ280" s="124"/>
      <c r="BA280" s="199"/>
      <c r="BB280" s="198"/>
      <c r="BC280" s="200"/>
      <c r="BD280" s="24"/>
      <c r="BE280" s="23"/>
      <c r="BF280" s="203"/>
      <c r="BG280" s="204"/>
    </row>
    <row r="281" spans="1:59" ht="16.5" thickTop="1" thickBot="1">
      <c r="A281" s="100" t="s">
        <v>53</v>
      </c>
      <c r="B281" s="68">
        <f t="shared" ref="B281:W281" si="606">SUM(B279:B280)</f>
        <v>0</v>
      </c>
      <c r="C281" s="68">
        <f t="shared" si="606"/>
        <v>0</v>
      </c>
      <c r="D281" s="68">
        <f t="shared" si="606"/>
        <v>0</v>
      </c>
      <c r="E281" s="68">
        <f t="shared" si="606"/>
        <v>0</v>
      </c>
      <c r="F281" s="68">
        <f t="shared" si="606"/>
        <v>0</v>
      </c>
      <c r="G281" s="68">
        <f t="shared" si="606"/>
        <v>0</v>
      </c>
      <c r="H281" s="68">
        <f t="shared" si="606"/>
        <v>0</v>
      </c>
      <c r="I281" s="68">
        <f t="shared" si="606"/>
        <v>0</v>
      </c>
      <c r="J281" s="68">
        <f t="shared" si="606"/>
        <v>0</v>
      </c>
      <c r="K281" s="68">
        <f t="shared" si="606"/>
        <v>0</v>
      </c>
      <c r="L281" s="68">
        <f t="shared" si="606"/>
        <v>0</v>
      </c>
      <c r="M281" s="68">
        <f t="shared" si="606"/>
        <v>0</v>
      </c>
      <c r="N281" s="68">
        <f t="shared" si="606"/>
        <v>0</v>
      </c>
      <c r="O281" s="68">
        <f t="shared" si="606"/>
        <v>0</v>
      </c>
      <c r="P281" s="68">
        <f t="shared" si="606"/>
        <v>0</v>
      </c>
      <c r="Q281" s="68">
        <f t="shared" si="606"/>
        <v>0</v>
      </c>
      <c r="R281" s="68">
        <f t="shared" si="606"/>
        <v>0</v>
      </c>
      <c r="S281" s="68">
        <f t="shared" si="606"/>
        <v>0</v>
      </c>
      <c r="T281" s="68">
        <f t="shared" si="606"/>
        <v>0</v>
      </c>
      <c r="U281" s="68">
        <f t="shared" si="606"/>
        <v>0</v>
      </c>
      <c r="V281" s="68">
        <f t="shared" si="606"/>
        <v>0</v>
      </c>
      <c r="W281" s="68">
        <f t="shared" si="606"/>
        <v>0</v>
      </c>
      <c r="X281" s="28">
        <f t="shared" si="576"/>
        <v>0</v>
      </c>
      <c r="Y281" s="136"/>
      <c r="Z281" s="122"/>
      <c r="AA281" s="17"/>
      <c r="AW281" s="23"/>
      <c r="AX281" s="24"/>
      <c r="AZ281" s="124"/>
      <c r="BA281" s="199"/>
      <c r="BB281" s="198"/>
      <c r="BC281" s="200"/>
      <c r="BD281" s="24">
        <f>X281</f>
        <v>0</v>
      </c>
      <c r="BE281" s="23">
        <f>A270</f>
        <v>0</v>
      </c>
      <c r="BF281" s="203"/>
      <c r="BG281" s="204"/>
    </row>
  </sheetData>
  <sheetProtection sheet="1" objects="1" scenarios="1" sort="0"/>
  <sortState xmlns:xlrd2="http://schemas.microsoft.com/office/spreadsheetml/2017/richdata2" ref="BF5:BG281">
    <sortCondition descending="1" ref="BF5"/>
  </sortState>
  <phoneticPr fontId="15" type="noConversion"/>
  <pageMargins left="1.2" right="0.25" top="0.3" bottom="0.46" header="0.5" footer="0.5"/>
  <pageSetup orientation="portrait" horizontalDpi="1200" verticalDpi="1200" r:id="rId1"/>
  <headerFooter alignWithMargins="0">
    <oddHeader>&amp;L\b:bg242</oddHeader>
    <oddFooter>&amp;C&amp;P&amp;R</oddFooter>
  </headerFooter>
  <rowBreaks count="3" manualBreakCount="3">
    <brk id="71" max="16383" man="1"/>
    <brk id="141" max="16383" man="1"/>
    <brk id="21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98C69-4B03-4771-B83F-F8892F259E2B}">
  <sheetPr transitionEvaluation="1" transitionEntry="1" codeName="Sheet3"/>
  <dimension ref="A1:EP825"/>
  <sheetViews>
    <sheetView showGridLines="0" topLeftCell="A250" zoomScale="85" zoomScaleNormal="85" workbookViewId="0">
      <selection activeCell="B277" sqref="B277"/>
    </sheetView>
  </sheetViews>
  <sheetFormatPr defaultColWidth="9.77734375" defaultRowHeight="15"/>
  <cols>
    <col min="1" max="1" width="13.77734375" customWidth="1"/>
    <col min="2" max="2" width="18.77734375" customWidth="1"/>
    <col min="3" max="3" width="12.77734375" customWidth="1"/>
    <col min="4" max="4" width="14.77734375" customWidth="1"/>
    <col min="5" max="5" width="18.77734375" customWidth="1"/>
    <col min="6" max="6" width="12.77734375" customWidth="1"/>
    <col min="7" max="7" width="11.77734375" customWidth="1"/>
    <col min="8" max="8" width="5.77734375" customWidth="1"/>
    <col min="9" max="13" width="4.77734375" customWidth="1"/>
    <col min="14" max="14" width="5.77734375" customWidth="1"/>
    <col min="15" max="15" width="4.77734375" customWidth="1"/>
    <col min="16" max="17" width="1.77734375" customWidth="1"/>
    <col min="18" max="18" width="12.77734375" customWidth="1"/>
    <col min="19" max="19" width="5.77734375" customWidth="1"/>
    <col min="20" max="20" width="8.109375" bestFit="1" customWidth="1"/>
    <col min="21" max="24" width="4.77734375" customWidth="1"/>
    <col min="25" max="25" width="5.77734375" customWidth="1"/>
    <col min="26" max="26" width="4.77734375" customWidth="1"/>
    <col min="27" max="28" width="5.77734375" customWidth="1"/>
    <col min="29" max="29" width="4.77734375" customWidth="1"/>
    <col min="30" max="146" width="3.77734375" customWidth="1"/>
  </cols>
  <sheetData>
    <row r="1" spans="1:21" ht="30">
      <c r="A1" s="38"/>
      <c r="B1" s="38" t="s">
        <v>98</v>
      </c>
      <c r="C1" s="38"/>
      <c r="D1" s="38"/>
      <c r="E1" s="38"/>
    </row>
    <row r="3" spans="1:21" ht="15.95" customHeight="1">
      <c r="B3" s="27" t="s">
        <v>99</v>
      </c>
      <c r="C3" s="63" t="s">
        <v>197</v>
      </c>
      <c r="H3" s="96"/>
      <c r="I3" s="95"/>
      <c r="J3" s="62"/>
    </row>
    <row r="4" spans="1:21" ht="15.95" customHeight="1">
      <c r="B4" s="27" t="s">
        <v>143</v>
      </c>
      <c r="C4" s="63">
        <v>335</v>
      </c>
      <c r="H4" s="96"/>
      <c r="I4" s="95"/>
      <c r="J4" s="62"/>
    </row>
    <row r="5" spans="1:21" ht="15.95" customHeight="1">
      <c r="B5" s="27" t="s">
        <v>100</v>
      </c>
      <c r="C5" s="63">
        <f>VLOOKUP(L13,K14:L22,2)</f>
        <v>12</v>
      </c>
      <c r="H5" s="96"/>
      <c r="I5" s="95"/>
      <c r="J5" s="62"/>
    </row>
    <row r="6" spans="1:21" ht="15.95" customHeight="1">
      <c r="B6" s="27" t="s">
        <v>101</v>
      </c>
      <c r="C6" s="63">
        <f>VLOOKUP(M13,K14:M17,3)</f>
        <v>5</v>
      </c>
      <c r="H6" s="96"/>
      <c r="I6" s="95"/>
      <c r="J6" s="62"/>
    </row>
    <row r="7" spans="1:21" ht="15.95" customHeight="1">
      <c r="B7" s="27" t="s">
        <v>102</v>
      </c>
      <c r="C7" s="63">
        <f>VLOOKUP(N13,K14:N17,4)</f>
        <v>3</v>
      </c>
      <c r="H7" s="96"/>
      <c r="I7" s="95"/>
      <c r="J7" s="62"/>
    </row>
    <row r="8" spans="1:21" ht="15.95" customHeight="1">
      <c r="B8" s="27" t="s">
        <v>103</v>
      </c>
      <c r="C8" s="63">
        <f>VLOOKUP(O13,K14:O30,5)</f>
        <v>22</v>
      </c>
      <c r="H8" s="96"/>
      <c r="I8" s="95"/>
      <c r="J8" s="62"/>
    </row>
    <row r="9" spans="1:21" ht="15.95" customHeight="1">
      <c r="B9" s="27" t="s">
        <v>104</v>
      </c>
      <c r="C9" s="64" t="str">
        <f>VLOOKUP(Q13,K14:Q18,7)</f>
        <v>8-Ball</v>
      </c>
      <c r="H9" s="96"/>
      <c r="I9" s="95"/>
      <c r="J9" s="62"/>
    </row>
    <row r="10" spans="1:21" ht="15.95" customHeight="1">
      <c r="B10" s="27" t="s">
        <v>105</v>
      </c>
      <c r="C10" s="64" t="str">
        <f>VLOOKUP(R13,K14:R16,8)</f>
        <v>Get-a-Cue</v>
      </c>
      <c r="H10" s="96"/>
      <c r="I10" s="95"/>
    </row>
    <row r="11" spans="1:21" ht="15.95" customHeight="1">
      <c r="B11" s="27" t="s">
        <v>106</v>
      </c>
      <c r="C11" s="65">
        <f>VLOOKUP(S13,K14:S34,9)</f>
        <v>20</v>
      </c>
      <c r="H11" s="97"/>
    </row>
    <row r="12" spans="1:21" ht="15.95" customHeight="1">
      <c r="B12" s="27" t="s">
        <v>257</v>
      </c>
      <c r="C12" s="65" t="str">
        <f>VLOOKUP(U13,K14:U20,11)</f>
        <v>Wednesday</v>
      </c>
      <c r="D12" s="222"/>
      <c r="L12" t="s">
        <v>267</v>
      </c>
    </row>
    <row r="13" spans="1:21" s="220" customFormat="1" ht="15.95" customHeight="1">
      <c r="B13" s="225" t="s">
        <v>107</v>
      </c>
      <c r="C13" s="226">
        <f>VLOOKUP(T13,K14:T21,10)</f>
        <v>0.9</v>
      </c>
      <c r="K13" s="227"/>
      <c r="L13" s="227">
        <v>5</v>
      </c>
      <c r="M13" s="227">
        <v>4</v>
      </c>
      <c r="N13" s="227">
        <v>4</v>
      </c>
      <c r="O13" s="227">
        <v>17</v>
      </c>
      <c r="P13" s="227"/>
      <c r="Q13" s="227">
        <v>1</v>
      </c>
      <c r="R13" s="227">
        <v>1</v>
      </c>
      <c r="S13" s="227">
        <v>11</v>
      </c>
      <c r="T13" s="227">
        <v>2</v>
      </c>
      <c r="U13" s="227">
        <v>3</v>
      </c>
    </row>
    <row r="14" spans="1:21">
      <c r="H14" s="62"/>
      <c r="K14">
        <v>1</v>
      </c>
      <c r="L14">
        <v>4</v>
      </c>
      <c r="M14">
        <v>2</v>
      </c>
      <c r="N14">
        <v>0</v>
      </c>
      <c r="O14" s="62">
        <v>6</v>
      </c>
      <c r="Q14" s="62" t="s">
        <v>24</v>
      </c>
      <c r="R14" t="s">
        <v>25</v>
      </c>
      <c r="S14">
        <v>10</v>
      </c>
      <c r="T14" s="207">
        <v>1</v>
      </c>
      <c r="U14" t="s">
        <v>258</v>
      </c>
    </row>
    <row r="15" spans="1:21">
      <c r="H15" s="62"/>
      <c r="K15">
        <v>2</v>
      </c>
      <c r="L15">
        <v>6</v>
      </c>
      <c r="M15">
        <v>3</v>
      </c>
      <c r="N15">
        <v>1</v>
      </c>
      <c r="O15" s="62">
        <v>7</v>
      </c>
      <c r="Q15" s="62" t="s">
        <v>244</v>
      </c>
      <c r="R15" t="s">
        <v>247</v>
      </c>
      <c r="S15">
        <v>11</v>
      </c>
      <c r="T15" s="207">
        <v>0.9</v>
      </c>
      <c r="U15" t="s">
        <v>259</v>
      </c>
    </row>
    <row r="16" spans="1:21" ht="15.75">
      <c r="A16" s="35" t="s">
        <v>26</v>
      </c>
      <c r="B16" s="172" t="s">
        <v>282</v>
      </c>
      <c r="C16" s="174" t="s">
        <v>198</v>
      </c>
      <c r="D16" s="173" t="s">
        <v>63</v>
      </c>
      <c r="E16" s="41" t="s">
        <v>281</v>
      </c>
      <c r="F16" s="174" t="s">
        <v>198</v>
      </c>
      <c r="H16" s="62"/>
      <c r="K16">
        <v>3</v>
      </c>
      <c r="L16">
        <v>8</v>
      </c>
      <c r="M16">
        <v>4</v>
      </c>
      <c r="N16">
        <v>2</v>
      </c>
      <c r="O16">
        <v>8</v>
      </c>
      <c r="Q16" t="s">
        <v>243</v>
      </c>
      <c r="R16" t="s">
        <v>248</v>
      </c>
      <c r="S16">
        <v>12</v>
      </c>
      <c r="T16" s="207">
        <v>0.8</v>
      </c>
      <c r="U16" t="s">
        <v>260</v>
      </c>
    </row>
    <row r="17" spans="1:21" ht="15.75">
      <c r="A17" s="43" t="s">
        <v>108</v>
      </c>
      <c r="B17" s="44"/>
      <c r="C17" s="206"/>
      <c r="D17" s="43" t="s">
        <v>108</v>
      </c>
      <c r="E17" s="44"/>
      <c r="F17" s="206"/>
      <c r="H17" s="62"/>
      <c r="K17">
        <v>4</v>
      </c>
      <c r="L17">
        <v>10</v>
      </c>
      <c r="M17">
        <v>5</v>
      </c>
      <c r="N17">
        <v>3</v>
      </c>
      <c r="O17">
        <v>9</v>
      </c>
      <c r="Q17" t="s">
        <v>245</v>
      </c>
      <c r="S17">
        <v>13</v>
      </c>
      <c r="T17" s="207">
        <v>0.7</v>
      </c>
      <c r="U17" t="s">
        <v>261</v>
      </c>
    </row>
    <row r="18" spans="1:21">
      <c r="A18" s="45" t="s">
        <v>109</v>
      </c>
      <c r="B18" s="39" t="s">
        <v>284</v>
      </c>
      <c r="C18" s="2" t="b">
        <v>0</v>
      </c>
      <c r="D18" s="175" t="s">
        <v>109</v>
      </c>
      <c r="E18" s="39" t="s">
        <v>333</v>
      </c>
      <c r="F18" s="2" t="b">
        <v>0</v>
      </c>
      <c r="K18">
        <v>5</v>
      </c>
      <c r="L18">
        <v>12</v>
      </c>
      <c r="O18">
        <v>10</v>
      </c>
      <c r="Q18" t="s">
        <v>246</v>
      </c>
      <c r="S18">
        <v>14</v>
      </c>
      <c r="T18" s="207">
        <v>0.6</v>
      </c>
      <c r="U18" t="s">
        <v>262</v>
      </c>
    </row>
    <row r="19" spans="1:21">
      <c r="A19" s="27" t="s">
        <v>110</v>
      </c>
      <c r="B19" s="39"/>
      <c r="C19" s="223" t="s">
        <v>265</v>
      </c>
      <c r="D19" s="27" t="s">
        <v>110</v>
      </c>
      <c r="E19" s="39"/>
      <c r="F19" s="223" t="s">
        <v>265</v>
      </c>
      <c r="K19">
        <v>6</v>
      </c>
      <c r="L19">
        <v>14</v>
      </c>
      <c r="O19">
        <v>11</v>
      </c>
      <c r="S19">
        <v>15</v>
      </c>
      <c r="T19" s="207">
        <v>0.5</v>
      </c>
      <c r="U19" t="s">
        <v>263</v>
      </c>
    </row>
    <row r="20" spans="1:21">
      <c r="A20" s="27" t="s">
        <v>111</v>
      </c>
      <c r="B20" s="39"/>
      <c r="C20" s="224">
        <v>10</v>
      </c>
      <c r="D20" s="27" t="s">
        <v>111</v>
      </c>
      <c r="E20" s="39"/>
      <c r="F20" s="224">
        <v>10</v>
      </c>
      <c r="K20">
        <v>7</v>
      </c>
      <c r="L20">
        <v>16</v>
      </c>
      <c r="O20">
        <v>12</v>
      </c>
      <c r="S20">
        <v>16</v>
      </c>
      <c r="T20" s="207">
        <v>0.4</v>
      </c>
      <c r="U20" t="s">
        <v>264</v>
      </c>
    </row>
    <row r="21" spans="1:21">
      <c r="A21" s="27" t="s">
        <v>112</v>
      </c>
      <c r="B21" s="39"/>
      <c r="C21" s="205"/>
      <c r="D21" s="27" t="s">
        <v>112</v>
      </c>
      <c r="E21" s="39"/>
      <c r="F21" s="205"/>
      <c r="K21">
        <v>8</v>
      </c>
      <c r="L21">
        <v>18</v>
      </c>
      <c r="O21">
        <v>13</v>
      </c>
      <c r="S21">
        <v>17</v>
      </c>
      <c r="T21" s="207">
        <v>0</v>
      </c>
    </row>
    <row r="22" spans="1:21">
      <c r="A22" s="27" t="s">
        <v>113</v>
      </c>
      <c r="B22" s="39"/>
      <c r="C22" s="205"/>
      <c r="D22" s="27" t="s">
        <v>113</v>
      </c>
      <c r="E22" s="39"/>
      <c r="F22" s="205"/>
      <c r="K22">
        <v>9</v>
      </c>
      <c r="L22">
        <v>20</v>
      </c>
      <c r="O22">
        <v>14</v>
      </c>
      <c r="S22">
        <v>18</v>
      </c>
    </row>
    <row r="23" spans="1:21">
      <c r="A23" s="176" t="s">
        <v>114</v>
      </c>
      <c r="B23" s="39" t="s">
        <v>285</v>
      </c>
      <c r="C23" s="2" t="b">
        <v>0</v>
      </c>
      <c r="D23" s="45" t="s">
        <v>114</v>
      </c>
      <c r="E23" s="39" t="s">
        <v>301</v>
      </c>
      <c r="F23" s="2" t="b">
        <v>0</v>
      </c>
      <c r="K23">
        <v>10</v>
      </c>
      <c r="O23">
        <v>15</v>
      </c>
      <c r="S23">
        <v>19</v>
      </c>
    </row>
    <row r="24" spans="1:21">
      <c r="A24" s="27" t="s">
        <v>110</v>
      </c>
      <c r="B24" s="39"/>
      <c r="C24" s="223" t="s">
        <v>265</v>
      </c>
      <c r="D24" s="27" t="s">
        <v>110</v>
      </c>
      <c r="E24" s="39"/>
      <c r="F24" s="223" t="s">
        <v>265</v>
      </c>
      <c r="K24">
        <v>11</v>
      </c>
      <c r="O24">
        <v>16</v>
      </c>
      <c r="S24">
        <v>20</v>
      </c>
    </row>
    <row r="25" spans="1:21">
      <c r="A25" s="27" t="s">
        <v>111</v>
      </c>
      <c r="B25" s="39"/>
      <c r="C25" s="224">
        <v>10</v>
      </c>
      <c r="D25" s="27" t="s">
        <v>111</v>
      </c>
      <c r="E25" s="39"/>
      <c r="F25" s="224">
        <v>10</v>
      </c>
      <c r="K25">
        <v>12</v>
      </c>
      <c r="O25">
        <v>17</v>
      </c>
      <c r="S25">
        <v>21</v>
      </c>
    </row>
    <row r="26" spans="1:21">
      <c r="A26" s="27" t="s">
        <v>112</v>
      </c>
      <c r="B26" s="39"/>
      <c r="C26" s="205"/>
      <c r="D26" s="27" t="s">
        <v>112</v>
      </c>
      <c r="E26" s="39"/>
      <c r="F26" s="205"/>
      <c r="K26">
        <v>13</v>
      </c>
      <c r="O26">
        <v>18</v>
      </c>
      <c r="S26">
        <v>22</v>
      </c>
    </row>
    <row r="27" spans="1:21">
      <c r="A27" s="27" t="s">
        <v>113</v>
      </c>
      <c r="B27" s="39"/>
      <c r="C27" s="205"/>
      <c r="D27" s="27" t="s">
        <v>113</v>
      </c>
      <c r="E27" s="39"/>
      <c r="F27" s="205"/>
      <c r="K27">
        <v>14</v>
      </c>
      <c r="O27">
        <v>19</v>
      </c>
      <c r="S27">
        <v>23</v>
      </c>
    </row>
    <row r="28" spans="1:21">
      <c r="A28" s="176" t="s">
        <v>115</v>
      </c>
      <c r="B28" s="39" t="s">
        <v>286</v>
      </c>
      <c r="C28" s="2" t="b">
        <v>0</v>
      </c>
      <c r="D28" s="45" t="s">
        <v>115</v>
      </c>
      <c r="E28" s="39" t="s">
        <v>334</v>
      </c>
      <c r="F28" s="2" t="b">
        <v>0</v>
      </c>
      <c r="K28">
        <v>15</v>
      </c>
      <c r="O28">
        <v>20</v>
      </c>
      <c r="S28">
        <v>24</v>
      </c>
    </row>
    <row r="29" spans="1:21">
      <c r="A29" s="27" t="s">
        <v>110</v>
      </c>
      <c r="B29" s="39"/>
      <c r="C29" s="223" t="s">
        <v>265</v>
      </c>
      <c r="D29" s="27" t="s">
        <v>110</v>
      </c>
      <c r="E29" s="39"/>
      <c r="F29" s="223" t="s">
        <v>265</v>
      </c>
      <c r="K29">
        <v>16</v>
      </c>
      <c r="O29">
        <v>21</v>
      </c>
      <c r="S29">
        <v>25</v>
      </c>
    </row>
    <row r="30" spans="1:21">
      <c r="A30" s="27" t="s">
        <v>111</v>
      </c>
      <c r="B30" s="39"/>
      <c r="C30" s="224">
        <v>10</v>
      </c>
      <c r="D30" s="27" t="s">
        <v>111</v>
      </c>
      <c r="E30" s="39"/>
      <c r="F30" s="224">
        <v>10</v>
      </c>
      <c r="K30">
        <v>17</v>
      </c>
      <c r="O30">
        <v>22</v>
      </c>
      <c r="S30">
        <v>26</v>
      </c>
    </row>
    <row r="31" spans="1:21">
      <c r="A31" s="27" t="s">
        <v>112</v>
      </c>
      <c r="B31" s="39"/>
      <c r="C31" s="205"/>
      <c r="D31" s="27" t="s">
        <v>112</v>
      </c>
      <c r="E31" s="39"/>
      <c r="F31" s="205"/>
      <c r="K31">
        <v>18</v>
      </c>
      <c r="S31">
        <v>27</v>
      </c>
    </row>
    <row r="32" spans="1:21">
      <c r="A32" s="27" t="s">
        <v>113</v>
      </c>
      <c r="B32" s="39"/>
      <c r="C32" s="205"/>
      <c r="D32" s="27" t="s">
        <v>113</v>
      </c>
      <c r="E32" s="39"/>
      <c r="F32" s="205"/>
      <c r="K32">
        <v>19</v>
      </c>
      <c r="S32">
        <v>28</v>
      </c>
    </row>
    <row r="33" spans="1:19">
      <c r="A33" s="176" t="s">
        <v>116</v>
      </c>
      <c r="B33" s="39" t="s">
        <v>287</v>
      </c>
      <c r="C33" s="2" t="b">
        <v>0</v>
      </c>
      <c r="D33" s="45" t="s">
        <v>116</v>
      </c>
      <c r="E33" s="39" t="s">
        <v>297</v>
      </c>
      <c r="F33" s="2" t="b">
        <v>0</v>
      </c>
      <c r="K33">
        <v>20</v>
      </c>
      <c r="S33">
        <v>29</v>
      </c>
    </row>
    <row r="34" spans="1:19">
      <c r="A34" s="27" t="s">
        <v>110</v>
      </c>
      <c r="B34" s="39"/>
      <c r="C34" s="223" t="s">
        <v>265</v>
      </c>
      <c r="D34" s="27" t="s">
        <v>110</v>
      </c>
      <c r="E34" s="39"/>
      <c r="F34" s="223" t="s">
        <v>265</v>
      </c>
      <c r="S34">
        <v>30</v>
      </c>
    </row>
    <row r="35" spans="1:19">
      <c r="A35" s="27" t="s">
        <v>111</v>
      </c>
      <c r="B35" s="39"/>
      <c r="C35" s="224">
        <v>10</v>
      </c>
      <c r="D35" s="27" t="s">
        <v>111</v>
      </c>
      <c r="E35" s="39"/>
      <c r="F35" s="224">
        <v>10</v>
      </c>
    </row>
    <row r="36" spans="1:19">
      <c r="A36" s="27" t="s">
        <v>112</v>
      </c>
      <c r="B36" s="39"/>
      <c r="C36" s="205"/>
      <c r="D36" s="27" t="s">
        <v>112</v>
      </c>
      <c r="E36" s="39"/>
      <c r="F36" s="205"/>
    </row>
    <row r="37" spans="1:19">
      <c r="A37" s="27" t="s">
        <v>113</v>
      </c>
      <c r="B37" s="39"/>
      <c r="C37" s="205"/>
      <c r="D37" s="27" t="s">
        <v>113</v>
      </c>
      <c r="E37" s="39"/>
      <c r="F37" s="205"/>
    </row>
    <row r="38" spans="1:19">
      <c r="A38" s="176" t="s">
        <v>117</v>
      </c>
      <c r="B38" s="39" t="s">
        <v>288</v>
      </c>
      <c r="C38" s="2" t="b">
        <v>0</v>
      </c>
      <c r="D38" s="45" t="s">
        <v>117</v>
      </c>
      <c r="E38" s="39" t="s">
        <v>335</v>
      </c>
      <c r="F38" s="2" t="b">
        <v>0</v>
      </c>
    </row>
    <row r="39" spans="1:19">
      <c r="A39" s="27" t="s">
        <v>110</v>
      </c>
      <c r="B39" s="39"/>
      <c r="C39" s="223" t="s">
        <v>265</v>
      </c>
      <c r="D39" s="27" t="s">
        <v>110</v>
      </c>
      <c r="E39" s="39"/>
      <c r="F39" s="223" t="s">
        <v>265</v>
      </c>
    </row>
    <row r="40" spans="1:19">
      <c r="A40" s="27" t="s">
        <v>111</v>
      </c>
      <c r="B40" s="39"/>
      <c r="C40" s="224">
        <v>10</v>
      </c>
      <c r="D40" s="27" t="s">
        <v>111</v>
      </c>
      <c r="E40" s="39"/>
      <c r="F40" s="224">
        <v>10</v>
      </c>
    </row>
    <row r="41" spans="1:19">
      <c r="A41" s="27" t="s">
        <v>112</v>
      </c>
      <c r="B41" s="39"/>
      <c r="C41" s="205"/>
      <c r="D41" s="27" t="s">
        <v>112</v>
      </c>
      <c r="E41" s="39"/>
      <c r="F41" s="205"/>
    </row>
    <row r="42" spans="1:19">
      <c r="A42" s="27" t="s">
        <v>113</v>
      </c>
      <c r="B42" s="39"/>
      <c r="C42" s="205"/>
      <c r="D42" s="27" t="s">
        <v>113</v>
      </c>
      <c r="E42" s="39"/>
      <c r="F42" s="205"/>
    </row>
    <row r="43" spans="1:19">
      <c r="A43" s="45" t="s">
        <v>118</v>
      </c>
      <c r="B43" s="39"/>
      <c r="C43" s="205"/>
      <c r="D43" s="45" t="s">
        <v>118</v>
      </c>
      <c r="E43" s="39"/>
      <c r="F43" s="205"/>
    </row>
    <row r="44" spans="1:19">
      <c r="A44" s="27" t="s">
        <v>110</v>
      </c>
      <c r="B44" s="39"/>
      <c r="C44" s="205"/>
      <c r="D44" s="27" t="s">
        <v>110</v>
      </c>
      <c r="E44" s="39"/>
      <c r="F44" s="205"/>
    </row>
    <row r="45" spans="1:19">
      <c r="A45" s="27" t="s">
        <v>111</v>
      </c>
      <c r="B45" s="39"/>
      <c r="C45" s="205"/>
      <c r="D45" s="27" t="s">
        <v>111</v>
      </c>
      <c r="E45" s="39"/>
      <c r="F45" s="205"/>
    </row>
    <row r="46" spans="1:19">
      <c r="A46" s="27" t="s">
        <v>112</v>
      </c>
      <c r="B46" s="39"/>
      <c r="C46" s="205"/>
      <c r="D46" s="27" t="s">
        <v>112</v>
      </c>
      <c r="E46" s="39"/>
      <c r="F46" s="205"/>
    </row>
    <row r="47" spans="1:19">
      <c r="A47" s="27" t="s">
        <v>113</v>
      </c>
      <c r="B47" s="39"/>
      <c r="C47" s="205"/>
      <c r="D47" s="27" t="s">
        <v>113</v>
      </c>
      <c r="E47" s="39"/>
      <c r="F47" s="205"/>
    </row>
    <row r="48" spans="1:19">
      <c r="A48" s="45" t="s">
        <v>119</v>
      </c>
      <c r="B48" s="39"/>
      <c r="C48" s="205"/>
      <c r="D48" s="45" t="s">
        <v>119</v>
      </c>
      <c r="E48" s="39"/>
      <c r="F48" s="205"/>
    </row>
    <row r="49" spans="1:6">
      <c r="A49" s="27" t="s">
        <v>110</v>
      </c>
      <c r="B49" s="39"/>
      <c r="C49" s="205"/>
      <c r="D49" s="27" t="s">
        <v>110</v>
      </c>
      <c r="E49" s="39"/>
      <c r="F49" s="205"/>
    </row>
    <row r="50" spans="1:6">
      <c r="A50" s="27" t="s">
        <v>111</v>
      </c>
      <c r="B50" s="39"/>
      <c r="C50" s="205"/>
      <c r="D50" s="27" t="s">
        <v>111</v>
      </c>
      <c r="E50" s="39"/>
      <c r="F50" s="205"/>
    </row>
    <row r="51" spans="1:6">
      <c r="A51" s="27" t="s">
        <v>112</v>
      </c>
      <c r="B51" s="39"/>
      <c r="C51" s="205"/>
      <c r="D51" s="27" t="s">
        <v>112</v>
      </c>
      <c r="E51" s="39"/>
      <c r="F51" s="205"/>
    </row>
    <row r="52" spans="1:6">
      <c r="A52" s="27" t="s">
        <v>113</v>
      </c>
      <c r="B52" s="39"/>
      <c r="C52" s="205"/>
      <c r="D52" s="27" t="s">
        <v>113</v>
      </c>
      <c r="E52" s="39"/>
      <c r="F52" s="205"/>
    </row>
    <row r="53" spans="1:6">
      <c r="A53" s="45" t="s">
        <v>120</v>
      </c>
      <c r="B53" s="39"/>
      <c r="C53" s="205"/>
      <c r="D53" s="45" t="s">
        <v>120</v>
      </c>
      <c r="E53" s="39"/>
      <c r="F53" s="205"/>
    </row>
    <row r="54" spans="1:6">
      <c r="A54" s="27" t="s">
        <v>110</v>
      </c>
      <c r="B54" s="39"/>
      <c r="C54" s="205"/>
      <c r="D54" s="27" t="s">
        <v>110</v>
      </c>
      <c r="E54" s="39"/>
      <c r="F54" s="205"/>
    </row>
    <row r="55" spans="1:6">
      <c r="A55" s="27" t="s">
        <v>111</v>
      </c>
      <c r="B55" s="39"/>
      <c r="C55" s="205"/>
      <c r="D55" s="27" t="s">
        <v>111</v>
      </c>
      <c r="E55" s="39"/>
      <c r="F55" s="205"/>
    </row>
    <row r="56" spans="1:6">
      <c r="A56" s="27" t="s">
        <v>112</v>
      </c>
      <c r="B56" s="39"/>
      <c r="C56" s="205"/>
      <c r="D56" s="27" t="s">
        <v>112</v>
      </c>
      <c r="E56" s="39"/>
      <c r="F56" s="205"/>
    </row>
    <row r="57" spans="1:6">
      <c r="A57" s="27" t="s">
        <v>113</v>
      </c>
      <c r="B57" s="39"/>
      <c r="C57" s="205"/>
      <c r="D57" s="27" t="s">
        <v>113</v>
      </c>
      <c r="E57" s="39"/>
      <c r="F57" s="205"/>
    </row>
    <row r="58" spans="1:6">
      <c r="B58" s="2"/>
      <c r="C58" s="205"/>
      <c r="E58" s="2"/>
      <c r="F58" s="205"/>
    </row>
    <row r="59" spans="1:6" ht="15.75">
      <c r="A59" s="35" t="s">
        <v>54</v>
      </c>
      <c r="B59" s="41" t="s">
        <v>289</v>
      </c>
      <c r="C59" s="205"/>
      <c r="D59" s="42" t="s">
        <v>64</v>
      </c>
      <c r="E59" s="41" t="s">
        <v>283</v>
      </c>
      <c r="F59" s="205"/>
    </row>
    <row r="60" spans="1:6" ht="15.75">
      <c r="A60" s="43" t="s">
        <v>108</v>
      </c>
      <c r="B60" s="44"/>
      <c r="C60" s="206"/>
      <c r="D60" s="43" t="s">
        <v>108</v>
      </c>
      <c r="E60" s="44"/>
      <c r="F60" s="206"/>
    </row>
    <row r="61" spans="1:6">
      <c r="A61" s="176" t="s">
        <v>109</v>
      </c>
      <c r="B61" s="39" t="s">
        <v>290</v>
      </c>
      <c r="C61" s="2" t="b">
        <v>0</v>
      </c>
      <c r="D61" s="45" t="s">
        <v>109</v>
      </c>
      <c r="E61" s="39">
        <v>1</v>
      </c>
      <c r="F61" s="2" t="b">
        <v>0</v>
      </c>
    </row>
    <row r="62" spans="1:6">
      <c r="A62" s="27" t="s">
        <v>110</v>
      </c>
      <c r="B62" s="39"/>
      <c r="C62" s="223" t="s">
        <v>265</v>
      </c>
      <c r="D62" s="27" t="s">
        <v>110</v>
      </c>
      <c r="E62" s="39"/>
      <c r="F62" s="223" t="s">
        <v>265</v>
      </c>
    </row>
    <row r="63" spans="1:6">
      <c r="A63" s="27" t="s">
        <v>111</v>
      </c>
      <c r="B63" s="39"/>
      <c r="C63" s="224">
        <v>10</v>
      </c>
      <c r="D63" s="27" t="s">
        <v>111</v>
      </c>
      <c r="E63" s="39"/>
      <c r="F63" s="224">
        <v>10</v>
      </c>
    </row>
    <row r="64" spans="1:6">
      <c r="A64" s="27" t="s">
        <v>112</v>
      </c>
      <c r="B64" s="39"/>
      <c r="C64" s="205"/>
      <c r="D64" s="27" t="s">
        <v>112</v>
      </c>
      <c r="E64" s="39"/>
      <c r="F64" s="205"/>
    </row>
    <row r="65" spans="1:6">
      <c r="A65" s="27" t="s">
        <v>113</v>
      </c>
      <c r="B65" s="39"/>
      <c r="C65" s="205"/>
      <c r="D65" s="27" t="s">
        <v>113</v>
      </c>
      <c r="E65" s="39"/>
      <c r="F65" s="205"/>
    </row>
    <row r="66" spans="1:6">
      <c r="A66" s="176" t="s">
        <v>114</v>
      </c>
      <c r="B66" s="39" t="s">
        <v>291</v>
      </c>
      <c r="C66" s="2" t="b">
        <v>0</v>
      </c>
      <c r="D66" s="45" t="s">
        <v>114</v>
      </c>
      <c r="E66" s="39">
        <v>2</v>
      </c>
      <c r="F66" s="2" t="b">
        <v>0</v>
      </c>
    </row>
    <row r="67" spans="1:6">
      <c r="A67" s="27" t="s">
        <v>110</v>
      </c>
      <c r="B67" s="39"/>
      <c r="C67" s="223" t="s">
        <v>265</v>
      </c>
      <c r="D67" s="27" t="s">
        <v>110</v>
      </c>
      <c r="E67" s="39"/>
      <c r="F67" s="223" t="s">
        <v>265</v>
      </c>
    </row>
    <row r="68" spans="1:6">
      <c r="A68" s="27" t="s">
        <v>111</v>
      </c>
      <c r="B68" s="39"/>
      <c r="C68" s="224">
        <v>10</v>
      </c>
      <c r="D68" s="27" t="s">
        <v>111</v>
      </c>
      <c r="E68" s="39"/>
      <c r="F68" s="224">
        <v>10</v>
      </c>
    </row>
    <row r="69" spans="1:6">
      <c r="A69" s="27" t="s">
        <v>112</v>
      </c>
      <c r="B69" s="39"/>
      <c r="C69" s="205"/>
      <c r="D69" s="27" t="s">
        <v>112</v>
      </c>
      <c r="E69" s="39"/>
      <c r="F69" s="205"/>
    </row>
    <row r="70" spans="1:6">
      <c r="A70" s="27" t="s">
        <v>113</v>
      </c>
      <c r="B70" s="39"/>
      <c r="C70" s="205"/>
      <c r="D70" s="27" t="s">
        <v>113</v>
      </c>
      <c r="E70" s="39"/>
      <c r="F70" s="205"/>
    </row>
    <row r="71" spans="1:6">
      <c r="A71" s="176" t="s">
        <v>115</v>
      </c>
      <c r="B71" s="39" t="s">
        <v>292</v>
      </c>
      <c r="C71" s="2" t="b">
        <v>0</v>
      </c>
      <c r="D71" s="45" t="s">
        <v>115</v>
      </c>
      <c r="E71" s="39">
        <v>3</v>
      </c>
      <c r="F71" s="2" t="b">
        <v>0</v>
      </c>
    </row>
    <row r="72" spans="1:6">
      <c r="A72" s="27" t="s">
        <v>110</v>
      </c>
      <c r="B72" s="228"/>
      <c r="C72" s="223" t="s">
        <v>265</v>
      </c>
      <c r="D72" s="27" t="s">
        <v>110</v>
      </c>
      <c r="E72" s="39"/>
      <c r="F72" s="223" t="s">
        <v>265</v>
      </c>
    </row>
    <row r="73" spans="1:6">
      <c r="A73" s="27" t="s">
        <v>111</v>
      </c>
      <c r="B73" s="39"/>
      <c r="C73" s="224">
        <v>10</v>
      </c>
      <c r="D73" s="27" t="s">
        <v>111</v>
      </c>
      <c r="E73" s="39"/>
      <c r="F73" s="224">
        <v>10</v>
      </c>
    </row>
    <row r="74" spans="1:6">
      <c r="A74" s="27" t="s">
        <v>112</v>
      </c>
      <c r="B74" s="39"/>
      <c r="C74" s="205"/>
      <c r="D74" s="27" t="s">
        <v>112</v>
      </c>
      <c r="E74" s="39"/>
      <c r="F74" s="205"/>
    </row>
    <row r="75" spans="1:6">
      <c r="A75" s="27" t="s">
        <v>113</v>
      </c>
      <c r="B75" s="39"/>
      <c r="C75" s="205"/>
      <c r="D75" s="27" t="s">
        <v>113</v>
      </c>
      <c r="E75" s="39"/>
      <c r="F75" s="205"/>
    </row>
    <row r="76" spans="1:6">
      <c r="A76" s="176" t="s">
        <v>116</v>
      </c>
      <c r="B76" s="39" t="s">
        <v>293</v>
      </c>
      <c r="C76" s="2" t="b">
        <v>0</v>
      </c>
      <c r="D76" s="45" t="s">
        <v>116</v>
      </c>
      <c r="E76" s="39">
        <v>4</v>
      </c>
      <c r="F76" s="2" t="b">
        <v>0</v>
      </c>
    </row>
    <row r="77" spans="1:6">
      <c r="A77" s="27" t="s">
        <v>110</v>
      </c>
      <c r="B77" s="39"/>
      <c r="C77" s="223" t="s">
        <v>265</v>
      </c>
      <c r="D77" s="27" t="s">
        <v>110</v>
      </c>
      <c r="E77" s="39"/>
      <c r="F77" s="223" t="s">
        <v>265</v>
      </c>
    </row>
    <row r="78" spans="1:6">
      <c r="A78" s="27" t="s">
        <v>111</v>
      </c>
      <c r="B78" s="39"/>
      <c r="C78" s="224">
        <v>10</v>
      </c>
      <c r="D78" s="27" t="s">
        <v>111</v>
      </c>
      <c r="E78" s="39"/>
      <c r="F78" s="224">
        <v>10</v>
      </c>
    </row>
    <row r="79" spans="1:6">
      <c r="A79" s="27" t="s">
        <v>112</v>
      </c>
      <c r="B79" s="39"/>
      <c r="C79" s="205"/>
      <c r="D79" s="27" t="s">
        <v>112</v>
      </c>
      <c r="E79" s="39"/>
      <c r="F79" s="205"/>
    </row>
    <row r="80" spans="1:6">
      <c r="A80" s="27" t="s">
        <v>113</v>
      </c>
      <c r="B80" s="39"/>
      <c r="C80" s="205"/>
      <c r="D80" s="27" t="s">
        <v>113</v>
      </c>
      <c r="E80" s="39"/>
      <c r="F80" s="205"/>
    </row>
    <row r="81" spans="1:6">
      <c r="A81" s="176" t="s">
        <v>117</v>
      </c>
      <c r="B81" s="39" t="s">
        <v>294</v>
      </c>
      <c r="C81" s="2" t="b">
        <v>0</v>
      </c>
      <c r="D81" s="45" t="s">
        <v>117</v>
      </c>
      <c r="E81" s="39">
        <v>5</v>
      </c>
      <c r="F81" s="2" t="b">
        <v>0</v>
      </c>
    </row>
    <row r="82" spans="1:6">
      <c r="A82" s="27" t="s">
        <v>110</v>
      </c>
      <c r="B82" s="39"/>
      <c r="C82" s="223" t="s">
        <v>265</v>
      </c>
      <c r="D82" s="27" t="s">
        <v>110</v>
      </c>
      <c r="E82" s="39"/>
      <c r="F82" s="223" t="s">
        <v>265</v>
      </c>
    </row>
    <row r="83" spans="1:6">
      <c r="A83" s="27" t="s">
        <v>111</v>
      </c>
      <c r="B83" s="39"/>
      <c r="C83" s="224">
        <v>10</v>
      </c>
      <c r="D83" s="27" t="s">
        <v>111</v>
      </c>
      <c r="E83" s="39"/>
      <c r="F83" s="224">
        <v>10</v>
      </c>
    </row>
    <row r="84" spans="1:6">
      <c r="A84" s="27" t="s">
        <v>112</v>
      </c>
      <c r="B84" s="39"/>
      <c r="C84" s="205"/>
      <c r="D84" s="27" t="s">
        <v>112</v>
      </c>
      <c r="E84" s="39"/>
      <c r="F84" s="205"/>
    </row>
    <row r="85" spans="1:6">
      <c r="A85" s="27" t="s">
        <v>113</v>
      </c>
      <c r="B85" s="39"/>
      <c r="C85" s="205"/>
      <c r="D85" s="27" t="s">
        <v>113</v>
      </c>
      <c r="E85" s="39"/>
      <c r="F85" s="205"/>
    </row>
    <row r="86" spans="1:6">
      <c r="A86" s="45" t="s">
        <v>118</v>
      </c>
      <c r="B86" s="39"/>
      <c r="C86" s="205"/>
      <c r="D86" s="45" t="s">
        <v>118</v>
      </c>
      <c r="E86" s="39"/>
      <c r="F86" s="205"/>
    </row>
    <row r="87" spans="1:6">
      <c r="A87" s="27" t="s">
        <v>110</v>
      </c>
      <c r="B87" s="39"/>
      <c r="C87" s="205"/>
      <c r="D87" s="27" t="s">
        <v>110</v>
      </c>
      <c r="E87" s="39"/>
      <c r="F87" s="205"/>
    </row>
    <row r="88" spans="1:6">
      <c r="A88" s="27" t="s">
        <v>111</v>
      </c>
      <c r="B88" s="39"/>
      <c r="C88" s="205"/>
      <c r="D88" s="27" t="s">
        <v>111</v>
      </c>
      <c r="E88" s="39"/>
      <c r="F88" s="205"/>
    </row>
    <row r="89" spans="1:6">
      <c r="A89" s="27" t="s">
        <v>112</v>
      </c>
      <c r="B89" s="39"/>
      <c r="C89" s="205"/>
      <c r="D89" s="27" t="s">
        <v>112</v>
      </c>
      <c r="E89" s="39"/>
      <c r="F89" s="205"/>
    </row>
    <row r="90" spans="1:6">
      <c r="A90" s="27" t="s">
        <v>113</v>
      </c>
      <c r="B90" s="39"/>
      <c r="C90" s="205"/>
      <c r="D90" s="27" t="s">
        <v>113</v>
      </c>
      <c r="E90" s="39"/>
      <c r="F90" s="205"/>
    </row>
    <row r="91" spans="1:6">
      <c r="A91" s="45" t="s">
        <v>119</v>
      </c>
      <c r="B91" s="39"/>
      <c r="C91" s="205"/>
      <c r="D91" s="45" t="s">
        <v>119</v>
      </c>
      <c r="E91" s="39"/>
      <c r="F91" s="205"/>
    </row>
    <row r="92" spans="1:6">
      <c r="A92" s="27" t="s">
        <v>110</v>
      </c>
      <c r="B92" s="39"/>
      <c r="C92" s="205"/>
      <c r="D92" s="27" t="s">
        <v>110</v>
      </c>
      <c r="E92" s="39"/>
      <c r="F92" s="205"/>
    </row>
    <row r="93" spans="1:6">
      <c r="A93" s="27" t="s">
        <v>111</v>
      </c>
      <c r="B93" s="39"/>
      <c r="C93" s="205"/>
      <c r="D93" s="27" t="s">
        <v>111</v>
      </c>
      <c r="E93" s="39"/>
      <c r="F93" s="205"/>
    </row>
    <row r="94" spans="1:6">
      <c r="A94" s="27" t="s">
        <v>112</v>
      </c>
      <c r="B94" s="39"/>
      <c r="C94" s="205"/>
      <c r="D94" s="27" t="s">
        <v>112</v>
      </c>
      <c r="E94" s="39"/>
      <c r="F94" s="205"/>
    </row>
    <row r="95" spans="1:6">
      <c r="A95" s="27" t="s">
        <v>113</v>
      </c>
      <c r="B95" s="39"/>
      <c r="C95" s="205"/>
      <c r="D95" s="27" t="s">
        <v>113</v>
      </c>
      <c r="E95" s="39"/>
      <c r="F95" s="205"/>
    </row>
    <row r="96" spans="1:6">
      <c r="A96" s="45" t="s">
        <v>120</v>
      </c>
      <c r="B96" s="39"/>
      <c r="C96" s="205"/>
      <c r="D96" s="45" t="s">
        <v>120</v>
      </c>
      <c r="E96" s="39"/>
      <c r="F96" s="205"/>
    </row>
    <row r="97" spans="1:6">
      <c r="A97" s="27" t="s">
        <v>110</v>
      </c>
      <c r="B97" s="39"/>
      <c r="C97" s="205"/>
      <c r="D97" s="27" t="s">
        <v>110</v>
      </c>
      <c r="E97" s="39"/>
      <c r="F97" s="205"/>
    </row>
    <row r="98" spans="1:6">
      <c r="A98" s="27" t="s">
        <v>111</v>
      </c>
      <c r="B98" s="39"/>
      <c r="C98" s="205"/>
      <c r="D98" s="27" t="s">
        <v>111</v>
      </c>
      <c r="E98" s="39"/>
      <c r="F98" s="205"/>
    </row>
    <row r="99" spans="1:6">
      <c r="A99" s="27" t="s">
        <v>112</v>
      </c>
      <c r="B99" s="39"/>
      <c r="C99" s="205"/>
      <c r="D99" s="27" t="s">
        <v>112</v>
      </c>
      <c r="E99" s="39"/>
      <c r="F99" s="205"/>
    </row>
    <row r="100" spans="1:6">
      <c r="A100" s="27" t="s">
        <v>113</v>
      </c>
      <c r="B100" s="39"/>
      <c r="C100" s="205"/>
      <c r="D100" s="27" t="s">
        <v>113</v>
      </c>
      <c r="E100" s="39"/>
      <c r="F100" s="205"/>
    </row>
    <row r="101" spans="1:6">
      <c r="B101" s="2"/>
      <c r="C101" s="205"/>
      <c r="E101" s="2"/>
      <c r="F101" s="205"/>
    </row>
    <row r="102" spans="1:6" ht="15.75">
      <c r="A102" s="35" t="s">
        <v>55</v>
      </c>
      <c r="B102" s="41" t="s">
        <v>295</v>
      </c>
      <c r="C102" s="205"/>
      <c r="D102" s="42" t="s">
        <v>65</v>
      </c>
      <c r="E102" s="41"/>
      <c r="F102" s="205"/>
    </row>
    <row r="103" spans="1:6" ht="15.75">
      <c r="A103" s="43" t="s">
        <v>108</v>
      </c>
      <c r="B103" s="44"/>
      <c r="C103" s="206"/>
      <c r="D103" s="43" t="s">
        <v>108</v>
      </c>
      <c r="E103" s="44"/>
      <c r="F103" s="206"/>
    </row>
    <row r="104" spans="1:6">
      <c r="A104" s="176" t="s">
        <v>109</v>
      </c>
      <c r="B104" s="39" t="s">
        <v>296</v>
      </c>
      <c r="C104" s="2" t="b">
        <v>0</v>
      </c>
      <c r="D104" s="45" t="s">
        <v>109</v>
      </c>
      <c r="E104" s="39"/>
      <c r="F104" s="2" t="b">
        <v>0</v>
      </c>
    </row>
    <row r="105" spans="1:6">
      <c r="A105" s="27" t="s">
        <v>110</v>
      </c>
      <c r="B105" s="39"/>
      <c r="C105" s="223" t="s">
        <v>265</v>
      </c>
      <c r="D105" s="27" t="s">
        <v>110</v>
      </c>
      <c r="E105" s="39"/>
      <c r="F105" s="223" t="s">
        <v>265</v>
      </c>
    </row>
    <row r="106" spans="1:6">
      <c r="A106" s="27" t="s">
        <v>111</v>
      </c>
      <c r="B106" s="39"/>
      <c r="C106" s="224">
        <v>10</v>
      </c>
      <c r="D106" s="27" t="s">
        <v>111</v>
      </c>
      <c r="E106" s="39"/>
      <c r="F106" s="224">
        <v>10</v>
      </c>
    </row>
    <row r="107" spans="1:6">
      <c r="A107" s="27" t="s">
        <v>112</v>
      </c>
      <c r="B107" s="39"/>
      <c r="C107" s="205"/>
      <c r="D107" s="27" t="s">
        <v>112</v>
      </c>
      <c r="E107" s="39"/>
      <c r="F107" s="205"/>
    </row>
    <row r="108" spans="1:6">
      <c r="A108" s="27" t="s">
        <v>113</v>
      </c>
      <c r="B108" s="39"/>
      <c r="C108" s="205"/>
      <c r="D108" s="27" t="s">
        <v>113</v>
      </c>
      <c r="E108" s="39"/>
      <c r="F108" s="205"/>
    </row>
    <row r="109" spans="1:6">
      <c r="A109" s="176" t="s">
        <v>114</v>
      </c>
      <c r="B109" s="39" t="s">
        <v>297</v>
      </c>
      <c r="C109" s="2" t="b">
        <v>0</v>
      </c>
      <c r="D109" s="45" t="s">
        <v>114</v>
      </c>
      <c r="E109" s="39"/>
      <c r="F109" s="2" t="b">
        <v>0</v>
      </c>
    </row>
    <row r="110" spans="1:6">
      <c r="A110" s="27" t="s">
        <v>110</v>
      </c>
      <c r="B110" s="39"/>
      <c r="C110" s="223" t="s">
        <v>265</v>
      </c>
      <c r="D110" s="27" t="s">
        <v>110</v>
      </c>
      <c r="E110" s="39"/>
      <c r="F110" s="223" t="s">
        <v>265</v>
      </c>
    </row>
    <row r="111" spans="1:6">
      <c r="A111" s="27" t="s">
        <v>111</v>
      </c>
      <c r="B111" s="39"/>
      <c r="C111" s="224">
        <v>10</v>
      </c>
      <c r="D111" s="27" t="s">
        <v>111</v>
      </c>
      <c r="E111" s="39"/>
      <c r="F111" s="224">
        <v>10</v>
      </c>
    </row>
    <row r="112" spans="1:6">
      <c r="A112" s="27" t="s">
        <v>112</v>
      </c>
      <c r="B112" s="39"/>
      <c r="C112" s="205"/>
      <c r="D112" s="27" t="s">
        <v>112</v>
      </c>
      <c r="E112" s="39"/>
      <c r="F112" s="205"/>
    </row>
    <row r="113" spans="1:6">
      <c r="A113" s="27" t="s">
        <v>113</v>
      </c>
      <c r="B113" s="39"/>
      <c r="C113" s="205"/>
      <c r="D113" s="27" t="s">
        <v>113</v>
      </c>
      <c r="E113" s="39"/>
      <c r="F113" s="205"/>
    </row>
    <row r="114" spans="1:6">
      <c r="A114" s="176" t="s">
        <v>115</v>
      </c>
      <c r="B114" s="39" t="s">
        <v>291</v>
      </c>
      <c r="C114" s="2" t="b">
        <v>0</v>
      </c>
      <c r="D114" s="45" t="s">
        <v>115</v>
      </c>
      <c r="E114" s="39"/>
      <c r="F114" s="2" t="b">
        <v>0</v>
      </c>
    </row>
    <row r="115" spans="1:6">
      <c r="A115" s="27" t="s">
        <v>110</v>
      </c>
      <c r="B115" s="39"/>
      <c r="C115" s="223" t="s">
        <v>265</v>
      </c>
      <c r="D115" s="27" t="s">
        <v>110</v>
      </c>
      <c r="E115" s="39"/>
      <c r="F115" s="223" t="s">
        <v>265</v>
      </c>
    </row>
    <row r="116" spans="1:6">
      <c r="A116" s="27" t="s">
        <v>111</v>
      </c>
      <c r="B116" s="39"/>
      <c r="C116" s="224">
        <v>10</v>
      </c>
      <c r="D116" s="27" t="s">
        <v>111</v>
      </c>
      <c r="E116" s="39"/>
      <c r="F116" s="224">
        <v>10</v>
      </c>
    </row>
    <row r="117" spans="1:6">
      <c r="A117" s="27" t="s">
        <v>112</v>
      </c>
      <c r="B117" s="39"/>
      <c r="C117" s="205"/>
      <c r="D117" s="27" t="s">
        <v>112</v>
      </c>
      <c r="E117" s="39"/>
      <c r="F117" s="205"/>
    </row>
    <row r="118" spans="1:6">
      <c r="A118" s="27" t="s">
        <v>113</v>
      </c>
      <c r="B118" s="39"/>
      <c r="C118" s="205"/>
      <c r="D118" s="27" t="s">
        <v>113</v>
      </c>
      <c r="E118" s="39"/>
      <c r="F118" s="205"/>
    </row>
    <row r="119" spans="1:6">
      <c r="A119" s="176" t="s">
        <v>116</v>
      </c>
      <c r="B119" s="39" t="s">
        <v>298</v>
      </c>
      <c r="C119" s="2" t="b">
        <v>0</v>
      </c>
      <c r="D119" s="45" t="s">
        <v>116</v>
      </c>
      <c r="E119" s="39"/>
      <c r="F119" s="2" t="b">
        <v>0</v>
      </c>
    </row>
    <row r="120" spans="1:6">
      <c r="A120" s="27" t="s">
        <v>110</v>
      </c>
      <c r="B120" s="39"/>
      <c r="C120" s="223" t="s">
        <v>265</v>
      </c>
      <c r="D120" s="27" t="s">
        <v>110</v>
      </c>
      <c r="E120" s="39"/>
      <c r="F120" s="223" t="s">
        <v>265</v>
      </c>
    </row>
    <row r="121" spans="1:6">
      <c r="A121" s="27" t="s">
        <v>111</v>
      </c>
      <c r="B121" s="39"/>
      <c r="C121" s="224">
        <v>10</v>
      </c>
      <c r="D121" s="27" t="s">
        <v>111</v>
      </c>
      <c r="E121" s="39"/>
      <c r="F121" s="224">
        <v>10</v>
      </c>
    </row>
    <row r="122" spans="1:6">
      <c r="A122" s="27" t="s">
        <v>112</v>
      </c>
      <c r="B122" s="39"/>
      <c r="C122" s="205"/>
      <c r="D122" s="27" t="s">
        <v>112</v>
      </c>
      <c r="E122" s="39"/>
      <c r="F122" s="205"/>
    </row>
    <row r="123" spans="1:6">
      <c r="A123" s="27" t="s">
        <v>113</v>
      </c>
      <c r="B123" s="39"/>
      <c r="C123" s="205"/>
      <c r="D123" s="27" t="s">
        <v>113</v>
      </c>
      <c r="E123" s="39"/>
      <c r="F123" s="205"/>
    </row>
    <row r="124" spans="1:6">
      <c r="A124" s="176" t="s">
        <v>117</v>
      </c>
      <c r="B124" s="39" t="s">
        <v>299</v>
      </c>
      <c r="C124" s="2" t="b">
        <v>0</v>
      </c>
      <c r="D124" s="45" t="s">
        <v>117</v>
      </c>
      <c r="E124" s="39"/>
      <c r="F124" s="2" t="b">
        <v>0</v>
      </c>
    </row>
    <row r="125" spans="1:6">
      <c r="A125" s="27" t="s">
        <v>110</v>
      </c>
      <c r="B125" s="39"/>
      <c r="C125" s="223" t="s">
        <v>265</v>
      </c>
      <c r="D125" s="27" t="s">
        <v>110</v>
      </c>
      <c r="E125" s="39"/>
      <c r="F125" s="223" t="s">
        <v>265</v>
      </c>
    </row>
    <row r="126" spans="1:6">
      <c r="A126" s="27" t="s">
        <v>111</v>
      </c>
      <c r="B126" s="39"/>
      <c r="C126" s="224">
        <v>10</v>
      </c>
      <c r="D126" s="27" t="s">
        <v>111</v>
      </c>
      <c r="E126" s="39"/>
      <c r="F126" s="224">
        <v>10</v>
      </c>
    </row>
    <row r="127" spans="1:6">
      <c r="A127" s="27" t="s">
        <v>112</v>
      </c>
      <c r="B127" s="39"/>
      <c r="C127" s="205"/>
      <c r="D127" s="27" t="s">
        <v>112</v>
      </c>
      <c r="E127" s="39"/>
      <c r="F127" s="205"/>
    </row>
    <row r="128" spans="1:6">
      <c r="A128" s="27" t="s">
        <v>113</v>
      </c>
      <c r="B128" s="39"/>
      <c r="C128" s="205"/>
      <c r="D128" s="27" t="s">
        <v>113</v>
      </c>
      <c r="E128" s="39"/>
      <c r="F128" s="205"/>
    </row>
    <row r="129" spans="1:6">
      <c r="A129" s="45" t="s">
        <v>118</v>
      </c>
      <c r="B129" s="39"/>
      <c r="C129" s="205"/>
      <c r="D129" s="45" t="s">
        <v>118</v>
      </c>
      <c r="E129" s="39"/>
      <c r="F129" s="205"/>
    </row>
    <row r="130" spans="1:6">
      <c r="A130" s="27" t="s">
        <v>110</v>
      </c>
      <c r="B130" s="39"/>
      <c r="C130" s="205"/>
      <c r="D130" s="27" t="s">
        <v>110</v>
      </c>
      <c r="E130" s="39"/>
      <c r="F130" s="205"/>
    </row>
    <row r="131" spans="1:6">
      <c r="A131" s="27" t="s">
        <v>111</v>
      </c>
      <c r="B131" s="39"/>
      <c r="C131" s="205"/>
      <c r="D131" s="27" t="s">
        <v>111</v>
      </c>
      <c r="E131" s="39"/>
      <c r="F131" s="205"/>
    </row>
    <row r="132" spans="1:6">
      <c r="A132" s="27" t="s">
        <v>112</v>
      </c>
      <c r="B132" s="39"/>
      <c r="C132" s="205"/>
      <c r="D132" s="27" t="s">
        <v>112</v>
      </c>
      <c r="E132" s="39"/>
      <c r="F132" s="205"/>
    </row>
    <row r="133" spans="1:6">
      <c r="A133" s="27" t="s">
        <v>113</v>
      </c>
      <c r="B133" s="39"/>
      <c r="C133" s="205"/>
      <c r="D133" s="27" t="s">
        <v>113</v>
      </c>
      <c r="E133" s="39"/>
      <c r="F133" s="205"/>
    </row>
    <row r="134" spans="1:6">
      <c r="A134" s="45" t="s">
        <v>119</v>
      </c>
      <c r="B134" s="39"/>
      <c r="C134" s="205"/>
      <c r="D134" s="45" t="s">
        <v>119</v>
      </c>
      <c r="E134" s="39"/>
      <c r="F134" s="205"/>
    </row>
    <row r="135" spans="1:6">
      <c r="A135" s="27" t="s">
        <v>110</v>
      </c>
      <c r="B135" s="39"/>
      <c r="C135" s="205"/>
      <c r="D135" s="27" t="s">
        <v>110</v>
      </c>
      <c r="E135" s="39"/>
      <c r="F135" s="205"/>
    </row>
    <row r="136" spans="1:6">
      <c r="A136" s="27" t="s">
        <v>111</v>
      </c>
      <c r="B136" s="39"/>
      <c r="C136" s="205"/>
      <c r="D136" s="27" t="s">
        <v>111</v>
      </c>
      <c r="E136" s="39"/>
      <c r="F136" s="205"/>
    </row>
    <row r="137" spans="1:6">
      <c r="A137" s="27" t="s">
        <v>112</v>
      </c>
      <c r="B137" s="39"/>
      <c r="C137" s="205"/>
      <c r="D137" s="27" t="s">
        <v>112</v>
      </c>
      <c r="E137" s="39"/>
      <c r="F137" s="205"/>
    </row>
    <row r="138" spans="1:6">
      <c r="A138" s="27" t="s">
        <v>113</v>
      </c>
      <c r="B138" s="39"/>
      <c r="C138" s="205"/>
      <c r="D138" s="27" t="s">
        <v>113</v>
      </c>
      <c r="E138" s="39"/>
      <c r="F138" s="205"/>
    </row>
    <row r="139" spans="1:6">
      <c r="A139" s="45" t="s">
        <v>120</v>
      </c>
      <c r="B139" s="39"/>
      <c r="C139" s="205"/>
      <c r="D139" s="45" t="s">
        <v>120</v>
      </c>
      <c r="E139" s="39"/>
      <c r="F139" s="205"/>
    </row>
    <row r="140" spans="1:6">
      <c r="A140" s="27" t="s">
        <v>110</v>
      </c>
      <c r="B140" s="39"/>
      <c r="C140" s="205"/>
      <c r="D140" s="27" t="s">
        <v>110</v>
      </c>
      <c r="E140" s="39"/>
      <c r="F140" s="205"/>
    </row>
    <row r="141" spans="1:6">
      <c r="A141" s="27" t="s">
        <v>111</v>
      </c>
      <c r="B141" s="39"/>
      <c r="C141" s="205"/>
      <c r="D141" s="27" t="s">
        <v>111</v>
      </c>
      <c r="E141" s="39"/>
      <c r="F141" s="205"/>
    </row>
    <row r="142" spans="1:6">
      <c r="A142" s="27" t="s">
        <v>112</v>
      </c>
      <c r="B142" s="39"/>
      <c r="C142" s="205"/>
      <c r="D142" s="27" t="s">
        <v>112</v>
      </c>
      <c r="E142" s="39"/>
      <c r="F142" s="205"/>
    </row>
    <row r="143" spans="1:6">
      <c r="A143" s="27" t="s">
        <v>113</v>
      </c>
      <c r="B143" s="39"/>
      <c r="C143" s="205"/>
      <c r="D143" s="27" t="s">
        <v>113</v>
      </c>
      <c r="E143" s="39"/>
      <c r="F143" s="205"/>
    </row>
    <row r="144" spans="1:6">
      <c r="B144" s="2"/>
      <c r="C144" s="205"/>
      <c r="E144" s="2"/>
      <c r="F144" s="205"/>
    </row>
    <row r="145" spans="1:6" ht="15.75">
      <c r="A145" s="35" t="s">
        <v>56</v>
      </c>
      <c r="B145" s="41" t="s">
        <v>300</v>
      </c>
      <c r="C145" s="205"/>
      <c r="D145" s="42" t="s">
        <v>66</v>
      </c>
      <c r="E145" s="41"/>
      <c r="F145" s="205"/>
    </row>
    <row r="146" spans="1:6" ht="15.75">
      <c r="A146" s="43" t="s">
        <v>108</v>
      </c>
      <c r="B146" s="44"/>
      <c r="C146" s="206"/>
      <c r="D146" s="43" t="s">
        <v>108</v>
      </c>
      <c r="E146" s="44"/>
      <c r="F146" s="206"/>
    </row>
    <row r="147" spans="1:6">
      <c r="A147" s="176" t="s">
        <v>109</v>
      </c>
      <c r="B147" s="39" t="s">
        <v>339</v>
      </c>
      <c r="C147" s="2" t="b">
        <v>0</v>
      </c>
      <c r="D147" s="45" t="s">
        <v>109</v>
      </c>
      <c r="E147" s="39"/>
      <c r="F147" s="2" t="b">
        <v>0</v>
      </c>
    </row>
    <row r="148" spans="1:6">
      <c r="A148" s="27" t="s">
        <v>110</v>
      </c>
      <c r="B148" s="39"/>
      <c r="C148" s="223" t="s">
        <v>265</v>
      </c>
      <c r="D148" s="27" t="s">
        <v>110</v>
      </c>
      <c r="E148" s="39"/>
      <c r="F148" s="223" t="s">
        <v>265</v>
      </c>
    </row>
    <row r="149" spans="1:6">
      <c r="A149" s="27" t="s">
        <v>111</v>
      </c>
      <c r="B149" s="39"/>
      <c r="C149" s="224">
        <v>10</v>
      </c>
      <c r="D149" s="27" t="s">
        <v>111</v>
      </c>
      <c r="E149" s="39"/>
      <c r="F149" s="224">
        <v>10</v>
      </c>
    </row>
    <row r="150" spans="1:6">
      <c r="A150" s="27" t="s">
        <v>112</v>
      </c>
      <c r="B150" s="39"/>
      <c r="C150" s="205"/>
      <c r="D150" s="27" t="s">
        <v>112</v>
      </c>
      <c r="E150" s="39"/>
      <c r="F150" s="205"/>
    </row>
    <row r="151" spans="1:6">
      <c r="A151" s="27" t="s">
        <v>113</v>
      </c>
      <c r="B151" s="39"/>
      <c r="C151" s="205"/>
      <c r="D151" s="27" t="s">
        <v>113</v>
      </c>
      <c r="E151" s="39"/>
      <c r="F151" s="205"/>
    </row>
    <row r="152" spans="1:6">
      <c r="A152" s="176" t="s">
        <v>114</v>
      </c>
      <c r="B152" s="39" t="s">
        <v>340</v>
      </c>
      <c r="C152" s="2" t="b">
        <v>1</v>
      </c>
      <c r="D152" s="45" t="s">
        <v>114</v>
      </c>
      <c r="E152" s="39"/>
      <c r="F152" s="2" t="b">
        <v>0</v>
      </c>
    </row>
    <row r="153" spans="1:6">
      <c r="A153" s="27" t="s">
        <v>110</v>
      </c>
      <c r="B153" s="39"/>
      <c r="C153" s="223" t="s">
        <v>265</v>
      </c>
      <c r="D153" s="27" t="s">
        <v>110</v>
      </c>
      <c r="E153" s="39"/>
      <c r="F153" s="223" t="s">
        <v>265</v>
      </c>
    </row>
    <row r="154" spans="1:6">
      <c r="A154" s="27" t="s">
        <v>111</v>
      </c>
      <c r="B154" s="39"/>
      <c r="C154" s="224">
        <v>10</v>
      </c>
      <c r="D154" s="27" t="s">
        <v>111</v>
      </c>
      <c r="E154" s="39"/>
      <c r="F154" s="224">
        <v>10</v>
      </c>
    </row>
    <row r="155" spans="1:6">
      <c r="A155" s="27" t="s">
        <v>112</v>
      </c>
      <c r="B155" s="39"/>
      <c r="C155" s="205"/>
      <c r="D155" s="27" t="s">
        <v>112</v>
      </c>
      <c r="E155" s="39"/>
      <c r="F155" s="205"/>
    </row>
    <row r="156" spans="1:6">
      <c r="A156" s="27" t="s">
        <v>113</v>
      </c>
      <c r="B156" s="39"/>
      <c r="C156" s="205"/>
      <c r="D156" s="27" t="s">
        <v>113</v>
      </c>
      <c r="E156" s="39"/>
      <c r="F156" s="205"/>
    </row>
    <row r="157" spans="1:6">
      <c r="A157" s="176" t="s">
        <v>115</v>
      </c>
      <c r="B157" s="39" t="s">
        <v>341</v>
      </c>
      <c r="C157" s="2" t="b">
        <v>0</v>
      </c>
      <c r="D157" s="45" t="s">
        <v>115</v>
      </c>
      <c r="E157" s="39"/>
      <c r="F157" s="2" t="b">
        <v>0</v>
      </c>
    </row>
    <row r="158" spans="1:6">
      <c r="A158" s="27" t="s">
        <v>110</v>
      </c>
      <c r="B158" s="39"/>
      <c r="C158" s="223" t="s">
        <v>265</v>
      </c>
      <c r="D158" s="27" t="s">
        <v>110</v>
      </c>
      <c r="E158" s="39"/>
      <c r="F158" s="223" t="s">
        <v>265</v>
      </c>
    </row>
    <row r="159" spans="1:6">
      <c r="A159" s="27" t="s">
        <v>111</v>
      </c>
      <c r="B159" s="39"/>
      <c r="C159" s="224">
        <v>10</v>
      </c>
      <c r="D159" s="27" t="s">
        <v>111</v>
      </c>
      <c r="E159" s="39"/>
      <c r="F159" s="224">
        <v>10</v>
      </c>
    </row>
    <row r="160" spans="1:6">
      <c r="A160" s="27" t="s">
        <v>112</v>
      </c>
      <c r="B160" s="39"/>
      <c r="C160" s="205"/>
      <c r="D160" s="27" t="s">
        <v>112</v>
      </c>
      <c r="E160" s="39"/>
      <c r="F160" s="205"/>
    </row>
    <row r="161" spans="1:6">
      <c r="A161" s="27" t="s">
        <v>113</v>
      </c>
      <c r="B161" s="39"/>
      <c r="C161" s="205"/>
      <c r="D161" s="27" t="s">
        <v>113</v>
      </c>
      <c r="E161" s="39"/>
      <c r="F161" s="205"/>
    </row>
    <row r="162" spans="1:6">
      <c r="A162" s="176" t="s">
        <v>116</v>
      </c>
      <c r="B162" s="39" t="s">
        <v>302</v>
      </c>
      <c r="C162" s="2" t="b">
        <v>0</v>
      </c>
      <c r="D162" s="45" t="s">
        <v>116</v>
      </c>
      <c r="E162" s="39"/>
      <c r="F162" s="2" t="b">
        <v>0</v>
      </c>
    </row>
    <row r="163" spans="1:6">
      <c r="A163" s="27" t="s">
        <v>110</v>
      </c>
      <c r="B163" s="39"/>
      <c r="C163" s="223" t="s">
        <v>265</v>
      </c>
      <c r="D163" s="27" t="s">
        <v>110</v>
      </c>
      <c r="E163" s="39"/>
      <c r="F163" s="223" t="s">
        <v>265</v>
      </c>
    </row>
    <row r="164" spans="1:6">
      <c r="A164" s="27" t="s">
        <v>111</v>
      </c>
      <c r="B164" s="39"/>
      <c r="C164" s="224">
        <v>10</v>
      </c>
      <c r="D164" s="27" t="s">
        <v>111</v>
      </c>
      <c r="E164" s="39"/>
      <c r="F164" s="224">
        <v>10</v>
      </c>
    </row>
    <row r="165" spans="1:6">
      <c r="A165" s="27" t="s">
        <v>112</v>
      </c>
      <c r="B165" s="39"/>
      <c r="C165" s="205"/>
      <c r="D165" s="27" t="s">
        <v>112</v>
      </c>
      <c r="E165" s="39"/>
      <c r="F165" s="205"/>
    </row>
    <row r="166" spans="1:6">
      <c r="A166" s="27" t="s">
        <v>113</v>
      </c>
      <c r="B166" s="39"/>
      <c r="C166" s="205"/>
      <c r="D166" s="27" t="s">
        <v>113</v>
      </c>
      <c r="E166" s="39"/>
      <c r="F166" s="205"/>
    </row>
    <row r="167" spans="1:6">
      <c r="A167" s="176" t="s">
        <v>117</v>
      </c>
      <c r="B167" s="39"/>
      <c r="C167" s="2" t="b">
        <v>0</v>
      </c>
      <c r="D167" s="45" t="s">
        <v>117</v>
      </c>
      <c r="E167" s="39"/>
      <c r="F167" s="2" t="b">
        <v>0</v>
      </c>
    </row>
    <row r="168" spans="1:6">
      <c r="A168" s="27" t="s">
        <v>110</v>
      </c>
      <c r="B168" s="39"/>
      <c r="C168" s="223" t="s">
        <v>265</v>
      </c>
      <c r="D168" s="27" t="s">
        <v>110</v>
      </c>
      <c r="E168" s="39"/>
      <c r="F168" s="223" t="s">
        <v>265</v>
      </c>
    </row>
    <row r="169" spans="1:6">
      <c r="A169" s="27" t="s">
        <v>111</v>
      </c>
      <c r="B169" s="39"/>
      <c r="C169" s="224">
        <v>10</v>
      </c>
      <c r="D169" s="27" t="s">
        <v>111</v>
      </c>
      <c r="E169" s="39"/>
      <c r="F169" s="224">
        <v>10</v>
      </c>
    </row>
    <row r="170" spans="1:6">
      <c r="A170" s="27" t="s">
        <v>112</v>
      </c>
      <c r="B170" s="39"/>
      <c r="C170" s="205"/>
      <c r="D170" s="27" t="s">
        <v>112</v>
      </c>
      <c r="E170" s="39"/>
      <c r="F170" s="205"/>
    </row>
    <row r="171" spans="1:6">
      <c r="A171" s="27" t="s">
        <v>113</v>
      </c>
      <c r="B171" s="39"/>
      <c r="C171" s="205"/>
      <c r="D171" s="27" t="s">
        <v>113</v>
      </c>
      <c r="E171" s="39"/>
      <c r="F171" s="205"/>
    </row>
    <row r="172" spans="1:6">
      <c r="A172" s="45" t="s">
        <v>118</v>
      </c>
      <c r="B172" s="39"/>
      <c r="C172" s="205"/>
      <c r="D172" s="45" t="s">
        <v>118</v>
      </c>
      <c r="E172" s="39"/>
      <c r="F172" s="205"/>
    </row>
    <row r="173" spans="1:6">
      <c r="A173" s="27" t="s">
        <v>110</v>
      </c>
      <c r="B173" s="39"/>
      <c r="C173" s="205"/>
      <c r="D173" s="27" t="s">
        <v>110</v>
      </c>
      <c r="E173" s="39"/>
      <c r="F173" s="205"/>
    </row>
    <row r="174" spans="1:6">
      <c r="A174" s="27" t="s">
        <v>111</v>
      </c>
      <c r="B174" s="39"/>
      <c r="C174" s="205"/>
      <c r="D174" s="27" t="s">
        <v>111</v>
      </c>
      <c r="E174" s="39"/>
      <c r="F174" s="205"/>
    </row>
    <row r="175" spans="1:6">
      <c r="A175" s="27" t="s">
        <v>112</v>
      </c>
      <c r="B175" s="39"/>
      <c r="C175" s="205"/>
      <c r="D175" s="27" t="s">
        <v>112</v>
      </c>
      <c r="E175" s="39"/>
      <c r="F175" s="205"/>
    </row>
    <row r="176" spans="1:6">
      <c r="A176" s="27" t="s">
        <v>113</v>
      </c>
      <c r="B176" s="39"/>
      <c r="C176" s="205"/>
      <c r="D176" s="27" t="s">
        <v>113</v>
      </c>
      <c r="E176" s="39"/>
      <c r="F176" s="205"/>
    </row>
    <row r="177" spans="1:6">
      <c r="A177" s="45" t="s">
        <v>119</v>
      </c>
      <c r="B177" s="39"/>
      <c r="C177" s="205"/>
      <c r="D177" s="45" t="s">
        <v>119</v>
      </c>
      <c r="E177" s="39"/>
      <c r="F177" s="205"/>
    </row>
    <row r="178" spans="1:6">
      <c r="A178" s="27" t="s">
        <v>110</v>
      </c>
      <c r="B178" s="39"/>
      <c r="C178" s="205"/>
      <c r="D178" s="27" t="s">
        <v>110</v>
      </c>
      <c r="E178" s="39"/>
      <c r="F178" s="205"/>
    </row>
    <row r="179" spans="1:6">
      <c r="A179" s="27" t="s">
        <v>111</v>
      </c>
      <c r="B179" s="39"/>
      <c r="C179" s="205"/>
      <c r="D179" s="27" t="s">
        <v>111</v>
      </c>
      <c r="E179" s="39"/>
      <c r="F179" s="205"/>
    </row>
    <row r="180" spans="1:6">
      <c r="A180" s="27" t="s">
        <v>112</v>
      </c>
      <c r="B180" s="39"/>
      <c r="C180" s="205"/>
      <c r="D180" s="27" t="s">
        <v>112</v>
      </c>
      <c r="E180" s="39"/>
      <c r="F180" s="205"/>
    </row>
    <row r="181" spans="1:6">
      <c r="A181" s="27" t="s">
        <v>113</v>
      </c>
      <c r="B181" s="39"/>
      <c r="C181" s="205"/>
      <c r="D181" s="27" t="s">
        <v>113</v>
      </c>
      <c r="E181" s="39"/>
      <c r="F181" s="205"/>
    </row>
    <row r="182" spans="1:6">
      <c r="A182" s="45" t="s">
        <v>120</v>
      </c>
      <c r="B182" s="39"/>
      <c r="C182" s="205"/>
      <c r="D182" s="45" t="s">
        <v>120</v>
      </c>
      <c r="E182" s="39"/>
      <c r="F182" s="205"/>
    </row>
    <row r="183" spans="1:6">
      <c r="A183" s="27" t="s">
        <v>110</v>
      </c>
      <c r="B183" s="39"/>
      <c r="C183" s="205"/>
      <c r="D183" s="27" t="s">
        <v>110</v>
      </c>
      <c r="E183" s="39"/>
      <c r="F183" s="205"/>
    </row>
    <row r="184" spans="1:6">
      <c r="A184" s="27" t="s">
        <v>111</v>
      </c>
      <c r="B184" s="39"/>
      <c r="C184" s="205"/>
      <c r="D184" s="27" t="s">
        <v>111</v>
      </c>
      <c r="E184" s="39"/>
      <c r="F184" s="205"/>
    </row>
    <row r="185" spans="1:6">
      <c r="A185" s="27" t="s">
        <v>112</v>
      </c>
      <c r="B185" s="39"/>
      <c r="C185" s="205"/>
      <c r="D185" s="27" t="s">
        <v>112</v>
      </c>
      <c r="E185" s="39"/>
      <c r="F185" s="205"/>
    </row>
    <row r="186" spans="1:6">
      <c r="A186" s="27" t="s">
        <v>113</v>
      </c>
      <c r="B186" s="39"/>
      <c r="C186" s="205"/>
      <c r="D186" s="27" t="s">
        <v>113</v>
      </c>
      <c r="E186" s="39"/>
      <c r="F186" s="205"/>
    </row>
    <row r="187" spans="1:6">
      <c r="B187" s="2"/>
      <c r="C187" s="205"/>
      <c r="E187" s="2"/>
      <c r="F187" s="205"/>
    </row>
    <row r="188" spans="1:6" ht="15.75">
      <c r="A188" s="35" t="s">
        <v>57</v>
      </c>
      <c r="B188" s="41" t="s">
        <v>304</v>
      </c>
      <c r="C188" s="205"/>
      <c r="D188" s="42" t="s">
        <v>67</v>
      </c>
      <c r="E188" s="41"/>
      <c r="F188" s="205"/>
    </row>
    <row r="189" spans="1:6" ht="15.75">
      <c r="A189" s="43" t="s">
        <v>108</v>
      </c>
      <c r="B189" s="44"/>
      <c r="C189" s="206"/>
      <c r="D189" s="43" t="s">
        <v>108</v>
      </c>
      <c r="E189" s="44"/>
      <c r="F189" s="206"/>
    </row>
    <row r="190" spans="1:6">
      <c r="A190" s="176" t="s">
        <v>109</v>
      </c>
      <c r="B190" s="39" t="s">
        <v>305</v>
      </c>
      <c r="C190" s="2" t="b">
        <v>0</v>
      </c>
      <c r="D190" s="45" t="s">
        <v>109</v>
      </c>
      <c r="E190" s="39"/>
      <c r="F190" s="2" t="b">
        <v>0</v>
      </c>
    </row>
    <row r="191" spans="1:6">
      <c r="A191" s="27" t="s">
        <v>110</v>
      </c>
      <c r="B191" s="39"/>
      <c r="C191" s="223" t="s">
        <v>265</v>
      </c>
      <c r="D191" s="27" t="s">
        <v>110</v>
      </c>
      <c r="E191" s="39"/>
      <c r="F191" s="223" t="s">
        <v>265</v>
      </c>
    </row>
    <row r="192" spans="1:6">
      <c r="A192" s="27" t="s">
        <v>111</v>
      </c>
      <c r="B192" s="39"/>
      <c r="C192" s="224">
        <v>10</v>
      </c>
      <c r="D192" s="27" t="s">
        <v>111</v>
      </c>
      <c r="E192" s="39"/>
      <c r="F192" s="224">
        <v>10</v>
      </c>
    </row>
    <row r="193" spans="1:6">
      <c r="A193" s="27" t="s">
        <v>112</v>
      </c>
      <c r="B193" s="39"/>
      <c r="C193" s="205"/>
      <c r="D193" s="27" t="s">
        <v>112</v>
      </c>
      <c r="E193" s="39"/>
      <c r="F193" s="205"/>
    </row>
    <row r="194" spans="1:6">
      <c r="A194" s="27" t="s">
        <v>113</v>
      </c>
      <c r="B194" s="39"/>
      <c r="C194" s="205"/>
      <c r="D194" s="27" t="s">
        <v>113</v>
      </c>
      <c r="E194" s="39"/>
      <c r="F194" s="205"/>
    </row>
    <row r="195" spans="1:6">
      <c r="A195" s="176" t="s">
        <v>114</v>
      </c>
      <c r="B195" s="39" t="s">
        <v>306</v>
      </c>
      <c r="C195" s="2" t="b">
        <v>0</v>
      </c>
      <c r="D195" s="45" t="s">
        <v>114</v>
      </c>
      <c r="E195" s="39"/>
      <c r="F195" s="2" t="b">
        <v>0</v>
      </c>
    </row>
    <row r="196" spans="1:6">
      <c r="A196" s="27" t="s">
        <v>110</v>
      </c>
      <c r="B196" s="39"/>
      <c r="C196" s="223" t="s">
        <v>265</v>
      </c>
      <c r="D196" s="27" t="s">
        <v>110</v>
      </c>
      <c r="E196" s="39"/>
      <c r="F196" s="223" t="s">
        <v>265</v>
      </c>
    </row>
    <row r="197" spans="1:6">
      <c r="A197" s="27" t="s">
        <v>111</v>
      </c>
      <c r="B197" s="39"/>
      <c r="C197" s="224">
        <v>10</v>
      </c>
      <c r="D197" s="27" t="s">
        <v>111</v>
      </c>
      <c r="E197" s="39"/>
      <c r="F197" s="224">
        <v>10</v>
      </c>
    </row>
    <row r="198" spans="1:6">
      <c r="A198" s="27" t="s">
        <v>112</v>
      </c>
      <c r="B198" s="39"/>
      <c r="C198" s="205"/>
      <c r="D198" s="27" t="s">
        <v>112</v>
      </c>
      <c r="E198" s="39"/>
      <c r="F198" s="205"/>
    </row>
    <row r="199" spans="1:6">
      <c r="A199" s="27" t="s">
        <v>113</v>
      </c>
      <c r="B199" s="39"/>
      <c r="C199" s="205"/>
      <c r="D199" s="27" t="s">
        <v>113</v>
      </c>
      <c r="E199" s="39"/>
      <c r="F199" s="205"/>
    </row>
    <row r="200" spans="1:6">
      <c r="A200" s="176" t="s">
        <v>115</v>
      </c>
      <c r="B200" s="39" t="s">
        <v>303</v>
      </c>
      <c r="C200" s="2" t="b">
        <v>0</v>
      </c>
      <c r="D200" s="45" t="s">
        <v>115</v>
      </c>
      <c r="E200" s="39"/>
      <c r="F200" s="2" t="b">
        <v>0</v>
      </c>
    </row>
    <row r="201" spans="1:6">
      <c r="A201" s="27" t="s">
        <v>110</v>
      </c>
      <c r="B201" s="39"/>
      <c r="C201" s="223" t="s">
        <v>265</v>
      </c>
      <c r="D201" s="27" t="s">
        <v>110</v>
      </c>
      <c r="E201" s="39"/>
      <c r="F201" s="223" t="s">
        <v>265</v>
      </c>
    </row>
    <row r="202" spans="1:6">
      <c r="A202" s="27" t="s">
        <v>111</v>
      </c>
      <c r="B202" s="39"/>
      <c r="C202" s="224">
        <v>10</v>
      </c>
      <c r="D202" s="27" t="s">
        <v>111</v>
      </c>
      <c r="E202" s="39"/>
      <c r="F202" s="224">
        <v>10</v>
      </c>
    </row>
    <row r="203" spans="1:6">
      <c r="A203" s="27" t="s">
        <v>112</v>
      </c>
      <c r="B203" s="39"/>
      <c r="C203" s="205"/>
      <c r="D203" s="27" t="s">
        <v>112</v>
      </c>
      <c r="E203" s="39"/>
      <c r="F203" s="205"/>
    </row>
    <row r="204" spans="1:6">
      <c r="A204" s="27" t="s">
        <v>113</v>
      </c>
      <c r="B204" s="39"/>
      <c r="C204" s="205"/>
      <c r="D204" s="27" t="s">
        <v>113</v>
      </c>
      <c r="E204" s="39"/>
      <c r="F204" s="205"/>
    </row>
    <row r="205" spans="1:6">
      <c r="A205" s="176" t="s">
        <v>116</v>
      </c>
      <c r="B205" s="39" t="s">
        <v>307</v>
      </c>
      <c r="C205" s="2" t="b">
        <v>0</v>
      </c>
      <c r="D205" s="45" t="s">
        <v>116</v>
      </c>
      <c r="E205" s="39"/>
      <c r="F205" s="2" t="b">
        <v>0</v>
      </c>
    </row>
    <row r="206" spans="1:6">
      <c r="A206" s="27" t="s">
        <v>110</v>
      </c>
      <c r="B206" s="39"/>
      <c r="C206" s="223" t="s">
        <v>265</v>
      </c>
      <c r="D206" s="27" t="s">
        <v>110</v>
      </c>
      <c r="E206" s="39"/>
      <c r="F206" s="223" t="s">
        <v>265</v>
      </c>
    </row>
    <row r="207" spans="1:6">
      <c r="A207" s="27" t="s">
        <v>111</v>
      </c>
      <c r="B207" s="39"/>
      <c r="C207" s="224">
        <v>10</v>
      </c>
      <c r="D207" s="27" t="s">
        <v>111</v>
      </c>
      <c r="E207" s="39"/>
      <c r="F207" s="224">
        <v>10</v>
      </c>
    </row>
    <row r="208" spans="1:6">
      <c r="A208" s="27" t="s">
        <v>112</v>
      </c>
      <c r="B208" s="39"/>
      <c r="C208" s="205"/>
      <c r="D208" s="27" t="s">
        <v>112</v>
      </c>
      <c r="E208" s="39"/>
      <c r="F208" s="205"/>
    </row>
    <row r="209" spans="1:6">
      <c r="A209" s="27" t="s">
        <v>113</v>
      </c>
      <c r="B209" s="39"/>
      <c r="C209" s="205"/>
      <c r="D209" s="27" t="s">
        <v>113</v>
      </c>
      <c r="E209" s="39"/>
      <c r="F209" s="205"/>
    </row>
    <row r="210" spans="1:6">
      <c r="A210" s="176" t="s">
        <v>117</v>
      </c>
      <c r="B210" s="39" t="s">
        <v>308</v>
      </c>
      <c r="C210" s="2" t="b">
        <v>0</v>
      </c>
      <c r="D210" s="45" t="s">
        <v>117</v>
      </c>
      <c r="E210" s="39"/>
      <c r="F210" s="2" t="b">
        <v>0</v>
      </c>
    </row>
    <row r="211" spans="1:6">
      <c r="A211" s="27" t="s">
        <v>110</v>
      </c>
      <c r="B211" s="39"/>
      <c r="C211" s="223" t="s">
        <v>265</v>
      </c>
      <c r="D211" s="27" t="s">
        <v>110</v>
      </c>
      <c r="E211" s="39"/>
      <c r="F211" s="223" t="s">
        <v>265</v>
      </c>
    </row>
    <row r="212" spans="1:6">
      <c r="A212" s="27" t="s">
        <v>111</v>
      </c>
      <c r="B212" s="39"/>
      <c r="C212" s="224">
        <v>10</v>
      </c>
      <c r="D212" s="27" t="s">
        <v>111</v>
      </c>
      <c r="E212" s="39"/>
      <c r="F212" s="224">
        <v>10</v>
      </c>
    </row>
    <row r="213" spans="1:6">
      <c r="A213" s="27" t="s">
        <v>112</v>
      </c>
      <c r="B213" s="39"/>
      <c r="C213" s="205"/>
      <c r="D213" s="27" t="s">
        <v>112</v>
      </c>
      <c r="E213" s="39"/>
      <c r="F213" s="205"/>
    </row>
    <row r="214" spans="1:6">
      <c r="A214" s="27" t="s">
        <v>113</v>
      </c>
      <c r="B214" s="39"/>
      <c r="C214" s="205"/>
      <c r="D214" s="27" t="s">
        <v>113</v>
      </c>
      <c r="E214" s="39"/>
      <c r="F214" s="205"/>
    </row>
    <row r="215" spans="1:6">
      <c r="A215" s="45" t="s">
        <v>118</v>
      </c>
      <c r="B215" s="39"/>
      <c r="C215" s="205"/>
      <c r="D215" s="45" t="s">
        <v>118</v>
      </c>
      <c r="E215" s="39"/>
      <c r="F215" s="205"/>
    </row>
    <row r="216" spans="1:6">
      <c r="A216" s="27" t="s">
        <v>110</v>
      </c>
      <c r="B216" s="39"/>
      <c r="C216" s="205"/>
      <c r="D216" s="27" t="s">
        <v>110</v>
      </c>
      <c r="E216" s="39"/>
      <c r="F216" s="205"/>
    </row>
    <row r="217" spans="1:6">
      <c r="A217" s="27" t="s">
        <v>111</v>
      </c>
      <c r="B217" s="39"/>
      <c r="C217" s="205"/>
      <c r="D217" s="27" t="s">
        <v>111</v>
      </c>
      <c r="E217" s="39"/>
      <c r="F217" s="205"/>
    </row>
    <row r="218" spans="1:6">
      <c r="A218" s="27" t="s">
        <v>112</v>
      </c>
      <c r="B218" s="39"/>
      <c r="C218" s="205"/>
      <c r="D218" s="27" t="s">
        <v>112</v>
      </c>
      <c r="E218" s="39"/>
      <c r="F218" s="205"/>
    </row>
    <row r="219" spans="1:6">
      <c r="A219" s="27" t="s">
        <v>113</v>
      </c>
      <c r="B219" s="39"/>
      <c r="C219" s="205"/>
      <c r="D219" s="27" t="s">
        <v>113</v>
      </c>
      <c r="E219" s="39"/>
      <c r="F219" s="205"/>
    </row>
    <row r="220" spans="1:6">
      <c r="A220" s="45" t="s">
        <v>119</v>
      </c>
      <c r="B220" s="39"/>
      <c r="C220" s="205"/>
      <c r="D220" s="45" t="s">
        <v>119</v>
      </c>
      <c r="E220" s="39"/>
      <c r="F220" s="205"/>
    </row>
    <row r="221" spans="1:6">
      <c r="A221" s="27" t="s">
        <v>110</v>
      </c>
      <c r="B221" s="39"/>
      <c r="C221" s="205"/>
      <c r="D221" s="27" t="s">
        <v>110</v>
      </c>
      <c r="E221" s="39"/>
      <c r="F221" s="205"/>
    </row>
    <row r="222" spans="1:6">
      <c r="A222" s="27" t="s">
        <v>111</v>
      </c>
      <c r="B222" s="39"/>
      <c r="C222" s="205"/>
      <c r="D222" s="27" t="s">
        <v>111</v>
      </c>
      <c r="E222" s="39"/>
      <c r="F222" s="205"/>
    </row>
    <row r="223" spans="1:6">
      <c r="A223" s="27" t="s">
        <v>112</v>
      </c>
      <c r="B223" s="39"/>
      <c r="C223" s="205"/>
      <c r="D223" s="27" t="s">
        <v>112</v>
      </c>
      <c r="E223" s="39"/>
      <c r="F223" s="205"/>
    </row>
    <row r="224" spans="1:6">
      <c r="A224" s="27" t="s">
        <v>113</v>
      </c>
      <c r="B224" s="39"/>
      <c r="C224" s="205"/>
      <c r="D224" s="27" t="s">
        <v>113</v>
      </c>
      <c r="E224" s="39"/>
      <c r="F224" s="205"/>
    </row>
    <row r="225" spans="1:6">
      <c r="A225" s="45" t="s">
        <v>120</v>
      </c>
      <c r="B225" s="39"/>
      <c r="C225" s="205"/>
      <c r="D225" s="45" t="s">
        <v>120</v>
      </c>
      <c r="E225" s="39"/>
      <c r="F225" s="205"/>
    </row>
    <row r="226" spans="1:6">
      <c r="A226" s="27" t="s">
        <v>110</v>
      </c>
      <c r="B226" s="39"/>
      <c r="C226" s="205"/>
      <c r="D226" s="27" t="s">
        <v>110</v>
      </c>
      <c r="E226" s="39"/>
      <c r="F226" s="205"/>
    </row>
    <row r="227" spans="1:6">
      <c r="A227" s="27" t="s">
        <v>111</v>
      </c>
      <c r="B227" s="39"/>
      <c r="C227" s="205"/>
      <c r="D227" s="27" t="s">
        <v>111</v>
      </c>
      <c r="E227" s="39"/>
      <c r="F227" s="205"/>
    </row>
    <row r="228" spans="1:6">
      <c r="A228" s="27" t="s">
        <v>112</v>
      </c>
      <c r="B228" s="39"/>
      <c r="C228" s="205"/>
      <c r="D228" s="27" t="s">
        <v>112</v>
      </c>
      <c r="E228" s="39"/>
      <c r="F228" s="205"/>
    </row>
    <row r="229" spans="1:6">
      <c r="A229" s="27" t="s">
        <v>113</v>
      </c>
      <c r="B229" s="39"/>
      <c r="C229" s="205"/>
      <c r="D229" s="27" t="s">
        <v>113</v>
      </c>
      <c r="E229" s="39"/>
      <c r="F229" s="205"/>
    </row>
    <row r="230" spans="1:6">
      <c r="B230" s="2"/>
      <c r="C230" s="205"/>
      <c r="E230" s="2"/>
      <c r="F230" s="205"/>
    </row>
    <row r="231" spans="1:6" ht="15.75">
      <c r="A231" s="35" t="s">
        <v>58</v>
      </c>
      <c r="B231" s="41" t="s">
        <v>309</v>
      </c>
      <c r="C231" s="205"/>
      <c r="D231" s="42" t="s">
        <v>68</v>
      </c>
      <c r="E231" s="41"/>
      <c r="F231" s="205"/>
    </row>
    <row r="232" spans="1:6" ht="15.75">
      <c r="A232" s="43" t="s">
        <v>108</v>
      </c>
      <c r="B232" s="44"/>
      <c r="C232" s="206"/>
      <c r="D232" s="43" t="s">
        <v>108</v>
      </c>
      <c r="E232" s="44"/>
      <c r="F232" s="206"/>
    </row>
    <row r="233" spans="1:6">
      <c r="A233" s="176" t="s">
        <v>109</v>
      </c>
      <c r="B233" s="39" t="s">
        <v>310</v>
      </c>
      <c r="C233" s="2" t="b">
        <v>0</v>
      </c>
      <c r="D233" s="45" t="s">
        <v>109</v>
      </c>
      <c r="E233" s="39"/>
      <c r="F233" s="2" t="b">
        <v>0</v>
      </c>
    </row>
    <row r="234" spans="1:6">
      <c r="A234" s="27" t="s">
        <v>110</v>
      </c>
      <c r="B234" s="39"/>
      <c r="C234" s="223" t="s">
        <v>265</v>
      </c>
      <c r="D234" s="27" t="s">
        <v>110</v>
      </c>
      <c r="E234" s="39"/>
      <c r="F234" s="223" t="s">
        <v>265</v>
      </c>
    </row>
    <row r="235" spans="1:6">
      <c r="A235" s="27" t="s">
        <v>111</v>
      </c>
      <c r="B235" s="39"/>
      <c r="C235" s="224">
        <v>10</v>
      </c>
      <c r="D235" s="27" t="s">
        <v>111</v>
      </c>
      <c r="E235" s="39"/>
      <c r="F235" s="224">
        <v>10</v>
      </c>
    </row>
    <row r="236" spans="1:6">
      <c r="A236" s="27" t="s">
        <v>112</v>
      </c>
      <c r="B236" s="39"/>
      <c r="C236" s="205"/>
      <c r="D236" s="27" t="s">
        <v>112</v>
      </c>
      <c r="E236" s="39"/>
      <c r="F236" s="205"/>
    </row>
    <row r="237" spans="1:6">
      <c r="A237" s="27" t="s">
        <v>113</v>
      </c>
      <c r="B237" s="39"/>
      <c r="C237" s="205"/>
      <c r="D237" s="27" t="s">
        <v>113</v>
      </c>
      <c r="E237" s="39"/>
      <c r="F237" s="205"/>
    </row>
    <row r="238" spans="1:6">
      <c r="A238" s="176" t="s">
        <v>114</v>
      </c>
      <c r="B238" s="39" t="s">
        <v>311</v>
      </c>
      <c r="C238" s="2" t="b">
        <v>0</v>
      </c>
      <c r="D238" s="45" t="s">
        <v>114</v>
      </c>
      <c r="E238" s="39"/>
      <c r="F238" s="2" t="b">
        <v>0</v>
      </c>
    </row>
    <row r="239" spans="1:6">
      <c r="A239" s="27" t="s">
        <v>110</v>
      </c>
      <c r="B239" s="39"/>
      <c r="C239" s="223" t="s">
        <v>265</v>
      </c>
      <c r="D239" s="27" t="s">
        <v>110</v>
      </c>
      <c r="E239" s="39"/>
      <c r="F239" s="223" t="s">
        <v>265</v>
      </c>
    </row>
    <row r="240" spans="1:6">
      <c r="A240" s="27" t="s">
        <v>111</v>
      </c>
      <c r="B240" s="39"/>
      <c r="C240" s="224">
        <v>10</v>
      </c>
      <c r="D240" s="27" t="s">
        <v>111</v>
      </c>
      <c r="E240" s="39"/>
      <c r="F240" s="224">
        <v>10</v>
      </c>
    </row>
    <row r="241" spans="1:6">
      <c r="A241" s="27" t="s">
        <v>112</v>
      </c>
      <c r="B241" s="39"/>
      <c r="C241" s="205"/>
      <c r="D241" s="27" t="s">
        <v>112</v>
      </c>
      <c r="E241" s="39"/>
      <c r="F241" s="205"/>
    </row>
    <row r="242" spans="1:6">
      <c r="A242" s="27" t="s">
        <v>113</v>
      </c>
      <c r="B242" s="39"/>
      <c r="C242" s="205"/>
      <c r="D242" s="27" t="s">
        <v>113</v>
      </c>
      <c r="E242" s="39"/>
      <c r="F242" s="205"/>
    </row>
    <row r="243" spans="1:6">
      <c r="A243" s="176" t="s">
        <v>115</v>
      </c>
      <c r="B243" s="39" t="s">
        <v>336</v>
      </c>
      <c r="C243" s="2" t="b">
        <v>0</v>
      </c>
      <c r="D243" s="45" t="s">
        <v>115</v>
      </c>
      <c r="E243" s="39"/>
      <c r="F243" s="2" t="b">
        <v>0</v>
      </c>
    </row>
    <row r="244" spans="1:6">
      <c r="A244" s="27" t="s">
        <v>110</v>
      </c>
      <c r="B244" s="39"/>
      <c r="C244" s="223" t="s">
        <v>265</v>
      </c>
      <c r="D244" s="27" t="s">
        <v>110</v>
      </c>
      <c r="E244" s="39"/>
      <c r="F244" s="223" t="s">
        <v>265</v>
      </c>
    </row>
    <row r="245" spans="1:6">
      <c r="A245" s="27" t="s">
        <v>111</v>
      </c>
      <c r="B245" s="39"/>
      <c r="C245" s="224">
        <v>10</v>
      </c>
      <c r="D245" s="27" t="s">
        <v>111</v>
      </c>
      <c r="E245" s="39"/>
      <c r="F245" s="224">
        <v>10</v>
      </c>
    </row>
    <row r="246" spans="1:6">
      <c r="A246" s="27" t="s">
        <v>112</v>
      </c>
      <c r="B246" s="39"/>
      <c r="C246" s="205"/>
      <c r="D246" s="27" t="s">
        <v>112</v>
      </c>
      <c r="E246" s="39"/>
      <c r="F246" s="205"/>
    </row>
    <row r="247" spans="1:6">
      <c r="A247" s="27" t="s">
        <v>113</v>
      </c>
      <c r="B247" s="39"/>
      <c r="C247" s="205"/>
      <c r="D247" s="27" t="s">
        <v>113</v>
      </c>
      <c r="E247" s="39"/>
      <c r="F247" s="205"/>
    </row>
    <row r="248" spans="1:6">
      <c r="A248" s="176" t="s">
        <v>116</v>
      </c>
      <c r="B248" s="39" t="s">
        <v>312</v>
      </c>
      <c r="C248" s="2" t="b">
        <v>0</v>
      </c>
      <c r="D248" s="45" t="s">
        <v>116</v>
      </c>
      <c r="E248" s="39"/>
      <c r="F248" s="2" t="b">
        <v>0</v>
      </c>
    </row>
    <row r="249" spans="1:6">
      <c r="A249" s="27" t="s">
        <v>110</v>
      </c>
      <c r="B249" s="39"/>
      <c r="C249" s="223" t="s">
        <v>265</v>
      </c>
      <c r="D249" s="27" t="s">
        <v>110</v>
      </c>
      <c r="E249" s="39"/>
      <c r="F249" s="223" t="s">
        <v>265</v>
      </c>
    </row>
    <row r="250" spans="1:6">
      <c r="A250" s="27" t="s">
        <v>111</v>
      </c>
      <c r="B250" s="39"/>
      <c r="C250" s="224">
        <v>10</v>
      </c>
      <c r="D250" s="27" t="s">
        <v>111</v>
      </c>
      <c r="E250" s="39"/>
      <c r="F250" s="224">
        <v>10</v>
      </c>
    </row>
    <row r="251" spans="1:6">
      <c r="A251" s="27" t="s">
        <v>112</v>
      </c>
      <c r="B251" s="39"/>
      <c r="C251" s="205"/>
      <c r="D251" s="27" t="s">
        <v>112</v>
      </c>
      <c r="E251" s="39"/>
      <c r="F251" s="205"/>
    </row>
    <row r="252" spans="1:6">
      <c r="A252" s="27" t="s">
        <v>113</v>
      </c>
      <c r="B252" s="39"/>
      <c r="C252" s="205"/>
      <c r="D252" s="27" t="s">
        <v>113</v>
      </c>
      <c r="E252" s="39"/>
      <c r="F252" s="205"/>
    </row>
    <row r="253" spans="1:6">
      <c r="A253" s="176" t="s">
        <v>117</v>
      </c>
      <c r="B253" s="39" t="s">
        <v>313</v>
      </c>
      <c r="C253" s="2" t="b">
        <v>0</v>
      </c>
      <c r="D253" s="45" t="s">
        <v>117</v>
      </c>
      <c r="E253" s="39"/>
      <c r="F253" s="2" t="b">
        <v>0</v>
      </c>
    </row>
    <row r="254" spans="1:6">
      <c r="A254" s="27" t="s">
        <v>110</v>
      </c>
      <c r="B254" s="39"/>
      <c r="C254" s="223" t="s">
        <v>265</v>
      </c>
      <c r="D254" s="27" t="s">
        <v>110</v>
      </c>
      <c r="E254" s="39"/>
      <c r="F254" s="223" t="s">
        <v>265</v>
      </c>
    </row>
    <row r="255" spans="1:6">
      <c r="A255" s="27" t="s">
        <v>111</v>
      </c>
      <c r="B255" s="39"/>
      <c r="C255" s="224">
        <v>10</v>
      </c>
      <c r="D255" s="27" t="s">
        <v>111</v>
      </c>
      <c r="E255" s="39"/>
      <c r="F255" s="224">
        <v>10</v>
      </c>
    </row>
    <row r="256" spans="1:6">
      <c r="A256" s="27" t="s">
        <v>112</v>
      </c>
      <c r="B256" s="39"/>
      <c r="C256" s="205"/>
      <c r="D256" s="27" t="s">
        <v>112</v>
      </c>
      <c r="E256" s="39"/>
      <c r="F256" s="205"/>
    </row>
    <row r="257" spans="1:6">
      <c r="A257" s="27" t="s">
        <v>113</v>
      </c>
      <c r="B257" s="39"/>
      <c r="C257" s="205"/>
      <c r="D257" s="27" t="s">
        <v>113</v>
      </c>
      <c r="E257" s="39"/>
      <c r="F257" s="205"/>
    </row>
    <row r="258" spans="1:6">
      <c r="A258" s="45" t="s">
        <v>118</v>
      </c>
      <c r="B258" s="39"/>
      <c r="C258" s="205"/>
      <c r="D258" s="45" t="s">
        <v>118</v>
      </c>
      <c r="E258" s="39"/>
      <c r="F258" s="205"/>
    </row>
    <row r="259" spans="1:6">
      <c r="A259" s="27" t="s">
        <v>110</v>
      </c>
      <c r="B259" s="39"/>
      <c r="C259" s="205"/>
      <c r="D259" s="27" t="s">
        <v>110</v>
      </c>
      <c r="E259" s="39"/>
      <c r="F259" s="205"/>
    </row>
    <row r="260" spans="1:6">
      <c r="A260" s="27" t="s">
        <v>111</v>
      </c>
      <c r="B260" s="39"/>
      <c r="C260" s="205"/>
      <c r="D260" s="27" t="s">
        <v>111</v>
      </c>
      <c r="E260" s="39"/>
      <c r="F260" s="205"/>
    </row>
    <row r="261" spans="1:6">
      <c r="A261" s="27" t="s">
        <v>112</v>
      </c>
      <c r="B261" s="39"/>
      <c r="C261" s="205"/>
      <c r="D261" s="27" t="s">
        <v>112</v>
      </c>
      <c r="E261" s="39"/>
      <c r="F261" s="205"/>
    </row>
    <row r="262" spans="1:6">
      <c r="A262" s="27" t="s">
        <v>113</v>
      </c>
      <c r="B262" s="39"/>
      <c r="C262" s="205"/>
      <c r="D262" s="27" t="s">
        <v>113</v>
      </c>
      <c r="E262" s="39"/>
      <c r="F262" s="205"/>
    </row>
    <row r="263" spans="1:6">
      <c r="A263" s="45" t="s">
        <v>119</v>
      </c>
      <c r="B263" s="39"/>
      <c r="C263" s="205"/>
      <c r="D263" s="45" t="s">
        <v>119</v>
      </c>
      <c r="E263" s="39"/>
      <c r="F263" s="205"/>
    </row>
    <row r="264" spans="1:6">
      <c r="A264" s="27" t="s">
        <v>110</v>
      </c>
      <c r="B264" s="39"/>
      <c r="C264" s="205"/>
      <c r="D264" s="27" t="s">
        <v>110</v>
      </c>
      <c r="E264" s="39"/>
      <c r="F264" s="205"/>
    </row>
    <row r="265" spans="1:6">
      <c r="A265" s="27" t="s">
        <v>111</v>
      </c>
      <c r="B265" s="39"/>
      <c r="C265" s="205"/>
      <c r="D265" s="27" t="s">
        <v>111</v>
      </c>
      <c r="E265" s="39"/>
      <c r="F265" s="205"/>
    </row>
    <row r="266" spans="1:6">
      <c r="A266" s="27" t="s">
        <v>112</v>
      </c>
      <c r="B266" s="39"/>
      <c r="C266" s="205"/>
      <c r="D266" s="27" t="s">
        <v>112</v>
      </c>
      <c r="E266" s="39"/>
      <c r="F266" s="205"/>
    </row>
    <row r="267" spans="1:6">
      <c r="A267" s="27" t="s">
        <v>113</v>
      </c>
      <c r="B267" s="39"/>
      <c r="C267" s="205"/>
      <c r="D267" s="27" t="s">
        <v>113</v>
      </c>
      <c r="E267" s="39"/>
      <c r="F267" s="205"/>
    </row>
    <row r="268" spans="1:6">
      <c r="A268" s="45" t="s">
        <v>120</v>
      </c>
      <c r="B268" s="39"/>
      <c r="C268" s="205"/>
      <c r="D268" s="45" t="s">
        <v>120</v>
      </c>
      <c r="E268" s="39"/>
      <c r="F268" s="205"/>
    </row>
    <row r="269" spans="1:6">
      <c r="A269" s="27" t="s">
        <v>110</v>
      </c>
      <c r="B269" s="39"/>
      <c r="C269" s="205"/>
      <c r="D269" s="27" t="s">
        <v>110</v>
      </c>
      <c r="E269" s="39"/>
      <c r="F269" s="205"/>
    </row>
    <row r="270" spans="1:6">
      <c r="A270" s="27" t="s">
        <v>111</v>
      </c>
      <c r="B270" s="39"/>
      <c r="C270" s="205"/>
      <c r="D270" s="27" t="s">
        <v>111</v>
      </c>
      <c r="E270" s="39"/>
      <c r="F270" s="205"/>
    </row>
    <row r="271" spans="1:6">
      <c r="A271" s="27" t="s">
        <v>112</v>
      </c>
      <c r="B271" s="39"/>
      <c r="C271" s="205"/>
      <c r="D271" s="27" t="s">
        <v>112</v>
      </c>
      <c r="E271" s="39"/>
      <c r="F271" s="205"/>
    </row>
    <row r="272" spans="1:6">
      <c r="A272" s="27" t="s">
        <v>113</v>
      </c>
      <c r="B272" s="39"/>
      <c r="C272" s="205"/>
      <c r="D272" s="27" t="s">
        <v>113</v>
      </c>
      <c r="E272" s="39"/>
      <c r="F272" s="205"/>
    </row>
    <row r="273" spans="1:6">
      <c r="B273" s="2"/>
      <c r="C273" s="205"/>
      <c r="E273" s="2"/>
      <c r="F273" s="205"/>
    </row>
    <row r="274" spans="1:6" ht="15.75">
      <c r="A274" s="35" t="s">
        <v>59</v>
      </c>
      <c r="B274" s="41" t="s">
        <v>314</v>
      </c>
      <c r="C274" s="205"/>
      <c r="D274" s="42" t="s">
        <v>69</v>
      </c>
      <c r="E274" s="41"/>
      <c r="F274" s="205"/>
    </row>
    <row r="275" spans="1:6" ht="15.75">
      <c r="A275" s="43" t="s">
        <v>108</v>
      </c>
      <c r="B275" s="44"/>
      <c r="C275" s="206"/>
      <c r="D275" s="43" t="s">
        <v>108</v>
      </c>
      <c r="E275" s="44"/>
      <c r="F275" s="206"/>
    </row>
    <row r="276" spans="1:6">
      <c r="A276" s="176" t="s">
        <v>109</v>
      </c>
      <c r="B276" s="39" t="s">
        <v>342</v>
      </c>
      <c r="C276" s="2" t="b">
        <v>0</v>
      </c>
      <c r="D276" s="45" t="s">
        <v>109</v>
      </c>
      <c r="E276" s="39"/>
      <c r="F276" s="2" t="b">
        <v>0</v>
      </c>
    </row>
    <row r="277" spans="1:6">
      <c r="A277" s="27" t="s">
        <v>110</v>
      </c>
      <c r="B277" s="39"/>
      <c r="C277" s="223" t="s">
        <v>265</v>
      </c>
      <c r="D277" s="27" t="s">
        <v>110</v>
      </c>
      <c r="E277" s="39"/>
      <c r="F277" s="223" t="s">
        <v>265</v>
      </c>
    </row>
    <row r="278" spans="1:6">
      <c r="A278" s="27" t="s">
        <v>111</v>
      </c>
      <c r="B278" s="39"/>
      <c r="C278" s="224">
        <v>10</v>
      </c>
      <c r="D278" s="27" t="s">
        <v>111</v>
      </c>
      <c r="E278" s="39"/>
      <c r="F278" s="224">
        <v>10</v>
      </c>
    </row>
    <row r="279" spans="1:6">
      <c r="A279" s="27" t="s">
        <v>112</v>
      </c>
      <c r="B279" s="39"/>
      <c r="C279" s="205"/>
      <c r="D279" s="27" t="s">
        <v>112</v>
      </c>
      <c r="E279" s="39"/>
      <c r="F279" s="205"/>
    </row>
    <row r="280" spans="1:6">
      <c r="A280" s="27" t="s">
        <v>113</v>
      </c>
      <c r="B280" s="39"/>
      <c r="C280" s="205"/>
      <c r="D280" s="27" t="s">
        <v>113</v>
      </c>
      <c r="E280" s="39"/>
      <c r="F280" s="205"/>
    </row>
    <row r="281" spans="1:6">
      <c r="A281" s="176" t="s">
        <v>114</v>
      </c>
      <c r="B281" s="39" t="s">
        <v>315</v>
      </c>
      <c r="C281" s="2" t="b">
        <v>0</v>
      </c>
      <c r="D281" s="45" t="s">
        <v>114</v>
      </c>
      <c r="E281" s="39"/>
      <c r="F281" s="2" t="b">
        <v>0</v>
      </c>
    </row>
    <row r="282" spans="1:6">
      <c r="A282" s="27" t="s">
        <v>110</v>
      </c>
      <c r="B282" s="39"/>
      <c r="C282" s="223" t="s">
        <v>265</v>
      </c>
      <c r="D282" s="27" t="s">
        <v>110</v>
      </c>
      <c r="E282" s="39"/>
      <c r="F282" s="223" t="s">
        <v>265</v>
      </c>
    </row>
    <row r="283" spans="1:6">
      <c r="A283" s="27" t="s">
        <v>111</v>
      </c>
      <c r="B283" s="39"/>
      <c r="C283" s="224">
        <v>10</v>
      </c>
      <c r="D283" s="27" t="s">
        <v>111</v>
      </c>
      <c r="E283" s="39"/>
      <c r="F283" s="224">
        <v>10</v>
      </c>
    </row>
    <row r="284" spans="1:6">
      <c r="A284" s="27" t="s">
        <v>112</v>
      </c>
      <c r="B284" s="39"/>
      <c r="C284" s="205"/>
      <c r="D284" s="27" t="s">
        <v>112</v>
      </c>
      <c r="E284" s="39"/>
      <c r="F284" s="205"/>
    </row>
    <row r="285" spans="1:6">
      <c r="A285" s="27" t="s">
        <v>113</v>
      </c>
      <c r="B285" s="39"/>
      <c r="C285" s="205"/>
      <c r="D285" s="27" t="s">
        <v>113</v>
      </c>
      <c r="E285" s="39"/>
      <c r="F285" s="205"/>
    </row>
    <row r="286" spans="1:6">
      <c r="A286" s="176" t="s">
        <v>115</v>
      </c>
      <c r="B286" s="39" t="s">
        <v>316</v>
      </c>
      <c r="C286" s="2" t="b">
        <v>0</v>
      </c>
      <c r="D286" s="45" t="s">
        <v>115</v>
      </c>
      <c r="E286" s="39"/>
      <c r="F286" s="2" t="b">
        <v>0</v>
      </c>
    </row>
    <row r="287" spans="1:6">
      <c r="A287" s="27" t="s">
        <v>110</v>
      </c>
      <c r="B287" s="39"/>
      <c r="C287" s="223" t="s">
        <v>265</v>
      </c>
      <c r="D287" s="27" t="s">
        <v>110</v>
      </c>
      <c r="E287" s="39"/>
      <c r="F287" s="223" t="s">
        <v>265</v>
      </c>
    </row>
    <row r="288" spans="1:6">
      <c r="A288" s="27" t="s">
        <v>111</v>
      </c>
      <c r="B288" s="39"/>
      <c r="C288" s="224">
        <v>10</v>
      </c>
      <c r="D288" s="27" t="s">
        <v>111</v>
      </c>
      <c r="E288" s="39"/>
      <c r="F288" s="224">
        <v>10</v>
      </c>
    </row>
    <row r="289" spans="1:62">
      <c r="A289" s="27" t="s">
        <v>112</v>
      </c>
      <c r="B289" s="39"/>
      <c r="C289" s="205"/>
      <c r="D289" s="27" t="s">
        <v>112</v>
      </c>
      <c r="E289" s="39"/>
      <c r="F289" s="205"/>
    </row>
    <row r="290" spans="1:62">
      <c r="A290" s="27" t="s">
        <v>113</v>
      </c>
      <c r="B290" s="39"/>
      <c r="C290" s="205"/>
      <c r="D290" s="27" t="s">
        <v>113</v>
      </c>
      <c r="E290" s="39"/>
      <c r="F290" s="205"/>
    </row>
    <row r="291" spans="1:62">
      <c r="A291" s="176" t="s">
        <v>116</v>
      </c>
      <c r="B291" s="39" t="s">
        <v>317</v>
      </c>
      <c r="C291" s="2" t="b">
        <v>0</v>
      </c>
      <c r="D291" s="45" t="s">
        <v>116</v>
      </c>
      <c r="E291" s="39"/>
      <c r="F291" s="2" t="b">
        <v>0</v>
      </c>
    </row>
    <row r="292" spans="1:62">
      <c r="A292" s="27" t="s">
        <v>110</v>
      </c>
      <c r="B292" s="39"/>
      <c r="C292" s="223" t="s">
        <v>265</v>
      </c>
      <c r="D292" s="27" t="s">
        <v>110</v>
      </c>
      <c r="E292" s="39"/>
      <c r="F292" s="223" t="s">
        <v>265</v>
      </c>
    </row>
    <row r="293" spans="1:62">
      <c r="A293" s="27" t="s">
        <v>111</v>
      </c>
      <c r="B293" s="39"/>
      <c r="C293" s="224">
        <v>10</v>
      </c>
      <c r="D293" s="27" t="s">
        <v>111</v>
      </c>
      <c r="E293" s="39"/>
      <c r="F293" s="224">
        <v>10</v>
      </c>
    </row>
    <row r="294" spans="1:62">
      <c r="A294" s="27" t="s">
        <v>112</v>
      </c>
      <c r="B294" s="39"/>
      <c r="C294" s="205"/>
      <c r="D294" s="27" t="s">
        <v>112</v>
      </c>
      <c r="E294" s="39"/>
      <c r="F294" s="205"/>
    </row>
    <row r="295" spans="1:62">
      <c r="A295" s="27" t="s">
        <v>113</v>
      </c>
      <c r="B295" s="39"/>
      <c r="C295" s="205"/>
      <c r="D295" s="27" t="s">
        <v>113</v>
      </c>
      <c r="E295" s="39"/>
      <c r="F295" s="205"/>
      <c r="BJ295" s="2"/>
    </row>
    <row r="296" spans="1:62">
      <c r="A296" s="176" t="s">
        <v>117</v>
      </c>
      <c r="B296" s="39" t="s">
        <v>318</v>
      </c>
      <c r="C296" s="2" t="b">
        <v>0</v>
      </c>
      <c r="D296" s="45" t="s">
        <v>117</v>
      </c>
      <c r="E296" s="39"/>
      <c r="F296" s="2" t="b">
        <v>0</v>
      </c>
      <c r="BJ296" s="2"/>
    </row>
    <row r="297" spans="1:62">
      <c r="A297" s="27" t="s">
        <v>110</v>
      </c>
      <c r="B297" s="39"/>
      <c r="C297" s="223" t="s">
        <v>265</v>
      </c>
      <c r="D297" s="27" t="s">
        <v>110</v>
      </c>
      <c r="E297" s="39"/>
      <c r="F297" s="223" t="s">
        <v>265</v>
      </c>
      <c r="BJ297" s="2"/>
    </row>
    <row r="298" spans="1:62">
      <c r="A298" s="27" t="s">
        <v>111</v>
      </c>
      <c r="B298" s="39"/>
      <c r="C298" s="224">
        <v>10</v>
      </c>
      <c r="D298" s="27" t="s">
        <v>111</v>
      </c>
      <c r="E298" s="39"/>
      <c r="F298" s="224">
        <v>10</v>
      </c>
      <c r="BJ298" s="2"/>
    </row>
    <row r="299" spans="1:62">
      <c r="A299" s="27" t="s">
        <v>112</v>
      </c>
      <c r="B299" s="39"/>
      <c r="C299" s="205"/>
      <c r="D299" s="27" t="s">
        <v>112</v>
      </c>
      <c r="E299" s="39"/>
      <c r="F299" s="205"/>
      <c r="BJ299" s="2"/>
    </row>
    <row r="300" spans="1:62">
      <c r="A300" s="27" t="s">
        <v>113</v>
      </c>
      <c r="B300" s="39"/>
      <c r="C300" s="205"/>
      <c r="D300" s="27" t="s">
        <v>113</v>
      </c>
      <c r="E300" s="39"/>
      <c r="F300" s="205"/>
      <c r="BJ300" s="2"/>
    </row>
    <row r="301" spans="1:62">
      <c r="A301" s="45" t="s">
        <v>118</v>
      </c>
      <c r="B301" s="39"/>
      <c r="C301" s="205"/>
      <c r="D301" s="45" t="s">
        <v>118</v>
      </c>
      <c r="E301" s="39"/>
      <c r="F301" s="205"/>
      <c r="BJ301" s="2"/>
    </row>
    <row r="302" spans="1:62">
      <c r="A302" s="27" t="s">
        <v>110</v>
      </c>
      <c r="B302" s="39"/>
      <c r="C302" s="205"/>
      <c r="D302" s="27" t="s">
        <v>110</v>
      </c>
      <c r="E302" s="39"/>
      <c r="F302" s="205"/>
      <c r="BJ302" s="2"/>
    </row>
    <row r="303" spans="1:62">
      <c r="A303" s="27" t="s">
        <v>111</v>
      </c>
      <c r="B303" s="39"/>
      <c r="C303" s="205"/>
      <c r="D303" s="27" t="s">
        <v>111</v>
      </c>
      <c r="E303" s="39"/>
      <c r="F303" s="205"/>
      <c r="BJ303" s="2"/>
    </row>
    <row r="304" spans="1:62">
      <c r="A304" s="27" t="s">
        <v>112</v>
      </c>
      <c r="B304" s="39"/>
      <c r="C304" s="205"/>
      <c r="D304" s="27" t="s">
        <v>112</v>
      </c>
      <c r="E304" s="39"/>
      <c r="F304" s="205"/>
      <c r="BJ304" s="2"/>
    </row>
    <row r="305" spans="1:62">
      <c r="A305" s="27" t="s">
        <v>113</v>
      </c>
      <c r="B305" s="39"/>
      <c r="C305" s="205"/>
      <c r="D305" s="27" t="s">
        <v>113</v>
      </c>
      <c r="E305" s="39"/>
      <c r="F305" s="205"/>
      <c r="BJ305" s="2"/>
    </row>
    <row r="306" spans="1:62">
      <c r="A306" s="45" t="s">
        <v>119</v>
      </c>
      <c r="B306" s="39"/>
      <c r="C306" s="205"/>
      <c r="D306" s="45" t="s">
        <v>119</v>
      </c>
      <c r="E306" s="39"/>
      <c r="F306" s="205"/>
      <c r="BJ306" s="2"/>
    </row>
    <row r="307" spans="1:62">
      <c r="A307" s="27" t="s">
        <v>110</v>
      </c>
      <c r="B307" s="39"/>
      <c r="C307" s="205"/>
      <c r="D307" s="27" t="s">
        <v>110</v>
      </c>
      <c r="E307" s="39"/>
      <c r="F307" s="205"/>
      <c r="BJ307" s="2"/>
    </row>
    <row r="308" spans="1:62">
      <c r="A308" s="27" t="s">
        <v>111</v>
      </c>
      <c r="B308" s="39"/>
      <c r="C308" s="205"/>
      <c r="D308" s="27" t="s">
        <v>111</v>
      </c>
      <c r="E308" s="39"/>
      <c r="F308" s="205"/>
      <c r="BJ308" s="2"/>
    </row>
    <row r="309" spans="1:62">
      <c r="A309" s="27" t="s">
        <v>112</v>
      </c>
      <c r="B309" s="39"/>
      <c r="C309" s="205"/>
      <c r="D309" s="27" t="s">
        <v>112</v>
      </c>
      <c r="E309" s="39"/>
      <c r="F309" s="205"/>
      <c r="BJ309" s="2"/>
    </row>
    <row r="310" spans="1:62">
      <c r="A310" s="27" t="s">
        <v>113</v>
      </c>
      <c r="B310" s="39"/>
      <c r="C310" s="205"/>
      <c r="D310" s="27" t="s">
        <v>113</v>
      </c>
      <c r="E310" s="39"/>
      <c r="F310" s="205"/>
      <c r="BJ310" s="2"/>
    </row>
    <row r="311" spans="1:62">
      <c r="A311" s="45" t="s">
        <v>120</v>
      </c>
      <c r="B311" s="39"/>
      <c r="C311" s="205"/>
      <c r="D311" s="45" t="s">
        <v>120</v>
      </c>
      <c r="E311" s="39"/>
      <c r="F311" s="205"/>
      <c r="BJ311" s="2"/>
    </row>
    <row r="312" spans="1:62">
      <c r="A312" s="27" t="s">
        <v>110</v>
      </c>
      <c r="B312" s="39"/>
      <c r="C312" s="205"/>
      <c r="D312" s="27" t="s">
        <v>110</v>
      </c>
      <c r="E312" s="39"/>
      <c r="F312" s="205"/>
      <c r="BJ312" s="2"/>
    </row>
    <row r="313" spans="1:62">
      <c r="A313" s="27" t="s">
        <v>111</v>
      </c>
      <c r="B313" s="39"/>
      <c r="C313" s="205"/>
      <c r="D313" s="27" t="s">
        <v>111</v>
      </c>
      <c r="E313" s="39"/>
      <c r="F313" s="205"/>
      <c r="BJ313" s="2"/>
    </row>
    <row r="314" spans="1:62">
      <c r="A314" s="27" t="s">
        <v>112</v>
      </c>
      <c r="B314" s="39"/>
      <c r="C314" s="205"/>
      <c r="D314" s="27" t="s">
        <v>112</v>
      </c>
      <c r="E314" s="39"/>
      <c r="F314" s="205"/>
      <c r="BJ314" s="2"/>
    </row>
    <row r="315" spans="1:62">
      <c r="A315" s="27" t="s">
        <v>113</v>
      </c>
      <c r="B315" s="39"/>
      <c r="C315" s="205"/>
      <c r="D315" s="27" t="s">
        <v>113</v>
      </c>
      <c r="E315" s="39"/>
      <c r="F315" s="205"/>
      <c r="BJ315" s="2"/>
    </row>
    <row r="316" spans="1:62">
      <c r="B316" s="2"/>
      <c r="C316" s="205"/>
      <c r="E316" s="2"/>
      <c r="F316" s="205"/>
      <c r="BJ316" s="2"/>
    </row>
    <row r="317" spans="1:62" ht="15.75">
      <c r="A317" s="35" t="s">
        <v>60</v>
      </c>
      <c r="B317" s="41" t="s">
        <v>319</v>
      </c>
      <c r="C317" s="205"/>
      <c r="D317" s="42" t="s">
        <v>70</v>
      </c>
      <c r="E317" s="41"/>
      <c r="F317" s="205"/>
      <c r="BJ317" s="2"/>
    </row>
    <row r="318" spans="1:62" ht="15.75">
      <c r="A318" s="43" t="s">
        <v>108</v>
      </c>
      <c r="B318" s="44"/>
      <c r="C318" s="206"/>
      <c r="D318" s="43" t="s">
        <v>108</v>
      </c>
      <c r="E318" s="44"/>
      <c r="F318" s="206"/>
      <c r="BJ318" s="2"/>
    </row>
    <row r="319" spans="1:62">
      <c r="A319" s="176" t="s">
        <v>109</v>
      </c>
      <c r="B319" s="39" t="s">
        <v>320</v>
      </c>
      <c r="C319" s="2" t="b">
        <v>0</v>
      </c>
      <c r="D319" s="45" t="s">
        <v>109</v>
      </c>
      <c r="E319" s="39"/>
      <c r="F319" s="2" t="b">
        <v>0</v>
      </c>
      <c r="BJ319" s="2"/>
    </row>
    <row r="320" spans="1:62">
      <c r="A320" s="27" t="s">
        <v>110</v>
      </c>
      <c r="B320" s="39"/>
      <c r="C320" s="223" t="s">
        <v>265</v>
      </c>
      <c r="D320" s="27" t="s">
        <v>110</v>
      </c>
      <c r="E320" s="39"/>
      <c r="F320" s="223" t="s">
        <v>265</v>
      </c>
      <c r="BJ320" s="2"/>
    </row>
    <row r="321" spans="1:62">
      <c r="A321" s="27" t="s">
        <v>111</v>
      </c>
      <c r="B321" s="39"/>
      <c r="C321" s="224">
        <v>10</v>
      </c>
      <c r="D321" s="27" t="s">
        <v>111</v>
      </c>
      <c r="E321" s="39"/>
      <c r="F321" s="224">
        <v>10</v>
      </c>
      <c r="BJ321" s="2"/>
    </row>
    <row r="322" spans="1:62">
      <c r="A322" s="27" t="s">
        <v>112</v>
      </c>
      <c r="B322" s="39"/>
      <c r="C322" s="205"/>
      <c r="D322" s="27" t="s">
        <v>112</v>
      </c>
      <c r="E322" s="39"/>
      <c r="F322" s="205"/>
      <c r="BJ322" s="2"/>
    </row>
    <row r="323" spans="1:62">
      <c r="A323" s="27" t="s">
        <v>113</v>
      </c>
      <c r="B323" s="39"/>
      <c r="C323" s="205"/>
      <c r="D323" s="27" t="s">
        <v>113</v>
      </c>
      <c r="E323" s="39"/>
      <c r="F323" s="205"/>
      <c r="BJ323" s="2"/>
    </row>
    <row r="324" spans="1:62">
      <c r="A324" s="176" t="s">
        <v>114</v>
      </c>
      <c r="B324" s="39" t="s">
        <v>337</v>
      </c>
      <c r="C324" s="2" t="b">
        <v>0</v>
      </c>
      <c r="D324" s="45" t="s">
        <v>114</v>
      </c>
      <c r="E324" s="39"/>
      <c r="F324" s="2" t="b">
        <v>0</v>
      </c>
      <c r="BJ324" s="2"/>
    </row>
    <row r="325" spans="1:62">
      <c r="A325" s="27" t="s">
        <v>110</v>
      </c>
      <c r="B325" s="39"/>
      <c r="C325" s="223" t="s">
        <v>265</v>
      </c>
      <c r="D325" s="27" t="s">
        <v>110</v>
      </c>
      <c r="E325" s="39"/>
      <c r="F325" s="223" t="s">
        <v>265</v>
      </c>
      <c r="BJ325" s="2"/>
    </row>
    <row r="326" spans="1:62">
      <c r="A326" s="27" t="s">
        <v>111</v>
      </c>
      <c r="B326" s="39"/>
      <c r="C326" s="224">
        <v>10</v>
      </c>
      <c r="D326" s="27" t="s">
        <v>111</v>
      </c>
      <c r="E326" s="39"/>
      <c r="F326" s="224">
        <v>10</v>
      </c>
      <c r="BJ326" s="2"/>
    </row>
    <row r="327" spans="1:62">
      <c r="A327" s="27" t="s">
        <v>112</v>
      </c>
      <c r="B327" s="39"/>
      <c r="C327" s="205"/>
      <c r="D327" s="27" t="s">
        <v>112</v>
      </c>
      <c r="E327" s="39"/>
      <c r="F327" s="205"/>
      <c r="BJ327" s="2"/>
    </row>
    <row r="328" spans="1:62">
      <c r="A328" s="27" t="s">
        <v>113</v>
      </c>
      <c r="B328" s="39"/>
      <c r="C328" s="205"/>
      <c r="D328" s="27" t="s">
        <v>113</v>
      </c>
      <c r="E328" s="39"/>
      <c r="F328" s="205"/>
      <c r="BJ328" s="2"/>
    </row>
    <row r="329" spans="1:62">
      <c r="A329" s="176" t="s">
        <v>115</v>
      </c>
      <c r="B329" s="39" t="s">
        <v>305</v>
      </c>
      <c r="C329" s="2" t="b">
        <v>0</v>
      </c>
      <c r="D329" s="45" t="s">
        <v>115</v>
      </c>
      <c r="E329" s="39"/>
      <c r="F329" s="2" t="b">
        <v>0</v>
      </c>
      <c r="BJ329" s="2"/>
    </row>
    <row r="330" spans="1:62">
      <c r="A330" s="27" t="s">
        <v>110</v>
      </c>
      <c r="B330" s="39"/>
      <c r="C330" s="223" t="s">
        <v>265</v>
      </c>
      <c r="D330" s="27" t="s">
        <v>110</v>
      </c>
      <c r="E330" s="39"/>
      <c r="F330" s="223" t="s">
        <v>265</v>
      </c>
      <c r="BJ330" s="2"/>
    </row>
    <row r="331" spans="1:62">
      <c r="A331" s="27" t="s">
        <v>111</v>
      </c>
      <c r="B331" s="39"/>
      <c r="C331" s="224">
        <v>10</v>
      </c>
      <c r="D331" s="27" t="s">
        <v>111</v>
      </c>
      <c r="E331" s="39"/>
      <c r="F331" s="224">
        <v>10</v>
      </c>
      <c r="BJ331" s="2"/>
    </row>
    <row r="332" spans="1:62">
      <c r="A332" s="27" t="s">
        <v>112</v>
      </c>
      <c r="B332" s="39"/>
      <c r="C332" s="205"/>
      <c r="D332" s="27" t="s">
        <v>112</v>
      </c>
      <c r="E332" s="39"/>
      <c r="F332" s="205"/>
      <c r="BJ332" s="2"/>
    </row>
    <row r="333" spans="1:62">
      <c r="A333" s="27" t="s">
        <v>113</v>
      </c>
      <c r="B333" s="39"/>
      <c r="C333" s="205"/>
      <c r="D333" s="27" t="s">
        <v>113</v>
      </c>
      <c r="E333" s="39"/>
      <c r="F333" s="205"/>
      <c r="BJ333" s="2"/>
    </row>
    <row r="334" spans="1:62">
      <c r="A334" s="176" t="s">
        <v>116</v>
      </c>
      <c r="B334" s="39" t="s">
        <v>321</v>
      </c>
      <c r="C334" s="2" t="b">
        <v>0</v>
      </c>
      <c r="D334" s="45" t="s">
        <v>116</v>
      </c>
      <c r="E334" s="39"/>
      <c r="F334" s="2" t="b">
        <v>0</v>
      </c>
      <c r="BJ334" s="2"/>
    </row>
    <row r="335" spans="1:62">
      <c r="A335" s="27" t="s">
        <v>110</v>
      </c>
      <c r="B335" s="39"/>
      <c r="C335" s="223" t="s">
        <v>265</v>
      </c>
      <c r="D335" s="27" t="s">
        <v>110</v>
      </c>
      <c r="E335" s="39"/>
      <c r="F335" s="223" t="s">
        <v>265</v>
      </c>
      <c r="BJ335" s="2"/>
    </row>
    <row r="336" spans="1:62">
      <c r="A336" s="27" t="s">
        <v>111</v>
      </c>
      <c r="B336" s="39"/>
      <c r="C336" s="224">
        <v>10</v>
      </c>
      <c r="D336" s="27" t="s">
        <v>111</v>
      </c>
      <c r="E336" s="39"/>
      <c r="F336" s="224">
        <v>10</v>
      </c>
      <c r="BJ336" s="2"/>
    </row>
    <row r="337" spans="1:62">
      <c r="A337" s="27" t="s">
        <v>112</v>
      </c>
      <c r="B337" s="39"/>
      <c r="C337" s="205"/>
      <c r="D337" s="27" t="s">
        <v>112</v>
      </c>
      <c r="E337" s="39"/>
      <c r="F337" s="205"/>
      <c r="BJ337" s="2"/>
    </row>
    <row r="338" spans="1:62">
      <c r="A338" s="27" t="s">
        <v>113</v>
      </c>
      <c r="B338" s="39"/>
      <c r="C338" s="205"/>
      <c r="D338" s="27" t="s">
        <v>113</v>
      </c>
      <c r="E338" s="39"/>
      <c r="F338" s="205"/>
      <c r="BJ338" s="2"/>
    </row>
    <row r="339" spans="1:62">
      <c r="A339" s="176" t="s">
        <v>117</v>
      </c>
      <c r="B339" s="39" t="s">
        <v>322</v>
      </c>
      <c r="C339" s="2" t="b">
        <v>0</v>
      </c>
      <c r="D339" s="45" t="s">
        <v>117</v>
      </c>
      <c r="E339" s="39"/>
      <c r="F339" s="2" t="b">
        <v>0</v>
      </c>
      <c r="BJ339" s="2"/>
    </row>
    <row r="340" spans="1:62">
      <c r="A340" s="27" t="s">
        <v>110</v>
      </c>
      <c r="B340" s="39"/>
      <c r="C340" s="223" t="s">
        <v>265</v>
      </c>
      <c r="D340" s="27" t="s">
        <v>110</v>
      </c>
      <c r="E340" s="39"/>
      <c r="F340" s="223" t="s">
        <v>265</v>
      </c>
      <c r="BJ340" s="2"/>
    </row>
    <row r="341" spans="1:62">
      <c r="A341" s="27" t="s">
        <v>111</v>
      </c>
      <c r="B341" s="39"/>
      <c r="C341" s="224">
        <v>10</v>
      </c>
      <c r="D341" s="27" t="s">
        <v>111</v>
      </c>
      <c r="E341" s="39"/>
      <c r="F341" s="224">
        <v>10</v>
      </c>
      <c r="BJ341" s="2"/>
    </row>
    <row r="342" spans="1:62">
      <c r="A342" s="27" t="s">
        <v>112</v>
      </c>
      <c r="B342" s="39"/>
      <c r="C342" s="205"/>
      <c r="D342" s="27" t="s">
        <v>112</v>
      </c>
      <c r="E342" s="39"/>
      <c r="F342" s="205"/>
      <c r="BJ342" s="2"/>
    </row>
    <row r="343" spans="1:62">
      <c r="A343" s="27" t="s">
        <v>113</v>
      </c>
      <c r="B343" s="39"/>
      <c r="C343" s="205"/>
      <c r="D343" s="27" t="s">
        <v>113</v>
      </c>
      <c r="E343" s="39"/>
      <c r="F343" s="205"/>
      <c r="BJ343" s="2"/>
    </row>
    <row r="344" spans="1:62">
      <c r="A344" s="45" t="s">
        <v>118</v>
      </c>
      <c r="B344" s="39"/>
      <c r="C344" s="205"/>
      <c r="D344" s="45" t="s">
        <v>118</v>
      </c>
      <c r="E344" s="39"/>
      <c r="F344" s="205"/>
      <c r="BJ344" s="2"/>
    </row>
    <row r="345" spans="1:62">
      <c r="A345" s="27" t="s">
        <v>110</v>
      </c>
      <c r="B345" s="39"/>
      <c r="C345" s="205"/>
      <c r="D345" s="27" t="s">
        <v>110</v>
      </c>
      <c r="E345" s="39"/>
      <c r="F345" s="205"/>
      <c r="BJ345" s="2"/>
    </row>
    <row r="346" spans="1:62">
      <c r="A346" s="27" t="s">
        <v>111</v>
      </c>
      <c r="B346" s="39"/>
      <c r="C346" s="205"/>
      <c r="D346" s="27" t="s">
        <v>111</v>
      </c>
      <c r="E346" s="39"/>
      <c r="F346" s="205"/>
      <c r="BJ346" s="2"/>
    </row>
    <row r="347" spans="1:62">
      <c r="A347" s="27" t="s">
        <v>112</v>
      </c>
      <c r="B347" s="39"/>
      <c r="C347" s="205"/>
      <c r="D347" s="27" t="s">
        <v>112</v>
      </c>
      <c r="E347" s="39"/>
      <c r="F347" s="205"/>
      <c r="BJ347" s="2"/>
    </row>
    <row r="348" spans="1:62">
      <c r="A348" s="27" t="s">
        <v>113</v>
      </c>
      <c r="B348" s="39"/>
      <c r="C348" s="205"/>
      <c r="D348" s="27" t="s">
        <v>113</v>
      </c>
      <c r="E348" s="39"/>
      <c r="F348" s="205"/>
      <c r="BJ348" s="2"/>
    </row>
    <row r="349" spans="1:62">
      <c r="A349" s="45" t="s">
        <v>119</v>
      </c>
      <c r="B349" s="39"/>
      <c r="C349" s="205"/>
      <c r="D349" s="45" t="s">
        <v>119</v>
      </c>
      <c r="E349" s="39"/>
      <c r="F349" s="205"/>
      <c r="BJ349" s="2"/>
    </row>
    <row r="350" spans="1:62">
      <c r="A350" s="27" t="s">
        <v>110</v>
      </c>
      <c r="B350" s="39"/>
      <c r="C350" s="205"/>
      <c r="D350" s="27" t="s">
        <v>110</v>
      </c>
      <c r="E350" s="39"/>
      <c r="F350" s="205"/>
      <c r="BJ350" s="2"/>
    </row>
    <row r="351" spans="1:62">
      <c r="A351" s="27" t="s">
        <v>111</v>
      </c>
      <c r="B351" s="39"/>
      <c r="C351" s="205"/>
      <c r="D351" s="27" t="s">
        <v>111</v>
      </c>
      <c r="E351" s="39"/>
      <c r="F351" s="205"/>
      <c r="BJ351" s="2"/>
    </row>
    <row r="352" spans="1:62">
      <c r="A352" s="27" t="s">
        <v>112</v>
      </c>
      <c r="B352" s="39"/>
      <c r="C352" s="205"/>
      <c r="D352" s="27" t="s">
        <v>112</v>
      </c>
      <c r="E352" s="39"/>
      <c r="F352" s="205"/>
      <c r="BJ352" s="2"/>
    </row>
    <row r="353" spans="1:62">
      <c r="A353" s="27" t="s">
        <v>113</v>
      </c>
      <c r="B353" s="39"/>
      <c r="C353" s="205"/>
      <c r="D353" s="27" t="s">
        <v>113</v>
      </c>
      <c r="E353" s="39"/>
      <c r="F353" s="205"/>
      <c r="BJ353" s="2"/>
    </row>
    <row r="354" spans="1:62">
      <c r="A354" s="45" t="s">
        <v>120</v>
      </c>
      <c r="B354" s="39"/>
      <c r="C354" s="205"/>
      <c r="D354" s="45" t="s">
        <v>120</v>
      </c>
      <c r="E354" s="39"/>
      <c r="F354" s="205"/>
      <c r="BJ354" s="2"/>
    </row>
    <row r="355" spans="1:62">
      <c r="A355" s="27" t="s">
        <v>110</v>
      </c>
      <c r="B355" s="39"/>
      <c r="C355" s="205"/>
      <c r="D355" s="27" t="s">
        <v>110</v>
      </c>
      <c r="E355" s="39"/>
      <c r="F355" s="205"/>
      <c r="BJ355" s="2"/>
    </row>
    <row r="356" spans="1:62">
      <c r="A356" s="27" t="s">
        <v>111</v>
      </c>
      <c r="B356" s="39"/>
      <c r="C356" s="205"/>
      <c r="D356" s="27" t="s">
        <v>111</v>
      </c>
      <c r="E356" s="39"/>
      <c r="F356" s="205"/>
      <c r="BJ356" s="2"/>
    </row>
    <row r="357" spans="1:62">
      <c r="A357" s="27" t="s">
        <v>112</v>
      </c>
      <c r="B357" s="39"/>
      <c r="C357" s="205"/>
      <c r="D357" s="27" t="s">
        <v>112</v>
      </c>
      <c r="E357" s="39"/>
      <c r="F357" s="205"/>
      <c r="BJ357" s="2"/>
    </row>
    <row r="358" spans="1:62">
      <c r="A358" s="27" t="s">
        <v>113</v>
      </c>
      <c r="B358" s="39"/>
      <c r="C358" s="205"/>
      <c r="D358" s="27" t="s">
        <v>113</v>
      </c>
      <c r="E358" s="39"/>
      <c r="F358" s="205"/>
      <c r="BJ358" s="2"/>
    </row>
    <row r="359" spans="1:62">
      <c r="B359" s="2"/>
      <c r="C359" s="205"/>
      <c r="E359" s="2"/>
      <c r="F359" s="205"/>
      <c r="BJ359" s="2"/>
    </row>
    <row r="360" spans="1:62" ht="15.75">
      <c r="A360" s="35" t="s">
        <v>61</v>
      </c>
      <c r="B360" s="41" t="s">
        <v>323</v>
      </c>
      <c r="C360" s="205"/>
      <c r="D360" s="42" t="s">
        <v>71</v>
      </c>
      <c r="E360" s="41"/>
      <c r="F360" s="205"/>
      <c r="BJ360" s="2"/>
    </row>
    <row r="361" spans="1:62" ht="15.75">
      <c r="A361" s="43" t="s">
        <v>108</v>
      </c>
      <c r="B361" s="44"/>
      <c r="C361" s="206"/>
      <c r="D361" s="43" t="s">
        <v>108</v>
      </c>
      <c r="E361" s="44"/>
      <c r="F361" s="206"/>
      <c r="BJ361" s="2"/>
    </row>
    <row r="362" spans="1:62">
      <c r="A362" s="176" t="s">
        <v>109</v>
      </c>
      <c r="B362" s="39" t="s">
        <v>324</v>
      </c>
      <c r="C362" s="2" t="b">
        <v>0</v>
      </c>
      <c r="D362" s="45" t="s">
        <v>109</v>
      </c>
      <c r="E362" s="39"/>
      <c r="F362" s="2" t="b">
        <v>0</v>
      </c>
      <c r="BJ362" s="2"/>
    </row>
    <row r="363" spans="1:62">
      <c r="A363" s="27" t="s">
        <v>110</v>
      </c>
      <c r="B363" s="39"/>
      <c r="C363" s="223" t="s">
        <v>265</v>
      </c>
      <c r="D363" s="27" t="s">
        <v>110</v>
      </c>
      <c r="E363" s="39"/>
      <c r="F363" s="223" t="s">
        <v>265</v>
      </c>
      <c r="BJ363" s="2"/>
    </row>
    <row r="364" spans="1:62">
      <c r="A364" s="27" t="s">
        <v>111</v>
      </c>
      <c r="B364" s="39"/>
      <c r="C364" s="224">
        <v>10</v>
      </c>
      <c r="D364" s="27" t="s">
        <v>111</v>
      </c>
      <c r="E364" s="39"/>
      <c r="F364" s="224">
        <v>10</v>
      </c>
      <c r="BJ364" s="2"/>
    </row>
    <row r="365" spans="1:62">
      <c r="A365" s="27" t="s">
        <v>112</v>
      </c>
      <c r="B365" s="39"/>
      <c r="C365" s="205"/>
      <c r="D365" s="27" t="s">
        <v>112</v>
      </c>
      <c r="E365" s="39"/>
      <c r="F365" s="205"/>
      <c r="BJ365" s="2"/>
    </row>
    <row r="366" spans="1:62">
      <c r="A366" s="27" t="s">
        <v>113</v>
      </c>
      <c r="B366" s="39"/>
      <c r="C366" s="205"/>
      <c r="D366" s="27" t="s">
        <v>113</v>
      </c>
      <c r="E366" s="39"/>
      <c r="F366" s="205"/>
      <c r="BJ366" s="2"/>
    </row>
    <row r="367" spans="1:62">
      <c r="A367" s="176" t="s">
        <v>114</v>
      </c>
      <c r="B367" s="39" t="s">
        <v>317</v>
      </c>
      <c r="C367" s="2" t="b">
        <v>0</v>
      </c>
      <c r="D367" s="45" t="s">
        <v>114</v>
      </c>
      <c r="E367" s="39"/>
      <c r="F367" s="2" t="b">
        <v>0</v>
      </c>
      <c r="BJ367" s="2"/>
    </row>
    <row r="368" spans="1:62">
      <c r="A368" s="27" t="s">
        <v>110</v>
      </c>
      <c r="B368" s="39"/>
      <c r="C368" s="223" t="s">
        <v>265</v>
      </c>
      <c r="D368" s="27" t="s">
        <v>110</v>
      </c>
      <c r="E368" s="39"/>
      <c r="F368" s="223" t="s">
        <v>265</v>
      </c>
      <c r="BJ368" s="2"/>
    </row>
    <row r="369" spans="1:62">
      <c r="A369" s="27" t="s">
        <v>111</v>
      </c>
      <c r="B369" s="39"/>
      <c r="C369" s="224">
        <v>10</v>
      </c>
      <c r="D369" s="27" t="s">
        <v>111</v>
      </c>
      <c r="E369" s="39"/>
      <c r="F369" s="224">
        <v>10</v>
      </c>
      <c r="BJ369" s="2"/>
    </row>
    <row r="370" spans="1:62">
      <c r="A370" s="27" t="s">
        <v>112</v>
      </c>
      <c r="B370" s="39"/>
      <c r="C370" s="205"/>
      <c r="D370" s="27" t="s">
        <v>112</v>
      </c>
      <c r="E370" s="39"/>
      <c r="F370" s="205"/>
      <c r="BJ370" s="2"/>
    </row>
    <row r="371" spans="1:62">
      <c r="A371" s="27" t="s">
        <v>113</v>
      </c>
      <c r="B371" s="39"/>
      <c r="C371" s="205"/>
      <c r="D371" s="27" t="s">
        <v>113</v>
      </c>
      <c r="E371" s="39"/>
      <c r="F371" s="205"/>
      <c r="BJ371" s="2"/>
    </row>
    <row r="372" spans="1:62">
      <c r="A372" s="176" t="s">
        <v>115</v>
      </c>
      <c r="B372" s="39" t="s">
        <v>325</v>
      </c>
      <c r="C372" s="2" t="b">
        <v>0</v>
      </c>
      <c r="D372" s="45" t="s">
        <v>115</v>
      </c>
      <c r="E372" s="39"/>
      <c r="F372" s="2" t="b">
        <v>0</v>
      </c>
      <c r="BJ372" s="2"/>
    </row>
    <row r="373" spans="1:62">
      <c r="A373" s="27" t="s">
        <v>110</v>
      </c>
      <c r="B373" s="39"/>
      <c r="C373" s="223" t="s">
        <v>265</v>
      </c>
      <c r="D373" s="27" t="s">
        <v>110</v>
      </c>
      <c r="E373" s="39"/>
      <c r="F373" s="223" t="s">
        <v>265</v>
      </c>
      <c r="BJ373" s="2"/>
    </row>
    <row r="374" spans="1:62">
      <c r="A374" s="27" t="s">
        <v>111</v>
      </c>
      <c r="B374" s="39"/>
      <c r="C374" s="224">
        <v>10</v>
      </c>
      <c r="D374" s="27" t="s">
        <v>111</v>
      </c>
      <c r="E374" s="39"/>
      <c r="F374" s="224">
        <v>10</v>
      </c>
      <c r="BJ374" s="2"/>
    </row>
    <row r="375" spans="1:62">
      <c r="A375" s="27" t="s">
        <v>112</v>
      </c>
      <c r="B375" s="39"/>
      <c r="C375" s="205"/>
      <c r="D375" s="27" t="s">
        <v>112</v>
      </c>
      <c r="E375" s="39"/>
      <c r="F375" s="205"/>
      <c r="BJ375" s="2"/>
    </row>
    <row r="376" spans="1:62">
      <c r="A376" s="27" t="s">
        <v>113</v>
      </c>
      <c r="B376" s="39"/>
      <c r="C376" s="205"/>
      <c r="D376" s="27" t="s">
        <v>113</v>
      </c>
      <c r="E376" s="39"/>
      <c r="F376" s="205"/>
      <c r="BJ376" s="2"/>
    </row>
    <row r="377" spans="1:62">
      <c r="A377" s="176" t="s">
        <v>116</v>
      </c>
      <c r="B377" s="39" t="s">
        <v>326</v>
      </c>
      <c r="C377" s="2" t="b">
        <v>0</v>
      </c>
      <c r="D377" s="45" t="s">
        <v>116</v>
      </c>
      <c r="E377" s="39"/>
      <c r="F377" s="2" t="b">
        <v>0</v>
      </c>
      <c r="BJ377" s="2"/>
    </row>
    <row r="378" spans="1:62">
      <c r="A378" s="27" t="s">
        <v>110</v>
      </c>
      <c r="B378" s="39"/>
      <c r="C378" s="223" t="s">
        <v>265</v>
      </c>
      <c r="D378" s="27" t="s">
        <v>110</v>
      </c>
      <c r="E378" s="39"/>
      <c r="F378" s="223" t="s">
        <v>265</v>
      </c>
      <c r="BJ378" s="2"/>
    </row>
    <row r="379" spans="1:62">
      <c r="A379" s="27" t="s">
        <v>111</v>
      </c>
      <c r="B379" s="39"/>
      <c r="C379" s="224">
        <v>10</v>
      </c>
      <c r="D379" s="27" t="s">
        <v>111</v>
      </c>
      <c r="E379" s="39"/>
      <c r="F379" s="224">
        <v>10</v>
      </c>
      <c r="BJ379" s="2"/>
    </row>
    <row r="380" spans="1:62">
      <c r="A380" s="27" t="s">
        <v>112</v>
      </c>
      <c r="B380" s="39"/>
      <c r="C380" s="205"/>
      <c r="D380" s="27" t="s">
        <v>112</v>
      </c>
      <c r="E380" s="39"/>
      <c r="F380" s="205"/>
      <c r="BJ380" s="2"/>
    </row>
    <row r="381" spans="1:62">
      <c r="A381" s="27" t="s">
        <v>113</v>
      </c>
      <c r="B381" s="39"/>
      <c r="C381" s="205"/>
      <c r="D381" s="27" t="s">
        <v>113</v>
      </c>
      <c r="E381" s="39"/>
      <c r="F381" s="205"/>
      <c r="BJ381" s="2"/>
    </row>
    <row r="382" spans="1:62">
      <c r="A382" s="176" t="s">
        <v>117</v>
      </c>
      <c r="B382" s="39" t="s">
        <v>327</v>
      </c>
      <c r="C382" s="2" t="b">
        <v>0</v>
      </c>
      <c r="D382" s="45" t="s">
        <v>117</v>
      </c>
      <c r="E382" s="39"/>
      <c r="F382" s="2" t="b">
        <v>0</v>
      </c>
      <c r="BJ382" s="2"/>
    </row>
    <row r="383" spans="1:62">
      <c r="A383" s="27" t="s">
        <v>110</v>
      </c>
      <c r="B383" s="39"/>
      <c r="C383" s="223" t="s">
        <v>265</v>
      </c>
      <c r="D383" s="27" t="s">
        <v>110</v>
      </c>
      <c r="E383" s="39"/>
      <c r="F383" s="223" t="s">
        <v>265</v>
      </c>
      <c r="BJ383" s="2"/>
    </row>
    <row r="384" spans="1:62">
      <c r="A384" s="27" t="s">
        <v>111</v>
      </c>
      <c r="B384" s="39"/>
      <c r="C384" s="224">
        <v>10</v>
      </c>
      <c r="D384" s="27" t="s">
        <v>111</v>
      </c>
      <c r="E384" s="39"/>
      <c r="F384" s="224">
        <v>10</v>
      </c>
      <c r="BJ384" s="2"/>
    </row>
    <row r="385" spans="1:62">
      <c r="A385" s="27" t="s">
        <v>112</v>
      </c>
      <c r="B385" s="39"/>
      <c r="C385" s="205"/>
      <c r="D385" s="27" t="s">
        <v>112</v>
      </c>
      <c r="E385" s="39"/>
      <c r="F385" s="205"/>
      <c r="BJ385" s="2"/>
    </row>
    <row r="386" spans="1:62">
      <c r="A386" s="27" t="s">
        <v>113</v>
      </c>
      <c r="B386" s="39"/>
      <c r="C386" s="205"/>
      <c r="D386" s="27" t="s">
        <v>113</v>
      </c>
      <c r="E386" s="39"/>
      <c r="F386" s="205"/>
      <c r="BJ386" s="2"/>
    </row>
    <row r="387" spans="1:62">
      <c r="A387" s="45" t="s">
        <v>118</v>
      </c>
      <c r="B387" s="39"/>
      <c r="C387" s="205"/>
      <c r="D387" s="45" t="s">
        <v>118</v>
      </c>
      <c r="E387" s="39"/>
      <c r="F387" s="205"/>
      <c r="BJ387" s="2"/>
    </row>
    <row r="388" spans="1:62">
      <c r="A388" s="27" t="s">
        <v>110</v>
      </c>
      <c r="B388" s="39"/>
      <c r="C388" s="205"/>
      <c r="D388" s="27" t="s">
        <v>110</v>
      </c>
      <c r="E388" s="39"/>
      <c r="F388" s="205"/>
      <c r="BJ388" s="2"/>
    </row>
    <row r="389" spans="1:62">
      <c r="A389" s="27" t="s">
        <v>111</v>
      </c>
      <c r="B389" s="39"/>
      <c r="C389" s="205"/>
      <c r="D389" s="27" t="s">
        <v>111</v>
      </c>
      <c r="E389" s="39"/>
      <c r="F389" s="205"/>
      <c r="BJ389" s="2"/>
    </row>
    <row r="390" spans="1:62">
      <c r="A390" s="27" t="s">
        <v>112</v>
      </c>
      <c r="B390" s="39"/>
      <c r="C390" s="205"/>
      <c r="D390" s="27" t="s">
        <v>112</v>
      </c>
      <c r="E390" s="39"/>
      <c r="F390" s="205"/>
      <c r="BJ390" s="2"/>
    </row>
    <row r="391" spans="1:62">
      <c r="A391" s="27" t="s">
        <v>113</v>
      </c>
      <c r="B391" s="39"/>
      <c r="C391" s="205"/>
      <c r="D391" s="27" t="s">
        <v>113</v>
      </c>
      <c r="E391" s="39"/>
      <c r="F391" s="205"/>
      <c r="BJ391" s="2"/>
    </row>
    <row r="392" spans="1:62">
      <c r="A392" s="45" t="s">
        <v>119</v>
      </c>
      <c r="B392" s="39"/>
      <c r="C392" s="205"/>
      <c r="D392" s="45" t="s">
        <v>119</v>
      </c>
      <c r="E392" s="39"/>
      <c r="F392" s="205"/>
      <c r="BJ392" s="2"/>
    </row>
    <row r="393" spans="1:62">
      <c r="A393" s="27" t="s">
        <v>110</v>
      </c>
      <c r="B393" s="39"/>
      <c r="C393" s="205"/>
      <c r="D393" s="27" t="s">
        <v>110</v>
      </c>
      <c r="E393" s="39"/>
      <c r="F393" s="205"/>
      <c r="BJ393" s="2"/>
    </row>
    <row r="394" spans="1:62">
      <c r="A394" s="27" t="s">
        <v>111</v>
      </c>
      <c r="B394" s="39"/>
      <c r="C394" s="205"/>
      <c r="D394" s="27" t="s">
        <v>111</v>
      </c>
      <c r="E394" s="39"/>
      <c r="F394" s="205"/>
      <c r="BJ394" s="2"/>
    </row>
    <row r="395" spans="1:62">
      <c r="A395" s="27" t="s">
        <v>112</v>
      </c>
      <c r="B395" s="39"/>
      <c r="C395" s="205"/>
      <c r="D395" s="27" t="s">
        <v>112</v>
      </c>
      <c r="E395" s="39"/>
      <c r="F395" s="205"/>
      <c r="BJ395" s="2"/>
    </row>
    <row r="396" spans="1:62">
      <c r="A396" s="27" t="s">
        <v>113</v>
      </c>
      <c r="B396" s="39"/>
      <c r="C396" s="205"/>
      <c r="D396" s="27" t="s">
        <v>113</v>
      </c>
      <c r="E396" s="39"/>
      <c r="F396" s="205"/>
      <c r="BJ396" s="2"/>
    </row>
    <row r="397" spans="1:62">
      <c r="A397" s="45" t="s">
        <v>120</v>
      </c>
      <c r="B397" s="39"/>
      <c r="C397" s="205"/>
      <c r="D397" s="45" t="s">
        <v>120</v>
      </c>
      <c r="E397" s="39"/>
      <c r="F397" s="205"/>
      <c r="BJ397" s="2"/>
    </row>
    <row r="398" spans="1:62">
      <c r="A398" s="27" t="s">
        <v>110</v>
      </c>
      <c r="B398" s="39"/>
      <c r="C398" s="205"/>
      <c r="D398" s="27" t="s">
        <v>110</v>
      </c>
      <c r="E398" s="39"/>
      <c r="F398" s="205"/>
      <c r="BJ398" s="2"/>
    </row>
    <row r="399" spans="1:62">
      <c r="A399" s="27" t="s">
        <v>111</v>
      </c>
      <c r="B399" s="39"/>
      <c r="C399" s="205"/>
      <c r="D399" s="27" t="s">
        <v>111</v>
      </c>
      <c r="E399" s="39"/>
      <c r="F399" s="205"/>
      <c r="BJ399" s="2"/>
    </row>
    <row r="400" spans="1:62">
      <c r="A400" s="27" t="s">
        <v>112</v>
      </c>
      <c r="B400" s="39"/>
      <c r="C400" s="205"/>
      <c r="D400" s="27" t="s">
        <v>112</v>
      </c>
      <c r="E400" s="39"/>
      <c r="F400" s="205"/>
      <c r="BJ400" s="2"/>
    </row>
    <row r="401" spans="1:62">
      <c r="A401" s="27" t="s">
        <v>113</v>
      </c>
      <c r="B401" s="39"/>
      <c r="C401" s="205"/>
      <c r="D401" s="27" t="s">
        <v>113</v>
      </c>
      <c r="E401" s="39"/>
      <c r="F401" s="205"/>
      <c r="BJ401" s="2"/>
    </row>
    <row r="402" spans="1:62">
      <c r="B402" s="2"/>
      <c r="C402" s="205"/>
      <c r="E402" s="2"/>
      <c r="F402" s="205"/>
      <c r="BJ402" s="2"/>
    </row>
    <row r="403" spans="1:62" ht="15.75">
      <c r="A403" s="35" t="s">
        <v>62</v>
      </c>
      <c r="B403" s="41" t="s">
        <v>338</v>
      </c>
      <c r="C403" s="205"/>
      <c r="D403" s="42" t="s">
        <v>72</v>
      </c>
      <c r="E403" s="41"/>
      <c r="F403" s="205"/>
      <c r="BJ403" s="2"/>
    </row>
    <row r="404" spans="1:62" ht="15.75">
      <c r="A404" s="43" t="s">
        <v>108</v>
      </c>
      <c r="B404" s="44"/>
      <c r="C404" s="206"/>
      <c r="D404" s="43" t="s">
        <v>108</v>
      </c>
      <c r="E404" s="44"/>
      <c r="F404" s="206"/>
      <c r="BJ404" s="2"/>
    </row>
    <row r="405" spans="1:62">
      <c r="A405" s="176" t="s">
        <v>109</v>
      </c>
      <c r="B405" s="39" t="s">
        <v>328</v>
      </c>
      <c r="C405" s="2" t="b">
        <v>0</v>
      </c>
      <c r="D405" s="45" t="s">
        <v>109</v>
      </c>
      <c r="E405" s="39"/>
      <c r="F405" s="2" t="b">
        <v>0</v>
      </c>
      <c r="BJ405" s="2"/>
    </row>
    <row r="406" spans="1:62">
      <c r="A406" s="27" t="s">
        <v>110</v>
      </c>
      <c r="B406" s="39"/>
      <c r="C406" s="223" t="s">
        <v>265</v>
      </c>
      <c r="D406" s="27" t="s">
        <v>110</v>
      </c>
      <c r="E406" s="39"/>
      <c r="F406" s="223" t="s">
        <v>265</v>
      </c>
      <c r="BJ406" s="2"/>
    </row>
    <row r="407" spans="1:62">
      <c r="A407" s="27" t="s">
        <v>111</v>
      </c>
      <c r="B407" s="39"/>
      <c r="C407" s="224">
        <v>10</v>
      </c>
      <c r="D407" s="27" t="s">
        <v>111</v>
      </c>
      <c r="E407" s="39"/>
      <c r="F407" s="224">
        <v>10</v>
      </c>
      <c r="BJ407" s="2"/>
    </row>
    <row r="408" spans="1:62">
      <c r="A408" s="27" t="s">
        <v>112</v>
      </c>
      <c r="B408" s="39"/>
      <c r="C408" s="205"/>
      <c r="D408" s="27" t="s">
        <v>112</v>
      </c>
      <c r="E408" s="39"/>
      <c r="F408" s="205"/>
      <c r="BJ408" s="2"/>
    </row>
    <row r="409" spans="1:62">
      <c r="A409" s="27" t="s">
        <v>113</v>
      </c>
      <c r="B409" s="39"/>
      <c r="C409" s="205"/>
      <c r="D409" s="27" t="s">
        <v>113</v>
      </c>
      <c r="E409" s="39"/>
      <c r="F409" s="205"/>
      <c r="BJ409" s="2"/>
    </row>
    <row r="410" spans="1:62">
      <c r="A410" s="176" t="s">
        <v>114</v>
      </c>
      <c r="B410" s="39" t="s">
        <v>329</v>
      </c>
      <c r="C410" s="2" t="b">
        <v>0</v>
      </c>
      <c r="D410" s="45" t="s">
        <v>114</v>
      </c>
      <c r="E410" s="39"/>
      <c r="F410" s="2" t="b">
        <v>0</v>
      </c>
      <c r="BJ410" s="2"/>
    </row>
    <row r="411" spans="1:62">
      <c r="A411" s="27" t="s">
        <v>110</v>
      </c>
      <c r="B411" s="39"/>
      <c r="C411" s="223" t="s">
        <v>265</v>
      </c>
      <c r="D411" s="27" t="s">
        <v>110</v>
      </c>
      <c r="E411" s="39"/>
      <c r="F411" s="223" t="s">
        <v>265</v>
      </c>
      <c r="BJ411" s="2"/>
    </row>
    <row r="412" spans="1:62">
      <c r="A412" s="27" t="s">
        <v>111</v>
      </c>
      <c r="B412" s="39"/>
      <c r="C412" s="224">
        <v>10</v>
      </c>
      <c r="D412" s="27" t="s">
        <v>111</v>
      </c>
      <c r="E412" s="39"/>
      <c r="F412" s="224">
        <v>10</v>
      </c>
      <c r="BJ412" s="2"/>
    </row>
    <row r="413" spans="1:62">
      <c r="A413" s="27" t="s">
        <v>112</v>
      </c>
      <c r="B413" s="39"/>
      <c r="C413" s="205"/>
      <c r="D413" s="27" t="s">
        <v>112</v>
      </c>
      <c r="E413" s="39"/>
      <c r="F413" s="205"/>
      <c r="BJ413" s="2"/>
    </row>
    <row r="414" spans="1:62">
      <c r="A414" s="27" t="s">
        <v>113</v>
      </c>
      <c r="B414" s="39"/>
      <c r="C414" s="205"/>
      <c r="D414" s="27" t="s">
        <v>113</v>
      </c>
      <c r="E414" s="39"/>
      <c r="F414" s="205"/>
      <c r="BJ414" s="2"/>
    </row>
    <row r="415" spans="1:62">
      <c r="A415" s="176" t="s">
        <v>115</v>
      </c>
      <c r="B415" s="39" t="s">
        <v>330</v>
      </c>
      <c r="C415" s="2" t="b">
        <v>0</v>
      </c>
      <c r="D415" s="45" t="s">
        <v>115</v>
      </c>
      <c r="E415" s="39"/>
      <c r="F415" s="2" t="b">
        <v>0</v>
      </c>
      <c r="BJ415" s="2"/>
    </row>
    <row r="416" spans="1:62">
      <c r="A416" s="27" t="s">
        <v>110</v>
      </c>
      <c r="B416" s="39"/>
      <c r="C416" s="223" t="s">
        <v>265</v>
      </c>
      <c r="D416" s="27" t="s">
        <v>110</v>
      </c>
      <c r="E416" s="39"/>
      <c r="F416" s="223" t="s">
        <v>265</v>
      </c>
      <c r="BJ416" s="2"/>
    </row>
    <row r="417" spans="1:62">
      <c r="A417" s="27" t="s">
        <v>111</v>
      </c>
      <c r="B417" s="39"/>
      <c r="C417" s="224">
        <v>10</v>
      </c>
      <c r="D417" s="27" t="s">
        <v>111</v>
      </c>
      <c r="E417" s="39"/>
      <c r="F417" s="224">
        <v>10</v>
      </c>
      <c r="BJ417" s="2"/>
    </row>
    <row r="418" spans="1:62">
      <c r="A418" s="27" t="s">
        <v>112</v>
      </c>
      <c r="B418" s="39"/>
      <c r="C418" s="205"/>
      <c r="D418" s="27" t="s">
        <v>112</v>
      </c>
      <c r="E418" s="39"/>
      <c r="F418" s="205"/>
      <c r="BJ418" s="2"/>
    </row>
    <row r="419" spans="1:62">
      <c r="A419" s="27" t="s">
        <v>113</v>
      </c>
      <c r="B419" s="39"/>
      <c r="C419" s="205"/>
      <c r="D419" s="27" t="s">
        <v>113</v>
      </c>
      <c r="E419" s="39"/>
      <c r="F419" s="205"/>
      <c r="BJ419" s="2"/>
    </row>
    <row r="420" spans="1:62">
      <c r="A420" s="176" t="s">
        <v>116</v>
      </c>
      <c r="B420" s="39" t="s">
        <v>331</v>
      </c>
      <c r="C420" s="2" t="b">
        <v>0</v>
      </c>
      <c r="D420" s="45" t="s">
        <v>116</v>
      </c>
      <c r="E420" s="39"/>
      <c r="F420" s="2" t="b">
        <v>0</v>
      </c>
      <c r="BJ420" s="2"/>
    </row>
    <row r="421" spans="1:62">
      <c r="A421" s="27" t="s">
        <v>110</v>
      </c>
      <c r="B421" s="39"/>
      <c r="C421" s="223" t="s">
        <v>265</v>
      </c>
      <c r="D421" s="27" t="s">
        <v>110</v>
      </c>
      <c r="E421" s="39"/>
      <c r="F421" s="223" t="s">
        <v>265</v>
      </c>
      <c r="BJ421" s="2"/>
    </row>
    <row r="422" spans="1:62">
      <c r="A422" s="27" t="s">
        <v>111</v>
      </c>
      <c r="B422" s="39"/>
      <c r="C422" s="224">
        <v>10</v>
      </c>
      <c r="D422" s="27" t="s">
        <v>111</v>
      </c>
      <c r="E422" s="39"/>
      <c r="F422" s="224">
        <v>10</v>
      </c>
      <c r="BJ422" s="2"/>
    </row>
    <row r="423" spans="1:62">
      <c r="A423" s="27" t="s">
        <v>112</v>
      </c>
      <c r="B423" s="39"/>
      <c r="C423" s="205"/>
      <c r="D423" s="27" t="s">
        <v>112</v>
      </c>
      <c r="E423" s="39"/>
      <c r="F423" s="205"/>
      <c r="BJ423" s="2"/>
    </row>
    <row r="424" spans="1:62">
      <c r="A424" s="27" t="s">
        <v>113</v>
      </c>
      <c r="B424" s="39"/>
      <c r="C424" s="205"/>
      <c r="D424" s="27" t="s">
        <v>113</v>
      </c>
      <c r="E424" s="39"/>
      <c r="F424" s="205"/>
      <c r="BJ424" s="2"/>
    </row>
    <row r="425" spans="1:62">
      <c r="A425" s="176" t="s">
        <v>117</v>
      </c>
      <c r="B425" s="39" t="s">
        <v>332</v>
      </c>
      <c r="C425" s="2" t="b">
        <v>0</v>
      </c>
      <c r="D425" s="45" t="s">
        <v>117</v>
      </c>
      <c r="E425" s="39"/>
      <c r="F425" s="2" t="b">
        <v>0</v>
      </c>
      <c r="BJ425" s="2"/>
    </row>
    <row r="426" spans="1:62">
      <c r="A426" s="27" t="s">
        <v>110</v>
      </c>
      <c r="B426" s="39"/>
      <c r="C426" s="223" t="s">
        <v>265</v>
      </c>
      <c r="D426" s="27" t="s">
        <v>110</v>
      </c>
      <c r="E426" s="39"/>
      <c r="F426" s="223" t="s">
        <v>265</v>
      </c>
      <c r="BJ426" s="2"/>
    </row>
    <row r="427" spans="1:62">
      <c r="A427" s="27" t="s">
        <v>111</v>
      </c>
      <c r="B427" s="39"/>
      <c r="C427" s="224">
        <v>10</v>
      </c>
      <c r="D427" s="27" t="s">
        <v>111</v>
      </c>
      <c r="E427" s="39"/>
      <c r="F427" s="224">
        <v>10</v>
      </c>
      <c r="BJ427" s="2"/>
    </row>
    <row r="428" spans="1:62">
      <c r="A428" s="27" t="s">
        <v>112</v>
      </c>
      <c r="B428" s="39"/>
      <c r="C428" s="205"/>
      <c r="D428" s="27" t="s">
        <v>112</v>
      </c>
      <c r="E428" s="39"/>
      <c r="F428" s="205"/>
      <c r="BJ428" s="2"/>
    </row>
    <row r="429" spans="1:62">
      <c r="A429" s="27" t="s">
        <v>113</v>
      </c>
      <c r="B429" s="39"/>
      <c r="C429" s="205"/>
      <c r="D429" s="27" t="s">
        <v>113</v>
      </c>
      <c r="E429" s="39"/>
      <c r="F429" s="205"/>
      <c r="BJ429" s="2"/>
    </row>
    <row r="430" spans="1:62">
      <c r="A430" s="45" t="s">
        <v>118</v>
      </c>
      <c r="B430" s="39"/>
      <c r="C430" s="205"/>
      <c r="D430" s="45" t="s">
        <v>118</v>
      </c>
      <c r="E430" s="39"/>
      <c r="F430" s="205"/>
      <c r="BJ430" s="2"/>
    </row>
    <row r="431" spans="1:62">
      <c r="A431" s="27" t="s">
        <v>110</v>
      </c>
      <c r="B431" s="39"/>
      <c r="C431" s="205"/>
      <c r="D431" s="27" t="s">
        <v>110</v>
      </c>
      <c r="E431" s="39"/>
      <c r="F431" s="205"/>
      <c r="BJ431" s="2"/>
    </row>
    <row r="432" spans="1:62">
      <c r="A432" s="27" t="s">
        <v>111</v>
      </c>
      <c r="B432" s="39"/>
      <c r="C432" s="205"/>
      <c r="D432" s="27" t="s">
        <v>111</v>
      </c>
      <c r="E432" s="39"/>
      <c r="F432" s="205"/>
      <c r="BJ432" s="2"/>
    </row>
    <row r="433" spans="1:62">
      <c r="A433" s="27" t="s">
        <v>112</v>
      </c>
      <c r="B433" s="39"/>
      <c r="C433" s="205"/>
      <c r="D433" s="27" t="s">
        <v>112</v>
      </c>
      <c r="E433" s="39"/>
      <c r="F433" s="205"/>
      <c r="BJ433" s="2"/>
    </row>
    <row r="434" spans="1:62">
      <c r="A434" s="27" t="s">
        <v>113</v>
      </c>
      <c r="B434" s="39"/>
      <c r="C434" s="205"/>
      <c r="D434" s="27" t="s">
        <v>113</v>
      </c>
      <c r="E434" s="39"/>
      <c r="F434" s="205"/>
      <c r="BJ434" s="2"/>
    </row>
    <row r="435" spans="1:62">
      <c r="A435" s="45" t="s">
        <v>119</v>
      </c>
      <c r="B435" s="39"/>
      <c r="C435" s="205"/>
      <c r="D435" s="45" t="s">
        <v>119</v>
      </c>
      <c r="E435" s="39"/>
      <c r="F435" s="205"/>
      <c r="BJ435" s="2"/>
    </row>
    <row r="436" spans="1:62">
      <c r="A436" s="27" t="s">
        <v>110</v>
      </c>
      <c r="B436" s="39"/>
      <c r="C436" s="205"/>
      <c r="D436" s="27" t="s">
        <v>110</v>
      </c>
      <c r="E436" s="39"/>
      <c r="F436" s="205"/>
      <c r="BJ436" s="2"/>
    </row>
    <row r="437" spans="1:62">
      <c r="A437" s="27" t="s">
        <v>111</v>
      </c>
      <c r="B437" s="39"/>
      <c r="C437" s="205"/>
      <c r="D437" s="27" t="s">
        <v>111</v>
      </c>
      <c r="E437" s="39"/>
      <c r="F437" s="205"/>
      <c r="G437" s="82"/>
      <c r="BJ437" s="2"/>
    </row>
    <row r="438" spans="1:62">
      <c r="A438" s="27" t="s">
        <v>112</v>
      </c>
      <c r="B438" s="39"/>
      <c r="C438" s="205"/>
      <c r="D438" s="27" t="s">
        <v>112</v>
      </c>
      <c r="E438" s="39"/>
      <c r="F438" s="205"/>
      <c r="M438" s="82"/>
      <c r="BJ438" s="2"/>
    </row>
    <row r="439" spans="1:62">
      <c r="A439" s="27" t="s">
        <v>113</v>
      </c>
      <c r="B439" s="39"/>
      <c r="C439" s="205"/>
      <c r="D439" s="27" t="s">
        <v>113</v>
      </c>
      <c r="E439" s="39"/>
      <c r="F439" s="205"/>
      <c r="BJ439" s="2"/>
    </row>
    <row r="440" spans="1:62">
      <c r="A440" s="45" t="s">
        <v>120</v>
      </c>
      <c r="B440" s="39"/>
      <c r="C440" s="205"/>
      <c r="D440" s="45" t="s">
        <v>120</v>
      </c>
      <c r="E440" s="39"/>
      <c r="F440" s="205"/>
      <c r="BJ440" s="2"/>
    </row>
    <row r="441" spans="1:62">
      <c r="A441" s="27" t="s">
        <v>110</v>
      </c>
      <c r="B441" s="39"/>
      <c r="C441" s="205"/>
      <c r="D441" s="27" t="s">
        <v>110</v>
      </c>
      <c r="E441" s="39"/>
      <c r="F441" s="205"/>
      <c r="BJ441" s="2"/>
    </row>
    <row r="442" spans="1:62">
      <c r="A442" s="27" t="s">
        <v>111</v>
      </c>
      <c r="B442" s="39"/>
      <c r="C442" s="205"/>
      <c r="D442" s="27" t="s">
        <v>111</v>
      </c>
      <c r="E442" s="39"/>
      <c r="F442" s="205"/>
      <c r="BJ442" s="2"/>
    </row>
    <row r="443" spans="1:62">
      <c r="A443" s="27" t="s">
        <v>112</v>
      </c>
      <c r="B443" s="39"/>
      <c r="C443" s="205"/>
      <c r="D443" s="27" t="s">
        <v>112</v>
      </c>
      <c r="E443" s="39"/>
      <c r="F443" s="205"/>
      <c r="BJ443" s="2"/>
    </row>
    <row r="444" spans="1:62">
      <c r="A444" s="27" t="s">
        <v>113</v>
      </c>
      <c r="B444" s="39"/>
      <c r="C444" s="205"/>
      <c r="D444" s="27" t="s">
        <v>113</v>
      </c>
      <c r="E444" s="39"/>
      <c r="F444" s="205"/>
      <c r="BJ444" s="2"/>
    </row>
    <row r="445" spans="1:62" ht="23.25">
      <c r="G445" s="47" t="str">
        <f>"Clicks "&amp;$C$3&amp;":"&amp;" "&amp;$C$10&amp;" "&amp;$C$9&amp;" League Score Sheet"</f>
        <v>Clicks Tucson: Get-a-Cue 8-Ball League Score Sheet</v>
      </c>
      <c r="Z445" s="76" t="s">
        <v>152</v>
      </c>
      <c r="BJ445" s="2"/>
    </row>
    <row r="446" spans="1:62">
      <c r="BJ446" s="2"/>
    </row>
    <row r="447" spans="1:62" ht="24.95" customHeight="1">
      <c r="G447" s="234">
        <f ca="1">TODAY()</f>
        <v>46155</v>
      </c>
      <c r="H447" s="235"/>
      <c r="I447" s="69" t="s">
        <v>123</v>
      </c>
      <c r="J447" s="70"/>
      <c r="K447" s="170">
        <f>A!$AW$13+1</f>
        <v>5</v>
      </c>
      <c r="L447" s="46" t="s">
        <v>144</v>
      </c>
      <c r="M447" s="46"/>
      <c r="N447" s="171">
        <f>$C$4</f>
        <v>335</v>
      </c>
      <c r="S447" s="69" t="s">
        <v>146</v>
      </c>
      <c r="T447" s="70"/>
      <c r="U447" s="70"/>
      <c r="V447" s="70"/>
      <c r="W447" s="69"/>
      <c r="X447" s="70"/>
      <c r="Y447" s="236" t="str">
        <f ca="1">INDEX(INDIRECT("Sched_"&amp;TEXT($C$5,"0")&amp;"_Matches"),1,1)</f>
        <v>2 &amp; 3</v>
      </c>
      <c r="Z447" s="237"/>
      <c r="BJ447" s="2"/>
    </row>
    <row r="448" spans="1:62" ht="24.95" customHeight="1" thickBot="1">
      <c r="BJ448" s="2"/>
    </row>
    <row r="449" spans="7:62" ht="24.95" customHeight="1" thickTop="1">
      <c r="G449" s="66" t="s">
        <v>124</v>
      </c>
      <c r="H449" s="86">
        <f ca="1">IF($K447&lt;&gt;$C$8,INDEX(INDIRECT(AB687),$K447,1),VLOOKUP(LARGE(A!$BK$5:$BK$24,1),Team_Score,2,FALSE))</f>
        <v>12</v>
      </c>
      <c r="I449" s="71" t="s">
        <v>142</v>
      </c>
      <c r="J449" s="238" t="str">
        <f ca="1">INDIRECT("Team"&amp;TEXT(H449,"0")&amp;"Name")</f>
        <v>BYE</v>
      </c>
      <c r="K449" s="238"/>
      <c r="L449" s="238"/>
      <c r="M449" s="238"/>
      <c r="N449" s="239"/>
      <c r="O449" s="49" t="s">
        <v>125</v>
      </c>
      <c r="Q449" s="66" t="s">
        <v>126</v>
      </c>
      <c r="R449" s="48"/>
      <c r="S449" s="86">
        <f ca="1">IF($K447&lt;&gt;$C$8,INDEX(INDIRECT(AB687),$K447,2),VLOOKUP(LARGE(A!$BK$5:$BK$24,2),Team_Score,2,FALSE))</f>
        <v>3</v>
      </c>
      <c r="T449" s="71" t="s">
        <v>142</v>
      </c>
      <c r="U449" s="238" t="str">
        <f ca="1">INDIRECT("Team"&amp;TEXT(S449,"0")&amp;"Name")</f>
        <v>RACK PACK</v>
      </c>
      <c r="V449" s="238"/>
      <c r="W449" s="238"/>
      <c r="X449" s="238"/>
      <c r="Y449" s="239"/>
      <c r="Z449" s="49" t="s">
        <v>125</v>
      </c>
      <c r="BJ449" s="2"/>
    </row>
    <row r="450" spans="7:62" ht="24.95" customHeight="1" thickBot="1">
      <c r="G450" s="50" t="s">
        <v>74</v>
      </c>
      <c r="H450" s="52" t="s">
        <v>127</v>
      </c>
      <c r="I450" s="53" t="s">
        <v>128</v>
      </c>
      <c r="J450" s="53" t="s">
        <v>129</v>
      </c>
      <c r="K450" s="53" t="s">
        <v>130</v>
      </c>
      <c r="L450" s="53" t="s">
        <v>131</v>
      </c>
      <c r="M450" s="53" t="s">
        <v>132</v>
      </c>
      <c r="N450" s="53" t="s">
        <v>97</v>
      </c>
      <c r="O450" s="54" t="s">
        <v>133</v>
      </c>
      <c r="Q450" s="50" t="s">
        <v>74</v>
      </c>
      <c r="R450" s="51"/>
      <c r="S450" s="52" t="s">
        <v>127</v>
      </c>
      <c r="T450" s="53" t="s">
        <v>128</v>
      </c>
      <c r="U450" s="53" t="s">
        <v>129</v>
      </c>
      <c r="V450" s="53" t="s">
        <v>130</v>
      </c>
      <c r="W450" s="53" t="s">
        <v>131</v>
      </c>
      <c r="X450" s="53" t="s">
        <v>132</v>
      </c>
      <c r="Y450" s="53" t="s">
        <v>97</v>
      </c>
      <c r="Z450" s="54" t="s">
        <v>133</v>
      </c>
      <c r="BJ450" s="2"/>
    </row>
    <row r="451" spans="7:62" ht="24.95" customHeight="1" thickTop="1">
      <c r="G451" s="164">
        <f t="array" aca="1" ref="G451:G455" ca="1">IF(ISBLANK(H449),"Empty",INDIRECT("Team"&amp;TEXT(H449,"0")&amp;"Players"))</f>
        <v>1</v>
      </c>
      <c r="H451" s="83"/>
      <c r="I451" s="208" t="s">
        <v>128</v>
      </c>
      <c r="J451" s="78" t="s">
        <v>129</v>
      </c>
      <c r="K451" s="208" t="s">
        <v>130</v>
      </c>
      <c r="L451" s="78" t="s">
        <v>131</v>
      </c>
      <c r="M451" s="209" t="s">
        <v>132</v>
      </c>
      <c r="N451" s="92"/>
      <c r="O451" s="7"/>
      <c r="Q451" s="79">
        <v>1</v>
      </c>
      <c r="R451" s="167" t="str">
        <f t="array" aca="1" ref="R451:R455" ca="1">IF(ISBLANK(S449),"Empty",INDIRECT("Team"&amp;TEXT(S449,"0")&amp;"Players"))</f>
        <v>BRENNEN</v>
      </c>
      <c r="S451" s="12"/>
      <c r="T451" s="55"/>
      <c r="U451" s="210"/>
      <c r="V451" s="55"/>
      <c r="W451" s="210"/>
      <c r="X451" s="55"/>
      <c r="Y451" s="92"/>
      <c r="Z451" s="7"/>
      <c r="BJ451" s="2"/>
    </row>
    <row r="452" spans="7:62" ht="24.95" customHeight="1">
      <c r="G452" s="165">
        <f ca="1"/>
        <v>2</v>
      </c>
      <c r="H452" s="84"/>
      <c r="I452" s="208" t="s">
        <v>129</v>
      </c>
      <c r="J452" s="78" t="s">
        <v>130</v>
      </c>
      <c r="K452" s="208" t="s">
        <v>131</v>
      </c>
      <c r="L452" s="78" t="s">
        <v>132</v>
      </c>
      <c r="M452" s="209" t="s">
        <v>128</v>
      </c>
      <c r="N452" s="93"/>
      <c r="O452" s="7"/>
      <c r="Q452" s="80">
        <v>2</v>
      </c>
      <c r="R452" s="168" t="str">
        <f ca="1"/>
        <v>NICK</v>
      </c>
      <c r="S452" s="12"/>
      <c r="T452" s="55"/>
      <c r="U452" s="210"/>
      <c r="V452" s="55"/>
      <c r="W452" s="210"/>
      <c r="X452" s="55"/>
      <c r="Y452" s="93"/>
      <c r="Z452" s="7"/>
      <c r="BJ452" s="2"/>
    </row>
    <row r="453" spans="7:62" ht="24.95" customHeight="1">
      <c r="G453" s="165">
        <f ca="1"/>
        <v>3</v>
      </c>
      <c r="H453" s="84"/>
      <c r="I453" s="208" t="s">
        <v>130</v>
      </c>
      <c r="J453" s="78" t="s">
        <v>131</v>
      </c>
      <c r="K453" s="208" t="s">
        <v>132</v>
      </c>
      <c r="L453" s="78" t="s">
        <v>128</v>
      </c>
      <c r="M453" s="209" t="s">
        <v>129</v>
      </c>
      <c r="N453" s="93"/>
      <c r="O453" s="7"/>
      <c r="Q453" s="80">
        <v>3</v>
      </c>
      <c r="R453" s="168" t="str">
        <f ca="1"/>
        <v>IAN</v>
      </c>
      <c r="S453" s="12"/>
      <c r="T453" s="55"/>
      <c r="U453" s="210"/>
      <c r="V453" s="55"/>
      <c r="W453" s="210"/>
      <c r="X453" s="55"/>
      <c r="Y453" s="93"/>
      <c r="Z453" s="7"/>
      <c r="BJ453" s="2"/>
    </row>
    <row r="454" spans="7:62" ht="24.95" customHeight="1">
      <c r="G454" s="165">
        <f ca="1"/>
        <v>4</v>
      </c>
      <c r="H454" s="84"/>
      <c r="I454" s="208" t="s">
        <v>131</v>
      </c>
      <c r="J454" s="78" t="s">
        <v>132</v>
      </c>
      <c r="K454" s="208" t="s">
        <v>128</v>
      </c>
      <c r="L454" s="78" t="s">
        <v>129</v>
      </c>
      <c r="M454" s="209" t="s">
        <v>130</v>
      </c>
      <c r="N454" s="93"/>
      <c r="O454" s="7"/>
      <c r="Q454" s="80">
        <v>4</v>
      </c>
      <c r="R454" s="168" t="str">
        <f ca="1"/>
        <v>SCOTT</v>
      </c>
      <c r="S454" s="12"/>
      <c r="T454" s="55"/>
      <c r="U454" s="210"/>
      <c r="V454" s="55"/>
      <c r="W454" s="210"/>
      <c r="X454" s="55"/>
      <c r="Y454" s="93"/>
      <c r="Z454" s="7"/>
      <c r="BJ454" s="2"/>
    </row>
    <row r="455" spans="7:62" ht="24.95" customHeight="1" thickBot="1">
      <c r="G455" s="166">
        <f ca="1"/>
        <v>5</v>
      </c>
      <c r="H455" s="85"/>
      <c r="I455" s="208" t="s">
        <v>132</v>
      </c>
      <c r="J455" s="78" t="s">
        <v>128</v>
      </c>
      <c r="K455" s="208" t="s">
        <v>129</v>
      </c>
      <c r="L455" s="78" t="s">
        <v>130</v>
      </c>
      <c r="M455" s="209" t="s">
        <v>131</v>
      </c>
      <c r="N455" s="94"/>
      <c r="O455" s="7"/>
      <c r="Q455" s="80">
        <v>5</v>
      </c>
      <c r="R455" s="169" t="str">
        <f ca="1"/>
        <v>TIM</v>
      </c>
      <c r="S455" s="77"/>
      <c r="T455" s="55"/>
      <c r="U455" s="210"/>
      <c r="V455" s="55"/>
      <c r="W455" s="210"/>
      <c r="X455" s="55"/>
      <c r="Y455" s="94"/>
      <c r="Z455" s="7"/>
      <c r="BJ455" s="2"/>
    </row>
    <row r="456" spans="7:62" ht="24.95" customHeight="1">
      <c r="H456" s="56" t="s">
        <v>134</v>
      </c>
      <c r="I456" s="91"/>
      <c r="J456" s="91"/>
      <c r="K456" s="91"/>
      <c r="L456" s="91"/>
      <c r="M456" s="91"/>
      <c r="N456" s="33"/>
      <c r="O456" s="33"/>
      <c r="S456" s="56" t="s">
        <v>134</v>
      </c>
      <c r="T456" s="91"/>
      <c r="U456" s="91"/>
      <c r="V456" s="91"/>
      <c r="W456" s="91"/>
      <c r="X456" s="91"/>
      <c r="Y456" s="33"/>
      <c r="Z456" s="33"/>
      <c r="BJ456" s="2"/>
    </row>
    <row r="457" spans="7:62" ht="24.95" customHeight="1" thickBot="1">
      <c r="H457" s="56" t="s">
        <v>135</v>
      </c>
      <c r="I457" s="7">
        <f ca="1">INT(N457/5)</f>
        <v>33</v>
      </c>
      <c r="J457" s="7">
        <f ca="1">INT(N457/5)</f>
        <v>33</v>
      </c>
      <c r="K457" s="7">
        <f ca="1">INT(N457/5)</f>
        <v>33</v>
      </c>
      <c r="L457" s="7">
        <f ca="1">INT(N457/5)</f>
        <v>33</v>
      </c>
      <c r="M457" s="7">
        <f ca="1">MOD(N457,5)+INT(N457/5)</f>
        <v>36.075000000000017</v>
      </c>
      <c r="N457" s="7">
        <f ca="1">IF(INDIRECT("Team"&amp;TEXT(H449,"0")&amp;"Average")&gt;INDIRECT("Team"&amp;TEXT(S449,"0")&amp;"Average"),0,C13*(INDIRECT("Team"&amp;TEXT(S449,"0")&amp;"Average")-INDIRECT("Team"&amp;TEXT(H449,"0")&amp;"Average")))</f>
        <v>168.07500000000002</v>
      </c>
      <c r="O457" s="33"/>
      <c r="S457" s="56" t="s">
        <v>135</v>
      </c>
      <c r="T457" s="7">
        <f ca="1">INT(Y457/5)</f>
        <v>0</v>
      </c>
      <c r="U457" s="7">
        <f ca="1">INT(Y457/5)</f>
        <v>0</v>
      </c>
      <c r="V457" s="7">
        <f ca="1">INT(Y457/5)</f>
        <v>0</v>
      </c>
      <c r="W457" s="7">
        <f ca="1">INT(Y457/5)</f>
        <v>0</v>
      </c>
      <c r="X457" s="7">
        <f ca="1">MOD(Y457,5)+INT(Y457/5)</f>
        <v>0</v>
      </c>
      <c r="Y457" s="7">
        <f ca="1">IF(INDIRECT("Team"&amp;TEXT(S449,"0")&amp;"Average")&gt;INDIRECT("Team"&amp;TEXT(H449,"0")&amp;"Average"),0,C13*(INDIRECT("Team"&amp;TEXT(H449,"0")&amp;"Average")-INDIRECT("Team"&amp;TEXT(S449,"0")&amp;"Average")))</f>
        <v>0</v>
      </c>
      <c r="Z457" s="33"/>
      <c r="BJ457" s="2"/>
    </row>
    <row r="458" spans="7:62" ht="24.95" customHeight="1" thickBot="1">
      <c r="H458" s="56" t="s">
        <v>97</v>
      </c>
      <c r="I458" s="91"/>
      <c r="J458" s="91"/>
      <c r="K458" s="91"/>
      <c r="L458" s="91"/>
      <c r="M458" s="161"/>
      <c r="N458" s="162"/>
      <c r="O458" s="18"/>
      <c r="S458" s="56" t="s">
        <v>97</v>
      </c>
      <c r="T458" s="91"/>
      <c r="U458" s="91"/>
      <c r="V458" s="91"/>
      <c r="W458" s="91"/>
      <c r="X458" s="163"/>
      <c r="Y458" s="162"/>
      <c r="Z458" s="33"/>
      <c r="BJ458" s="2"/>
    </row>
    <row r="459" spans="7:62">
      <c r="G459" s="57"/>
      <c r="BJ459" s="2"/>
    </row>
    <row r="460" spans="7:62" ht="9.9499999999999993" customHeight="1">
      <c r="I460" s="58" t="s">
        <v>136</v>
      </c>
      <c r="J460" s="12"/>
      <c r="K460" s="58" t="s">
        <v>97</v>
      </c>
      <c r="L460" s="12"/>
      <c r="T460" s="58" t="s">
        <v>137</v>
      </c>
      <c r="U460" s="12"/>
      <c r="V460" s="58" t="s">
        <v>97</v>
      </c>
      <c r="W460" s="12"/>
      <c r="BJ460" s="2"/>
    </row>
    <row r="461" spans="7:62" ht="9.9499999999999993" customHeight="1">
      <c r="I461" s="59" t="s">
        <v>138</v>
      </c>
      <c r="J461" s="26"/>
      <c r="K461" s="59" t="s">
        <v>139</v>
      </c>
      <c r="L461" s="26"/>
      <c r="T461" s="59" t="s">
        <v>138</v>
      </c>
      <c r="U461" s="26"/>
      <c r="V461" s="59" t="s">
        <v>139</v>
      </c>
      <c r="W461" s="26"/>
      <c r="BJ461" s="2"/>
    </row>
    <row r="462" spans="7:62">
      <c r="BJ462" s="2"/>
    </row>
    <row r="463" spans="7:62">
      <c r="BJ463" s="2"/>
    </row>
    <row r="464" spans="7:62" ht="15.75">
      <c r="G464" s="81" t="s">
        <v>140</v>
      </c>
      <c r="BJ464" s="2"/>
    </row>
    <row r="465" spans="7:62" ht="24.95" customHeight="1">
      <c r="G465" s="25" t="s">
        <v>141</v>
      </c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  <c r="Z465" s="25"/>
      <c r="BJ465" s="2"/>
    </row>
    <row r="466" spans="7:62" ht="24.95" customHeight="1"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BJ466" s="2"/>
    </row>
    <row r="467" spans="7:62" ht="24.95" customHeight="1"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BJ467" s="2"/>
    </row>
    <row r="468" spans="7:62" ht="24.95" customHeight="1"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BJ468" s="2"/>
    </row>
    <row r="469" spans="7:62" ht="23.25">
      <c r="G469" s="47" t="str">
        <f>"Clicks "&amp;$C$3&amp;":"&amp;" "&amp;$C$10&amp;" "&amp;$C$9&amp;" League Score Sheet"</f>
        <v>Clicks Tucson: Get-a-Cue 8-Ball League Score Sheet</v>
      </c>
      <c r="Z469" s="76" t="s">
        <v>175</v>
      </c>
      <c r="BJ469" s="2"/>
    </row>
    <row r="470" spans="7:62">
      <c r="BJ470" s="2"/>
    </row>
    <row r="471" spans="7:62" ht="24.95" customHeight="1">
      <c r="G471" s="234">
        <f ca="1">TODAY()</f>
        <v>46155</v>
      </c>
      <c r="H471" s="235"/>
      <c r="I471" s="69" t="s">
        <v>123</v>
      </c>
      <c r="J471" s="70"/>
      <c r="K471" s="170">
        <f>A!$AW$13+1</f>
        <v>5</v>
      </c>
      <c r="L471" s="46" t="s">
        <v>144</v>
      </c>
      <c r="M471" s="46"/>
      <c r="N471" s="171">
        <f>$C$4</f>
        <v>335</v>
      </c>
      <c r="S471" s="69" t="s">
        <v>146</v>
      </c>
      <c r="T471" s="70"/>
      <c r="U471" s="70"/>
      <c r="V471" s="70"/>
      <c r="W471" s="69"/>
      <c r="X471" s="70"/>
      <c r="Y471" s="236" t="str">
        <f ca="1">INDEX(INDIRECT("Sched_"&amp;TEXT($C$5,"0")&amp;"_Matches"),1,3)</f>
        <v>4 &amp; 5</v>
      </c>
      <c r="Z471" s="237"/>
      <c r="BJ471" s="2"/>
    </row>
    <row r="472" spans="7:62" ht="24.95" customHeight="1" thickBot="1">
      <c r="BJ472" s="2"/>
    </row>
    <row r="473" spans="7:62" ht="24.95" customHeight="1" thickTop="1">
      <c r="G473" s="66" t="s">
        <v>124</v>
      </c>
      <c r="H473" s="86">
        <f ca="1">IF($K447&lt;&gt;$C$8,INDEX(INDIRECT(AB687),$K447,3),VLOOKUP(LARGE(A!$BK$5:$BK$24,3),Team_Score,2,FALSE))</f>
        <v>4</v>
      </c>
      <c r="I473" s="71" t="s">
        <v>142</v>
      </c>
      <c r="J473" s="238" t="str">
        <f ca="1">INDIRECT("Team"&amp;TEXT(H473,"0")&amp;"Name")</f>
        <v>HOT WHEELS</v>
      </c>
      <c r="K473" s="238"/>
      <c r="L473" s="238"/>
      <c r="M473" s="238"/>
      <c r="N473" s="239"/>
      <c r="O473" s="49" t="s">
        <v>125</v>
      </c>
      <c r="Q473" s="66" t="s">
        <v>126</v>
      </c>
      <c r="R473" s="48"/>
      <c r="S473" s="86">
        <f ca="1">IF($K447&lt;&gt;$C$8,INDEX(INDIRECT(AB687),$K447,4),VLOOKUP(LARGE(A!$BK$5:$BK$24,4),Team_Score,2,FALSE))</f>
        <v>9</v>
      </c>
      <c r="T473" s="71" t="s">
        <v>142</v>
      </c>
      <c r="U473" s="238" t="str">
        <f ca="1">INDIRECT("Team"&amp;TEXT(S473,"0")&amp;"Name")</f>
        <v>THE DOUGERNAUTS</v>
      </c>
      <c r="V473" s="238"/>
      <c r="W473" s="238"/>
      <c r="X473" s="238"/>
      <c r="Y473" s="239"/>
      <c r="Z473" s="49" t="s">
        <v>125</v>
      </c>
      <c r="BJ473" s="2"/>
    </row>
    <row r="474" spans="7:62" ht="24.95" customHeight="1" thickBot="1">
      <c r="G474" s="50" t="s">
        <v>74</v>
      </c>
      <c r="H474" s="52" t="s">
        <v>127</v>
      </c>
      <c r="I474" s="53" t="s">
        <v>128</v>
      </c>
      <c r="J474" s="53" t="s">
        <v>129</v>
      </c>
      <c r="K474" s="53" t="s">
        <v>130</v>
      </c>
      <c r="L474" s="53" t="s">
        <v>131</v>
      </c>
      <c r="M474" s="53" t="s">
        <v>132</v>
      </c>
      <c r="N474" s="53" t="s">
        <v>97</v>
      </c>
      <c r="O474" s="54" t="s">
        <v>133</v>
      </c>
      <c r="Q474" s="50" t="s">
        <v>74</v>
      </c>
      <c r="R474" s="51"/>
      <c r="S474" s="52" t="s">
        <v>127</v>
      </c>
      <c r="T474" s="53" t="s">
        <v>128</v>
      </c>
      <c r="U474" s="53" t="s">
        <v>129</v>
      </c>
      <c r="V474" s="53" t="s">
        <v>130</v>
      </c>
      <c r="W474" s="53" t="s">
        <v>131</v>
      </c>
      <c r="X474" s="53" t="s">
        <v>132</v>
      </c>
      <c r="Y474" s="53" t="s">
        <v>97</v>
      </c>
      <c r="Z474" s="54" t="s">
        <v>133</v>
      </c>
      <c r="BJ474" s="2"/>
    </row>
    <row r="475" spans="7:62" ht="24.95" customHeight="1" thickTop="1">
      <c r="G475" s="164" t="str">
        <f t="array" aca="1" ref="G475:G479" ca="1">IF(ISBLANK(H473),"Empty",INDIRECT("Team"&amp;TEXT(H473,"0")&amp;"Players"))</f>
        <v>PATRICK</v>
      </c>
      <c r="H475" s="83"/>
      <c r="I475" s="208" t="s">
        <v>128</v>
      </c>
      <c r="J475" s="78" t="s">
        <v>129</v>
      </c>
      <c r="K475" s="208" t="s">
        <v>130</v>
      </c>
      <c r="L475" s="78" t="s">
        <v>131</v>
      </c>
      <c r="M475" s="208" t="s">
        <v>132</v>
      </c>
      <c r="N475" s="92"/>
      <c r="O475" s="7"/>
      <c r="Q475" s="79">
        <v>1</v>
      </c>
      <c r="R475" s="167" t="str">
        <f t="array" aca="1" ref="R475:R479" ca="1">IF(ISBLANK(S473),"Empty",INDIRECT("Team"&amp;TEXT(S473,"0")&amp;"Players"))</f>
        <v>MICHAEL</v>
      </c>
      <c r="S475" s="12"/>
      <c r="T475" s="55"/>
      <c r="U475" s="210"/>
      <c r="V475" s="55"/>
      <c r="W475" s="210"/>
      <c r="X475" s="55"/>
      <c r="Y475" s="92"/>
      <c r="Z475" s="7"/>
      <c r="BJ475" s="2"/>
    </row>
    <row r="476" spans="7:62" ht="24.95" customHeight="1">
      <c r="G476" s="165" t="str">
        <f ca="1"/>
        <v>BRANDY</v>
      </c>
      <c r="H476" s="84"/>
      <c r="I476" s="208" t="s">
        <v>129</v>
      </c>
      <c r="J476" s="78" t="s">
        <v>130</v>
      </c>
      <c r="K476" s="208" t="s">
        <v>131</v>
      </c>
      <c r="L476" s="78" t="s">
        <v>132</v>
      </c>
      <c r="M476" s="208" t="s">
        <v>128</v>
      </c>
      <c r="N476" s="93"/>
      <c r="O476" s="7"/>
      <c r="Q476" s="80">
        <v>2</v>
      </c>
      <c r="R476" s="168" t="str">
        <f ca="1"/>
        <v>JIM</v>
      </c>
      <c r="S476" s="12"/>
      <c r="T476" s="55"/>
      <c r="U476" s="210"/>
      <c r="V476" s="55"/>
      <c r="W476" s="210"/>
      <c r="X476" s="55"/>
      <c r="Y476" s="93"/>
      <c r="Z476" s="7"/>
      <c r="BJ476" s="2"/>
    </row>
    <row r="477" spans="7:62" ht="24.95" customHeight="1">
      <c r="G477" s="165" t="str">
        <f ca="1"/>
        <v>PJ</v>
      </c>
      <c r="H477" s="84"/>
      <c r="I477" s="208" t="s">
        <v>130</v>
      </c>
      <c r="J477" s="78" t="s">
        <v>131</v>
      </c>
      <c r="K477" s="208" t="s">
        <v>132</v>
      </c>
      <c r="L477" s="78" t="s">
        <v>128</v>
      </c>
      <c r="M477" s="208" t="s">
        <v>129</v>
      </c>
      <c r="N477" s="93"/>
      <c r="O477" s="7"/>
      <c r="Q477" s="80">
        <v>3</v>
      </c>
      <c r="R477" s="168" t="str">
        <f ca="1"/>
        <v>DOUG</v>
      </c>
      <c r="S477" s="12"/>
      <c r="T477" s="55"/>
      <c r="U477" s="210"/>
      <c r="V477" s="55"/>
      <c r="W477" s="210"/>
      <c r="X477" s="55"/>
      <c r="Y477" s="93"/>
      <c r="Z477" s="7"/>
      <c r="BJ477" s="2"/>
    </row>
    <row r="478" spans="7:62" ht="24.95" customHeight="1">
      <c r="G478" s="165" t="str">
        <f ca="1"/>
        <v>CARA</v>
      </c>
      <c r="H478" s="84"/>
      <c r="I478" s="208" t="s">
        <v>131</v>
      </c>
      <c r="J478" s="78" t="s">
        <v>132</v>
      </c>
      <c r="K478" s="208" t="s">
        <v>128</v>
      </c>
      <c r="L478" s="78" t="s">
        <v>129</v>
      </c>
      <c r="M478" s="208" t="s">
        <v>130</v>
      </c>
      <c r="N478" s="93"/>
      <c r="O478" s="7"/>
      <c r="Q478" s="80">
        <v>4</v>
      </c>
      <c r="R478" s="168" t="str">
        <f ca="1"/>
        <v>SARAH</v>
      </c>
      <c r="S478" s="12"/>
      <c r="T478" s="55"/>
      <c r="U478" s="210"/>
      <c r="V478" s="55"/>
      <c r="W478" s="210"/>
      <c r="X478" s="55"/>
      <c r="Y478" s="93"/>
      <c r="Z478" s="7"/>
      <c r="BJ478" s="2"/>
    </row>
    <row r="479" spans="7:62" ht="24.95" customHeight="1" thickBot="1">
      <c r="G479" s="166">
        <f ca="1"/>
        <v>0</v>
      </c>
      <c r="H479" s="85"/>
      <c r="I479" s="208" t="s">
        <v>132</v>
      </c>
      <c r="J479" s="78" t="s">
        <v>128</v>
      </c>
      <c r="K479" s="208" t="s">
        <v>129</v>
      </c>
      <c r="L479" s="78" t="s">
        <v>130</v>
      </c>
      <c r="M479" s="208" t="s">
        <v>131</v>
      </c>
      <c r="N479" s="94"/>
      <c r="O479" s="7"/>
      <c r="Q479" s="80">
        <v>5</v>
      </c>
      <c r="R479" s="169" t="str">
        <f ca="1"/>
        <v>KASH</v>
      </c>
      <c r="S479" s="77"/>
      <c r="T479" s="55"/>
      <c r="U479" s="210"/>
      <c r="V479" s="55"/>
      <c r="W479" s="210"/>
      <c r="X479" s="55"/>
      <c r="Y479" s="94"/>
      <c r="Z479" s="7"/>
      <c r="BJ479" s="2"/>
    </row>
    <row r="480" spans="7:62" ht="24.95" customHeight="1">
      <c r="H480" s="56" t="s">
        <v>134</v>
      </c>
      <c r="I480" s="91"/>
      <c r="J480" s="91"/>
      <c r="K480" s="91"/>
      <c r="L480" s="91"/>
      <c r="M480" s="91"/>
      <c r="N480" s="33"/>
      <c r="O480" s="33"/>
      <c r="S480" s="56" t="s">
        <v>134</v>
      </c>
      <c r="T480" s="91"/>
      <c r="U480" s="91"/>
      <c r="V480" s="91"/>
      <c r="W480" s="91"/>
      <c r="X480" s="91"/>
      <c r="Y480" s="33"/>
      <c r="Z480" s="33"/>
      <c r="BJ480" s="2"/>
    </row>
    <row r="481" spans="7:62" ht="24.95" customHeight="1" thickBot="1">
      <c r="H481" s="56" t="s">
        <v>135</v>
      </c>
      <c r="I481" s="7">
        <f ca="1">INT(N481/5)</f>
        <v>0</v>
      </c>
      <c r="J481" s="7">
        <f ca="1">INT(N481/5)</f>
        <v>0</v>
      </c>
      <c r="K481" s="7">
        <f ca="1">INT(N481/5)</f>
        <v>0</v>
      </c>
      <c r="L481" s="7">
        <f ca="1">INT(N481/5)</f>
        <v>0</v>
      </c>
      <c r="M481" s="7">
        <f ca="1">MOD(N481,5)+INT(N481/5)</f>
        <v>0</v>
      </c>
      <c r="N481" s="7">
        <f ca="1">IF(INDIRECT("Team"&amp;TEXT(H473,"0")&amp;"Average")&gt;INDIRECT("Team"&amp;TEXT(S473,"0")&amp;"Average"),0,C13*(INDIRECT("Team"&amp;TEXT(S473,"0")&amp;"Average")-INDIRECT("Team"&amp;TEXT(H473,"0")&amp;"Average")))</f>
        <v>0</v>
      </c>
      <c r="O481" s="33"/>
      <c r="S481" s="56" t="s">
        <v>135</v>
      </c>
      <c r="T481" s="7">
        <f ca="1">INT(Y481/5)</f>
        <v>1</v>
      </c>
      <c r="U481" s="7">
        <f ca="1">INT(Y481/5)</f>
        <v>1</v>
      </c>
      <c r="V481" s="7">
        <f ca="1">INT(Y481/5)</f>
        <v>1</v>
      </c>
      <c r="W481" s="7">
        <f ca="1">INT(Y481/5)</f>
        <v>1</v>
      </c>
      <c r="X481" s="7">
        <f ca="1">MOD(Y481,5)+INT(Y481/5)</f>
        <v>1.1749999999999998</v>
      </c>
      <c r="Y481" s="7">
        <f ca="1">IF(INDIRECT("Team"&amp;TEXT(S473,"0")&amp;"Average")&gt;INDIRECT("Team"&amp;TEXT(H473,"0")&amp;"Average"),0,C13*(INDIRECT("Team"&amp;TEXT(H473,"0")&amp;"Average")-INDIRECT("Team"&amp;TEXT(S473,"0")&amp;"Average")))</f>
        <v>5.1749999999999998</v>
      </c>
      <c r="Z481" s="33"/>
      <c r="BJ481" s="2"/>
    </row>
    <row r="482" spans="7:62" ht="24.95" customHeight="1" thickBot="1">
      <c r="H482" s="56" t="s">
        <v>97</v>
      </c>
      <c r="I482" s="91"/>
      <c r="J482" s="91"/>
      <c r="K482" s="91"/>
      <c r="L482" s="91"/>
      <c r="M482" s="161"/>
      <c r="N482" s="162"/>
      <c r="O482" s="33"/>
      <c r="S482" s="56" t="s">
        <v>97</v>
      </c>
      <c r="T482" s="91"/>
      <c r="U482" s="91"/>
      <c r="V482" s="91"/>
      <c r="W482" s="91"/>
      <c r="X482" s="161"/>
      <c r="Y482" s="162"/>
      <c r="Z482" s="33"/>
      <c r="BJ482" s="2"/>
    </row>
    <row r="483" spans="7:62">
      <c r="G483" s="57"/>
      <c r="BJ483" s="2"/>
    </row>
    <row r="484" spans="7:62" ht="9.9499999999999993" customHeight="1">
      <c r="I484" s="58" t="s">
        <v>136</v>
      </c>
      <c r="J484" s="12"/>
      <c r="K484" s="58" t="s">
        <v>97</v>
      </c>
      <c r="L484" s="12"/>
      <c r="T484" s="58" t="s">
        <v>137</v>
      </c>
      <c r="U484" s="12"/>
      <c r="V484" s="58" t="s">
        <v>97</v>
      </c>
      <c r="W484" s="12"/>
      <c r="BJ484" s="2"/>
    </row>
    <row r="485" spans="7:62" ht="9.9499999999999993" customHeight="1">
      <c r="I485" s="59" t="s">
        <v>138</v>
      </c>
      <c r="J485" s="26"/>
      <c r="K485" s="59" t="s">
        <v>139</v>
      </c>
      <c r="L485" s="26"/>
      <c r="T485" s="59" t="s">
        <v>138</v>
      </c>
      <c r="U485" s="26"/>
      <c r="V485" s="59" t="s">
        <v>139</v>
      </c>
      <c r="W485" s="26"/>
      <c r="BJ485" s="2"/>
    </row>
    <row r="486" spans="7:62">
      <c r="BJ486" s="2"/>
    </row>
    <row r="487" spans="7:62">
      <c r="BJ487" s="2"/>
    </row>
    <row r="488" spans="7:62" ht="15.75">
      <c r="G488" s="81" t="s">
        <v>140</v>
      </c>
      <c r="BJ488" s="2"/>
    </row>
    <row r="489" spans="7:62" ht="24.95" customHeight="1">
      <c r="G489" s="25" t="s">
        <v>141</v>
      </c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BJ489" s="2"/>
    </row>
    <row r="490" spans="7:62" ht="24.95" customHeight="1"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BJ490" s="2"/>
    </row>
    <row r="491" spans="7:62" ht="24.95" customHeight="1"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  <c r="Z491" s="25"/>
      <c r="BJ491" s="2"/>
    </row>
    <row r="492" spans="7:62" ht="24.95" customHeight="1"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BJ492" s="2"/>
    </row>
    <row r="493" spans="7:62" ht="23.25">
      <c r="G493" s="47" t="str">
        <f>"Clicks "&amp;$C$3&amp;":"&amp;" "&amp;$C$10&amp;" "&amp;$C$9&amp;" League Score Sheet"</f>
        <v>Clicks Tucson: Get-a-Cue 8-Ball League Score Sheet</v>
      </c>
      <c r="Z493" s="76" t="s">
        <v>176</v>
      </c>
      <c r="BJ493" s="2"/>
    </row>
    <row r="494" spans="7:62">
      <c r="BJ494" s="2"/>
    </row>
    <row r="495" spans="7:62" ht="24.95" customHeight="1">
      <c r="G495" s="234">
        <f ca="1">TODAY()</f>
        <v>46155</v>
      </c>
      <c r="H495" s="235"/>
      <c r="I495" s="69" t="s">
        <v>123</v>
      </c>
      <c r="J495" s="70"/>
      <c r="K495" s="170">
        <f>A!$AW$13+1</f>
        <v>5</v>
      </c>
      <c r="L495" s="46" t="s">
        <v>144</v>
      </c>
      <c r="M495" s="46"/>
      <c r="N495" s="171">
        <f>$C$4</f>
        <v>335</v>
      </c>
      <c r="S495" s="69" t="s">
        <v>146</v>
      </c>
      <c r="T495" s="70"/>
      <c r="U495" s="70"/>
      <c r="V495" s="70"/>
      <c r="W495" s="69"/>
      <c r="X495" s="70"/>
      <c r="Y495" s="236" t="str">
        <f ca="1">INDEX(INDIRECT("Sched_"&amp;TEXT($C$5,"0")&amp;"_Matches"),1,5)</f>
        <v>11 &amp; 12</v>
      </c>
      <c r="Z495" s="237"/>
      <c r="BJ495" s="2"/>
    </row>
    <row r="496" spans="7:62" ht="24.95" customHeight="1" thickBot="1">
      <c r="BJ496" s="2"/>
    </row>
    <row r="497" spans="7:62" ht="24.95" customHeight="1" thickTop="1">
      <c r="G497" s="66" t="s">
        <v>124</v>
      </c>
      <c r="H497" s="86">
        <f ca="1">IF($K447&lt;&gt;$C$8,INDEX(INDIRECT(AB687),$K447,5),VLOOKUP(LARGE(A!$BK$5:$BK$24,5),Team_Score,2,FALSE))</f>
        <v>2</v>
      </c>
      <c r="I497" s="71" t="s">
        <v>142</v>
      </c>
      <c r="J497" s="238" t="str">
        <f ca="1">INDIRECT("Team"&amp;TEXT(H497,"0")&amp;"Name")</f>
        <v>VLADIMIR POOLIN</v>
      </c>
      <c r="K497" s="238"/>
      <c r="L497" s="238"/>
      <c r="M497" s="238"/>
      <c r="N497" s="239"/>
      <c r="O497" s="49" t="s">
        <v>125</v>
      </c>
      <c r="Q497" s="66" t="s">
        <v>126</v>
      </c>
      <c r="R497" s="48"/>
      <c r="S497" s="86">
        <f ca="1">IF($K447&lt;&gt;$C$8,INDEX(INDIRECT(AB687),$K447,6),VLOOKUP(LARGE(A!$BK$5:$BK$24,6),Team_Score,2,FALSE))</f>
        <v>7</v>
      </c>
      <c r="T497" s="71" t="s">
        <v>142</v>
      </c>
      <c r="U497" s="238" t="str">
        <f ca="1">INDIRECT("Team"&amp;TEXT(S497,"0")&amp;"Name")</f>
        <v>YOUNG BLOODS</v>
      </c>
      <c r="V497" s="238"/>
      <c r="W497" s="238"/>
      <c r="X497" s="238"/>
      <c r="Y497" s="239"/>
      <c r="Z497" s="49" t="s">
        <v>125</v>
      </c>
      <c r="BJ497" s="2"/>
    </row>
    <row r="498" spans="7:62" ht="24.95" customHeight="1" thickBot="1">
      <c r="G498" s="50" t="s">
        <v>74</v>
      </c>
      <c r="H498" s="52" t="s">
        <v>127</v>
      </c>
      <c r="I498" s="53" t="s">
        <v>128</v>
      </c>
      <c r="J498" s="53" t="s">
        <v>129</v>
      </c>
      <c r="K498" s="53" t="s">
        <v>130</v>
      </c>
      <c r="L498" s="53" t="s">
        <v>131</v>
      </c>
      <c r="M498" s="53" t="s">
        <v>132</v>
      </c>
      <c r="N498" s="53" t="s">
        <v>97</v>
      </c>
      <c r="O498" s="54" t="s">
        <v>133</v>
      </c>
      <c r="Q498" s="50" t="s">
        <v>74</v>
      </c>
      <c r="R498" s="51"/>
      <c r="S498" s="52" t="s">
        <v>127</v>
      </c>
      <c r="T498" s="53" t="s">
        <v>128</v>
      </c>
      <c r="U498" s="53" t="s">
        <v>129</v>
      </c>
      <c r="V498" s="53" t="s">
        <v>130</v>
      </c>
      <c r="W498" s="53" t="s">
        <v>131</v>
      </c>
      <c r="X498" s="53" t="s">
        <v>132</v>
      </c>
      <c r="Y498" s="53" t="s">
        <v>97</v>
      </c>
      <c r="Z498" s="54" t="s">
        <v>133</v>
      </c>
      <c r="BJ498" s="2"/>
    </row>
    <row r="499" spans="7:62" ht="24.95" customHeight="1" thickTop="1">
      <c r="G499" s="164" t="str">
        <f t="array" aca="1" ref="G499:G503" ca="1">IF(ISBLANK(H497),"Empty",INDIRECT("Team"&amp;TEXT(H497,"0")&amp;"Players"))</f>
        <v>LEIGH</v>
      </c>
      <c r="H499" s="83"/>
      <c r="I499" s="208" t="s">
        <v>128</v>
      </c>
      <c r="J499" s="78" t="s">
        <v>129</v>
      </c>
      <c r="K499" s="208" t="s">
        <v>130</v>
      </c>
      <c r="L499" s="78" t="s">
        <v>131</v>
      </c>
      <c r="M499" s="208" t="s">
        <v>132</v>
      </c>
      <c r="N499" s="92"/>
      <c r="O499" s="7"/>
      <c r="Q499" s="79">
        <v>1</v>
      </c>
      <c r="R499" s="167" t="str">
        <f t="array" aca="1" ref="R499:R503" ca="1">IF(ISBLANK(S497),"Empty",INDIRECT("Team"&amp;TEXT(S497,"0")&amp;"Players"))</f>
        <v>GARY</v>
      </c>
      <c r="S499" s="12"/>
      <c r="T499" s="55"/>
      <c r="U499" s="210"/>
      <c r="V499" s="55"/>
      <c r="W499" s="210"/>
      <c r="X499" s="55"/>
      <c r="Y499" s="92"/>
      <c r="Z499" s="7"/>
      <c r="BJ499" s="2"/>
    </row>
    <row r="500" spans="7:62" ht="24.95" customHeight="1">
      <c r="G500" s="165" t="str">
        <f ca="1"/>
        <v>IAN</v>
      </c>
      <c r="H500" s="84"/>
      <c r="I500" s="208" t="s">
        <v>129</v>
      </c>
      <c r="J500" s="78" t="s">
        <v>130</v>
      </c>
      <c r="K500" s="208" t="s">
        <v>131</v>
      </c>
      <c r="L500" s="78" t="s">
        <v>132</v>
      </c>
      <c r="M500" s="208" t="s">
        <v>128</v>
      </c>
      <c r="N500" s="93"/>
      <c r="O500" s="7"/>
      <c r="Q500" s="80">
        <v>2</v>
      </c>
      <c r="R500" s="168" t="str">
        <f ca="1"/>
        <v>RICH</v>
      </c>
      <c r="S500" s="12"/>
      <c r="T500" s="55"/>
      <c r="U500" s="210"/>
      <c r="V500" s="55"/>
      <c r="W500" s="210"/>
      <c r="X500" s="55"/>
      <c r="Y500" s="93"/>
      <c r="Z500" s="7"/>
      <c r="BJ500" s="2"/>
    </row>
    <row r="501" spans="7:62" ht="24.95" customHeight="1">
      <c r="G501" s="165" t="str">
        <f ca="1"/>
        <v>ELI</v>
      </c>
      <c r="H501" s="84"/>
      <c r="I501" s="208" t="s">
        <v>130</v>
      </c>
      <c r="J501" s="78" t="s">
        <v>131</v>
      </c>
      <c r="K501" s="208" t="s">
        <v>132</v>
      </c>
      <c r="L501" s="78" t="s">
        <v>128</v>
      </c>
      <c r="M501" s="208" t="s">
        <v>129</v>
      </c>
      <c r="N501" s="93"/>
      <c r="O501" s="7"/>
      <c r="Q501" s="80">
        <v>3</v>
      </c>
      <c r="R501" s="168" t="str">
        <f ca="1"/>
        <v>VIC</v>
      </c>
      <c r="S501" s="12"/>
      <c r="T501" s="55"/>
      <c r="U501" s="210"/>
      <c r="V501" s="55"/>
      <c r="W501" s="210"/>
      <c r="X501" s="55"/>
      <c r="Y501" s="93"/>
      <c r="Z501" s="7"/>
      <c r="BJ501" s="2"/>
    </row>
    <row r="502" spans="7:62" ht="24.95" customHeight="1">
      <c r="G502" s="165" t="str">
        <f ca="1"/>
        <v>COLE</v>
      </c>
      <c r="H502" s="84"/>
      <c r="I502" s="208" t="s">
        <v>131</v>
      </c>
      <c r="J502" s="78" t="s">
        <v>132</v>
      </c>
      <c r="K502" s="208" t="s">
        <v>128</v>
      </c>
      <c r="L502" s="78" t="s">
        <v>129</v>
      </c>
      <c r="M502" s="208" t="s">
        <v>130</v>
      </c>
      <c r="N502" s="93"/>
      <c r="O502" s="7"/>
      <c r="Q502" s="80">
        <v>4</v>
      </c>
      <c r="R502" s="168" t="str">
        <f ca="1"/>
        <v>JIM</v>
      </c>
      <c r="S502" s="12"/>
      <c r="T502" s="55"/>
      <c r="U502" s="210"/>
      <c r="V502" s="55"/>
      <c r="W502" s="210"/>
      <c r="X502" s="55"/>
      <c r="Y502" s="93"/>
      <c r="Z502" s="7"/>
      <c r="BJ502" s="2"/>
    </row>
    <row r="503" spans="7:62" ht="24.95" customHeight="1" thickBot="1">
      <c r="G503" s="166" t="str">
        <f ca="1"/>
        <v>JAMES</v>
      </c>
      <c r="H503" s="85"/>
      <c r="I503" s="208" t="s">
        <v>132</v>
      </c>
      <c r="J503" s="78" t="s">
        <v>128</v>
      </c>
      <c r="K503" s="208" t="s">
        <v>129</v>
      </c>
      <c r="L503" s="78" t="s">
        <v>130</v>
      </c>
      <c r="M503" s="208" t="s">
        <v>131</v>
      </c>
      <c r="N503" s="94"/>
      <c r="O503" s="7"/>
      <c r="Q503" s="80">
        <v>5</v>
      </c>
      <c r="R503" s="169" t="str">
        <f ca="1"/>
        <v>PAM</v>
      </c>
      <c r="S503" s="77"/>
      <c r="T503" s="55"/>
      <c r="U503" s="210"/>
      <c r="V503" s="55"/>
      <c r="W503" s="210"/>
      <c r="X503" s="55"/>
      <c r="Y503" s="94"/>
      <c r="Z503" s="7"/>
      <c r="BJ503" s="2"/>
    </row>
    <row r="504" spans="7:62" ht="24.95" customHeight="1">
      <c r="H504" s="56" t="s">
        <v>134</v>
      </c>
      <c r="I504" s="91"/>
      <c r="J504" s="91"/>
      <c r="K504" s="91"/>
      <c r="L504" s="91"/>
      <c r="M504" s="91"/>
      <c r="N504" s="33"/>
      <c r="O504" s="33"/>
      <c r="S504" s="56" t="s">
        <v>134</v>
      </c>
      <c r="T504" s="91"/>
      <c r="U504" s="91"/>
      <c r="V504" s="91"/>
      <c r="W504" s="91"/>
      <c r="X504" s="91"/>
      <c r="Y504" s="33"/>
      <c r="Z504" s="33"/>
      <c r="BJ504" s="2"/>
    </row>
    <row r="505" spans="7:62" ht="24.95" customHeight="1" thickBot="1">
      <c r="H505" s="56" t="s">
        <v>135</v>
      </c>
      <c r="I505" s="7">
        <f ca="1">INT(N505/5)</f>
        <v>4</v>
      </c>
      <c r="J505" s="7">
        <f ca="1">INT(N505/5)</f>
        <v>4</v>
      </c>
      <c r="K505" s="7">
        <f ca="1">INT(N505/5)</f>
        <v>4</v>
      </c>
      <c r="L505" s="7">
        <f ca="1">INT(N505/5)</f>
        <v>4</v>
      </c>
      <c r="M505" s="7">
        <f ca="1">MOD(N505,5)+INT(N505/5)</f>
        <v>8.5250000000000021</v>
      </c>
      <c r="N505" s="7">
        <f ca="1">IF(INDIRECT("Team"&amp;TEXT(H497,"0")&amp;"Average")&gt;INDIRECT("Team"&amp;TEXT(S497,"0")&amp;"Average"),0,C13*(INDIRECT("Team"&amp;TEXT(S497,"0")&amp;"Average")-INDIRECT("Team"&amp;TEXT(H497,"0")&amp;"Average")))</f>
        <v>24.525000000000002</v>
      </c>
      <c r="O505" s="33"/>
      <c r="S505" s="56" t="s">
        <v>135</v>
      </c>
      <c r="T505" s="7">
        <f ca="1">INT(Y505/5)</f>
        <v>0</v>
      </c>
      <c r="U505" s="7">
        <f ca="1">INT(Y505/5)</f>
        <v>0</v>
      </c>
      <c r="V505" s="7">
        <f ca="1">INT(Y505/5)</f>
        <v>0</v>
      </c>
      <c r="W505" s="7">
        <f ca="1">INT(Y505/5)</f>
        <v>0</v>
      </c>
      <c r="X505" s="7">
        <f ca="1">MOD(Y505,5)+INT(Y505/5)</f>
        <v>0</v>
      </c>
      <c r="Y505" s="7">
        <f ca="1">IF(INDIRECT("Team"&amp;TEXT(S497,"0")&amp;"Average")&gt;INDIRECT("Team"&amp;TEXT(H497,"0")&amp;"Average"),0,C13*(INDIRECT("Team"&amp;TEXT(H497,"0")&amp;"Average")-INDIRECT("Team"&amp;TEXT(S497,"0")&amp;"Average")))</f>
        <v>0</v>
      </c>
      <c r="Z505" s="33"/>
      <c r="BJ505" s="2"/>
    </row>
    <row r="506" spans="7:62" ht="24.95" customHeight="1" thickBot="1">
      <c r="H506" s="56" t="s">
        <v>97</v>
      </c>
      <c r="I506" s="91"/>
      <c r="J506" s="91"/>
      <c r="K506" s="91"/>
      <c r="L506" s="91"/>
      <c r="M506" s="161"/>
      <c r="N506" s="162"/>
      <c r="O506" s="33"/>
      <c r="S506" s="56" t="s">
        <v>97</v>
      </c>
      <c r="T506" s="91"/>
      <c r="U506" s="91"/>
      <c r="V506" s="91"/>
      <c r="W506" s="91"/>
      <c r="X506" s="161"/>
      <c r="Y506" s="162"/>
      <c r="Z506" s="33"/>
      <c r="BJ506" s="2"/>
    </row>
    <row r="507" spans="7:62">
      <c r="G507" s="57"/>
      <c r="BJ507" s="2"/>
    </row>
    <row r="508" spans="7:62" ht="9.9499999999999993" customHeight="1">
      <c r="I508" s="58" t="s">
        <v>136</v>
      </c>
      <c r="J508" s="12"/>
      <c r="K508" s="58" t="s">
        <v>97</v>
      </c>
      <c r="L508" s="12"/>
      <c r="T508" s="58" t="s">
        <v>137</v>
      </c>
      <c r="U508" s="12"/>
      <c r="V508" s="58" t="s">
        <v>97</v>
      </c>
      <c r="W508" s="12"/>
      <c r="BJ508" s="2"/>
    </row>
    <row r="509" spans="7:62" ht="9.9499999999999993" customHeight="1">
      <c r="I509" s="59" t="s">
        <v>138</v>
      </c>
      <c r="J509" s="26"/>
      <c r="K509" s="59" t="s">
        <v>139</v>
      </c>
      <c r="L509" s="26"/>
      <c r="T509" s="59" t="s">
        <v>138</v>
      </c>
      <c r="U509" s="26"/>
      <c r="V509" s="59" t="s">
        <v>139</v>
      </c>
      <c r="W509" s="26"/>
      <c r="BJ509" s="2"/>
    </row>
    <row r="510" spans="7:62">
      <c r="BJ510" s="2"/>
    </row>
    <row r="511" spans="7:62">
      <c r="BJ511" s="2"/>
    </row>
    <row r="512" spans="7:62" ht="15.75">
      <c r="G512" s="81" t="s">
        <v>140</v>
      </c>
      <c r="BJ512" s="2"/>
    </row>
    <row r="513" spans="7:62" ht="24.95" customHeight="1">
      <c r="G513" s="25" t="s">
        <v>141</v>
      </c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  <c r="Z513" s="25"/>
      <c r="BJ513" s="2"/>
    </row>
    <row r="514" spans="7:62" ht="24.95" customHeight="1"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BJ514" s="2"/>
    </row>
    <row r="515" spans="7:62" ht="24.95" customHeight="1"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BJ515" s="2"/>
    </row>
    <row r="516" spans="7:62" ht="24.95" customHeight="1"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BJ516" s="2"/>
    </row>
    <row r="517" spans="7:62" ht="23.25">
      <c r="G517" s="47" t="str">
        <f>"Clicks "&amp;$C$3&amp;":"&amp;" "&amp;$C$10&amp;" "&amp;$C$9&amp;" League Score Sheet"</f>
        <v>Clicks Tucson: Get-a-Cue 8-Ball League Score Sheet</v>
      </c>
      <c r="Z517" s="76" t="s">
        <v>177</v>
      </c>
      <c r="BJ517" s="2"/>
    </row>
    <row r="518" spans="7:62">
      <c r="BJ518" s="2"/>
    </row>
    <row r="519" spans="7:62" ht="24.95" customHeight="1">
      <c r="G519" s="234">
        <f ca="1">TODAY()</f>
        <v>46155</v>
      </c>
      <c r="H519" s="235"/>
      <c r="I519" s="69" t="s">
        <v>123</v>
      </c>
      <c r="J519" s="70"/>
      <c r="K519" s="170">
        <f>A!$AW$13+1</f>
        <v>5</v>
      </c>
      <c r="L519" s="46" t="s">
        <v>144</v>
      </c>
      <c r="M519" s="46"/>
      <c r="N519" s="171">
        <f>$C$4</f>
        <v>335</v>
      </c>
      <c r="S519" s="69" t="s">
        <v>146</v>
      </c>
      <c r="T519" s="70"/>
      <c r="U519" s="70"/>
      <c r="V519" s="70"/>
      <c r="W519" s="69"/>
      <c r="X519" s="70"/>
      <c r="Y519" s="236" t="str">
        <f ca="1">INDEX(INDIRECT("Sched_"&amp;TEXT($C$5,"0")&amp;"_Matches"),1,7)</f>
        <v>13 &amp; 14</v>
      </c>
      <c r="Z519" s="237"/>
      <c r="BJ519" s="2"/>
    </row>
    <row r="520" spans="7:62" ht="24.95" customHeight="1" thickBot="1">
      <c r="BJ520" s="2"/>
    </row>
    <row r="521" spans="7:62" ht="24.95" customHeight="1" thickTop="1">
      <c r="G521" s="66" t="s">
        <v>124</v>
      </c>
      <c r="H521" s="86">
        <f ca="1">IF($K447&lt;&gt;$C$8,INDEX(INDIRECT(AB687),$K447,7),VLOOKUP(LARGE(A!$BK$5:$BK$24,7),Team_Score,2,FALSE))</f>
        <v>11</v>
      </c>
      <c r="I521" s="71" t="s">
        <v>142</v>
      </c>
      <c r="J521" s="238" t="str">
        <f ca="1">INDIRECT("Team"&amp;TEXT(H521,"0")&amp;"Name")</f>
        <v>SPAM FO LUNCH</v>
      </c>
      <c r="K521" s="238"/>
      <c r="L521" s="238"/>
      <c r="M521" s="238"/>
      <c r="N521" s="239"/>
      <c r="O521" s="49" t="s">
        <v>125</v>
      </c>
      <c r="Q521" s="66" t="s">
        <v>126</v>
      </c>
      <c r="R521" s="48"/>
      <c r="S521" s="86">
        <f ca="1">IF($K447&lt;&gt;$C$8,INDEX(INDIRECT(AB687),$K447,8),VLOOKUP(LARGE(A!$BK$5:$BK$24,8),Team_Score,2,FALSE))</f>
        <v>6</v>
      </c>
      <c r="T521" s="71" t="s">
        <v>142</v>
      </c>
      <c r="U521" s="238" t="str">
        <f ca="1">INDIRECT("Team"&amp;TEXT(S521,"0")&amp;"Name")</f>
        <v>FFFFF TO THE 1OTH POWER</v>
      </c>
      <c r="V521" s="238"/>
      <c r="W521" s="238"/>
      <c r="X521" s="238"/>
      <c r="Y521" s="239"/>
      <c r="Z521" s="49" t="s">
        <v>125</v>
      </c>
      <c r="BJ521" s="2"/>
    </row>
    <row r="522" spans="7:62" ht="24.95" customHeight="1" thickBot="1">
      <c r="G522" s="50" t="s">
        <v>74</v>
      </c>
      <c r="H522" s="52" t="s">
        <v>127</v>
      </c>
      <c r="I522" s="53" t="s">
        <v>128</v>
      </c>
      <c r="J522" s="53" t="s">
        <v>129</v>
      </c>
      <c r="K522" s="53" t="s">
        <v>130</v>
      </c>
      <c r="L522" s="53" t="s">
        <v>131</v>
      </c>
      <c r="M522" s="53" t="s">
        <v>132</v>
      </c>
      <c r="N522" s="53" t="s">
        <v>97</v>
      </c>
      <c r="O522" s="54" t="s">
        <v>133</v>
      </c>
      <c r="Q522" s="50" t="s">
        <v>74</v>
      </c>
      <c r="R522" s="51"/>
      <c r="S522" s="52" t="s">
        <v>127</v>
      </c>
      <c r="T522" s="53" t="s">
        <v>128</v>
      </c>
      <c r="U522" s="53" t="s">
        <v>129</v>
      </c>
      <c r="V522" s="53" t="s">
        <v>130</v>
      </c>
      <c r="W522" s="53" t="s">
        <v>131</v>
      </c>
      <c r="X522" s="53" t="s">
        <v>132</v>
      </c>
      <c r="Y522" s="53" t="s">
        <v>97</v>
      </c>
      <c r="Z522" s="54" t="s">
        <v>133</v>
      </c>
      <c r="BJ522" s="2"/>
    </row>
    <row r="523" spans="7:62" ht="24.95" customHeight="1" thickTop="1">
      <c r="G523" s="164" t="str">
        <f t="array" aca="1" ref="G523:G527" ca="1">IF(ISBLANK(H521),"Empty",INDIRECT("Team"&amp;TEXT(H521,"0")&amp;"Players"))</f>
        <v>PABLO</v>
      </c>
      <c r="H523" s="83"/>
      <c r="I523" s="208" t="s">
        <v>128</v>
      </c>
      <c r="J523" s="78" t="s">
        <v>129</v>
      </c>
      <c r="K523" s="208" t="s">
        <v>130</v>
      </c>
      <c r="L523" s="78" t="s">
        <v>131</v>
      </c>
      <c r="M523" s="208" t="s">
        <v>132</v>
      </c>
      <c r="N523" s="92"/>
      <c r="O523" s="7"/>
      <c r="Q523" s="79">
        <v>1</v>
      </c>
      <c r="R523" s="167" t="str">
        <f t="array" aca="1" ref="R523:R527" ca="1">IF(ISBLANK(S521),"Empty",INDIRECT("Team"&amp;TEXT(S521,"0")&amp;"Players"))</f>
        <v>RICHARD</v>
      </c>
      <c r="S523" s="12"/>
      <c r="T523" s="55"/>
      <c r="U523" s="210"/>
      <c r="V523" s="55"/>
      <c r="W523" s="210"/>
      <c r="X523" s="55"/>
      <c r="Y523" s="92"/>
      <c r="Z523" s="7"/>
      <c r="BJ523" s="2"/>
    </row>
    <row r="524" spans="7:62" ht="24.95" customHeight="1">
      <c r="G524" s="165" t="str">
        <f ca="1"/>
        <v>ERIC</v>
      </c>
      <c r="H524" s="84"/>
      <c r="I524" s="208" t="s">
        <v>129</v>
      </c>
      <c r="J524" s="78" t="s">
        <v>130</v>
      </c>
      <c r="K524" s="208" t="s">
        <v>131</v>
      </c>
      <c r="L524" s="78" t="s">
        <v>132</v>
      </c>
      <c r="M524" s="208" t="s">
        <v>128</v>
      </c>
      <c r="N524" s="93"/>
      <c r="O524" s="7"/>
      <c r="Q524" s="80">
        <v>2</v>
      </c>
      <c r="R524" s="168" t="str">
        <f ca="1"/>
        <v>JUSTIN</v>
      </c>
      <c r="S524" s="12"/>
      <c r="T524" s="55"/>
      <c r="U524" s="210"/>
      <c r="V524" s="55"/>
      <c r="W524" s="210"/>
      <c r="X524" s="55"/>
      <c r="Y524" s="93"/>
      <c r="Z524" s="7"/>
      <c r="BJ524" s="2"/>
    </row>
    <row r="525" spans="7:62" ht="24.95" customHeight="1">
      <c r="G525" s="165" t="str">
        <f ca="1"/>
        <v>SABRINA</v>
      </c>
      <c r="H525" s="84"/>
      <c r="I525" s="208" t="s">
        <v>130</v>
      </c>
      <c r="J525" s="78" t="s">
        <v>131</v>
      </c>
      <c r="K525" s="208" t="s">
        <v>132</v>
      </c>
      <c r="L525" s="78" t="s">
        <v>128</v>
      </c>
      <c r="M525" s="208" t="s">
        <v>129</v>
      </c>
      <c r="N525" s="93"/>
      <c r="O525" s="7"/>
      <c r="Q525" s="80">
        <v>3</v>
      </c>
      <c r="R525" s="168" t="str">
        <f ca="1"/>
        <v>SANDY</v>
      </c>
      <c r="S525" s="12"/>
      <c r="T525" s="55"/>
      <c r="U525" s="210"/>
      <c r="V525" s="55"/>
      <c r="W525" s="210"/>
      <c r="X525" s="55"/>
      <c r="Y525" s="93"/>
      <c r="Z525" s="7"/>
      <c r="BJ525" s="2"/>
    </row>
    <row r="526" spans="7:62" ht="24.95" customHeight="1">
      <c r="G526" s="165" t="str">
        <f ca="1"/>
        <v>NICK</v>
      </c>
      <c r="H526" s="84"/>
      <c r="I526" s="208" t="s">
        <v>131</v>
      </c>
      <c r="J526" s="78" t="s">
        <v>132</v>
      </c>
      <c r="K526" s="208" t="s">
        <v>128</v>
      </c>
      <c r="L526" s="78" t="s">
        <v>129</v>
      </c>
      <c r="M526" s="208" t="s">
        <v>130</v>
      </c>
      <c r="N526" s="93"/>
      <c r="O526" s="7"/>
      <c r="Q526" s="80">
        <v>4</v>
      </c>
      <c r="R526" s="168" t="str">
        <f ca="1"/>
        <v>DENNIS</v>
      </c>
      <c r="S526" s="12"/>
      <c r="T526" s="55"/>
      <c r="U526" s="210"/>
      <c r="V526" s="55"/>
      <c r="W526" s="210"/>
      <c r="X526" s="55"/>
      <c r="Y526" s="93"/>
      <c r="Z526" s="7"/>
      <c r="BJ526" s="2"/>
    </row>
    <row r="527" spans="7:62" ht="24.95" customHeight="1" thickBot="1">
      <c r="G527" s="166" t="str">
        <f ca="1"/>
        <v>LON</v>
      </c>
      <c r="H527" s="85"/>
      <c r="I527" s="208" t="s">
        <v>132</v>
      </c>
      <c r="J527" s="78" t="s">
        <v>128</v>
      </c>
      <c r="K527" s="208" t="s">
        <v>129</v>
      </c>
      <c r="L527" s="78" t="s">
        <v>130</v>
      </c>
      <c r="M527" s="208" t="s">
        <v>131</v>
      </c>
      <c r="N527" s="94"/>
      <c r="O527" s="7"/>
      <c r="Q527" s="80">
        <v>5</v>
      </c>
      <c r="R527" s="169" t="str">
        <f ca="1"/>
        <v>VE</v>
      </c>
      <c r="S527" s="77"/>
      <c r="T527" s="55"/>
      <c r="U527" s="210"/>
      <c r="V527" s="55"/>
      <c r="W527" s="210"/>
      <c r="X527" s="55"/>
      <c r="Y527" s="94"/>
      <c r="Z527" s="7"/>
      <c r="BJ527" s="2"/>
    </row>
    <row r="528" spans="7:62" ht="24.95" customHeight="1">
      <c r="H528" s="56" t="s">
        <v>134</v>
      </c>
      <c r="I528" s="91"/>
      <c r="J528" s="91"/>
      <c r="K528" s="91"/>
      <c r="L528" s="91"/>
      <c r="M528" s="91"/>
      <c r="N528" s="33"/>
      <c r="O528" s="33"/>
      <c r="S528" s="56" t="s">
        <v>134</v>
      </c>
      <c r="T528" s="91"/>
      <c r="U528" s="91"/>
      <c r="V528" s="91"/>
      <c r="W528" s="91"/>
      <c r="X528" s="91"/>
      <c r="Y528" s="33"/>
      <c r="Z528" s="33"/>
      <c r="BJ528" s="2"/>
    </row>
    <row r="529" spans="7:62" ht="24.95" customHeight="1" thickBot="1">
      <c r="H529" s="56" t="s">
        <v>135</v>
      </c>
      <c r="I529" s="7">
        <f ca="1">INT(N529/5)</f>
        <v>0</v>
      </c>
      <c r="J529" s="7">
        <f ca="1">INT(N529/5)</f>
        <v>0</v>
      </c>
      <c r="K529" s="7">
        <f ca="1">INT(N529/5)</f>
        <v>0</v>
      </c>
      <c r="L529" s="7">
        <f ca="1">INT(N529/5)</f>
        <v>0</v>
      </c>
      <c r="M529" s="7">
        <f ca="1">MOD(N529,5)+INT(N529/5)</f>
        <v>0</v>
      </c>
      <c r="N529" s="7">
        <f ca="1">IF(INDIRECT("Team"&amp;TEXT(H521,"0")&amp;"Average")&gt;INDIRECT("Team"&amp;TEXT(S521,"0")&amp;"Average"),0,C13*(INDIRECT("Team"&amp;TEXT(S521,"0")&amp;"Average")-INDIRECT("Team"&amp;TEXT(H521,"0")&amp;"Average")))</f>
        <v>0</v>
      </c>
      <c r="O529" s="33"/>
      <c r="S529" s="56" t="s">
        <v>135</v>
      </c>
      <c r="T529" s="7">
        <f ca="1">INT(Y529/5)</f>
        <v>2</v>
      </c>
      <c r="U529" s="7">
        <f ca="1">INT(Y529/5)</f>
        <v>2</v>
      </c>
      <c r="V529" s="7">
        <f ca="1">INT(Y529/5)</f>
        <v>2</v>
      </c>
      <c r="W529" s="7">
        <f ca="1">INT(Y529/5)</f>
        <v>2</v>
      </c>
      <c r="X529" s="7">
        <f ca="1">MOD(Y529,5)+INT(Y529/5)</f>
        <v>2.3499999999999996</v>
      </c>
      <c r="Y529" s="7">
        <f ca="1">IF(INDIRECT("Team"&amp;TEXT(S521,"0")&amp;"Average")&gt;INDIRECT("Team"&amp;TEXT(H521,"0")&amp;"Average"),0,C13*(INDIRECT("Team"&amp;TEXT(H521,"0")&amp;"Average")-INDIRECT("Team"&amp;TEXT(S521,"0")&amp;"Average")))</f>
        <v>10.35</v>
      </c>
      <c r="Z529" s="33"/>
      <c r="BJ529" s="2"/>
    </row>
    <row r="530" spans="7:62" ht="24.95" customHeight="1" thickBot="1">
      <c r="H530" s="56" t="s">
        <v>97</v>
      </c>
      <c r="I530" s="91"/>
      <c r="J530" s="91"/>
      <c r="K530" s="91"/>
      <c r="L530" s="91"/>
      <c r="M530" s="161"/>
      <c r="N530" s="162"/>
      <c r="O530" s="33"/>
      <c r="S530" s="56" t="s">
        <v>97</v>
      </c>
      <c r="T530" s="91"/>
      <c r="U530" s="91"/>
      <c r="V530" s="91"/>
      <c r="W530" s="91"/>
      <c r="X530" s="161"/>
      <c r="Y530" s="162"/>
      <c r="Z530" s="33"/>
      <c r="BJ530" s="2"/>
    </row>
    <row r="531" spans="7:62">
      <c r="G531" s="57"/>
      <c r="BJ531" s="2"/>
    </row>
    <row r="532" spans="7:62" ht="9.9499999999999993" customHeight="1">
      <c r="I532" s="58" t="s">
        <v>136</v>
      </c>
      <c r="J532" s="12"/>
      <c r="K532" s="58" t="s">
        <v>97</v>
      </c>
      <c r="L532" s="12"/>
      <c r="T532" s="58" t="s">
        <v>137</v>
      </c>
      <c r="U532" s="12"/>
      <c r="V532" s="58" t="s">
        <v>97</v>
      </c>
      <c r="W532" s="12"/>
      <c r="BJ532" s="2"/>
    </row>
    <row r="533" spans="7:62" ht="9.9499999999999993" customHeight="1">
      <c r="I533" s="59" t="s">
        <v>138</v>
      </c>
      <c r="J533" s="26"/>
      <c r="K533" s="59" t="s">
        <v>139</v>
      </c>
      <c r="L533" s="26"/>
      <c r="T533" s="59" t="s">
        <v>138</v>
      </c>
      <c r="U533" s="26"/>
      <c r="V533" s="59" t="s">
        <v>139</v>
      </c>
      <c r="W533" s="26"/>
      <c r="BJ533" s="2"/>
    </row>
    <row r="534" spans="7:62">
      <c r="BJ534" s="2"/>
    </row>
    <row r="535" spans="7:62">
      <c r="BJ535" s="2"/>
    </row>
    <row r="536" spans="7:62" ht="15.75">
      <c r="G536" s="81" t="s">
        <v>140</v>
      </c>
      <c r="BJ536" s="2"/>
    </row>
    <row r="537" spans="7:62" ht="24.95" customHeight="1">
      <c r="G537" s="25" t="s">
        <v>141</v>
      </c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BJ537" s="2"/>
    </row>
    <row r="538" spans="7:62" ht="24.95" customHeight="1"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BJ538" s="2"/>
    </row>
    <row r="539" spans="7:62" ht="24.95" customHeight="1"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  <c r="Z539" s="25"/>
      <c r="BJ539" s="2"/>
    </row>
    <row r="540" spans="7:62" ht="24.95" customHeight="1"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BJ540" s="2"/>
    </row>
    <row r="541" spans="7:62" ht="23.25">
      <c r="G541" s="47" t="str">
        <f>"Clicks "&amp;$C$3&amp;":"&amp;" "&amp;$C$10&amp;" "&amp;$C$9&amp;" League Score Sheet"</f>
        <v>Clicks Tucson: Get-a-Cue 8-Ball League Score Sheet</v>
      </c>
      <c r="Z541" s="76" t="s">
        <v>178</v>
      </c>
      <c r="BJ541" s="2"/>
    </row>
    <row r="542" spans="7:62">
      <c r="BJ542" s="2"/>
    </row>
    <row r="543" spans="7:62" ht="24.95" customHeight="1">
      <c r="G543" s="234">
        <f ca="1">TODAY()</f>
        <v>46155</v>
      </c>
      <c r="H543" s="235"/>
      <c r="I543" s="69" t="s">
        <v>123</v>
      </c>
      <c r="J543" s="70"/>
      <c r="K543" s="170">
        <f>A!$AW$13+1</f>
        <v>5</v>
      </c>
      <c r="L543" s="46" t="s">
        <v>144</v>
      </c>
      <c r="M543" s="46"/>
      <c r="N543" s="171">
        <f>$C$4</f>
        <v>335</v>
      </c>
      <c r="S543" s="69" t="s">
        <v>146</v>
      </c>
      <c r="T543" s="70"/>
      <c r="U543" s="70"/>
      <c r="V543" s="70"/>
      <c r="W543" s="69"/>
      <c r="X543" s="70"/>
      <c r="Y543" s="236" t="str">
        <f ca="1">INDEX(INDIRECT("Sched_"&amp;TEXT($C$5,"0")&amp;"_Matches"),1,9)</f>
        <v>6 &amp; 15</v>
      </c>
      <c r="Z543" s="237"/>
      <c r="BJ543" s="2"/>
    </row>
    <row r="544" spans="7:62" ht="24.95" customHeight="1" thickBot="1">
      <c r="BJ544" s="2"/>
    </row>
    <row r="545" spans="7:62" ht="24.95" customHeight="1" thickTop="1">
      <c r="G545" s="66" t="s">
        <v>124</v>
      </c>
      <c r="H545" s="86">
        <f ca="1">IF($K447&lt;&gt;$C$8,INDEX(INDIRECT(AB687),$K447,9),VLOOKUP(LARGE(A!$BK$5:$BK$24,9),Team_Score,2,FALSE))</f>
        <v>8</v>
      </c>
      <c r="I545" s="71" t="s">
        <v>142</v>
      </c>
      <c r="J545" s="238" t="str">
        <f ca="1">INDIRECT("Team"&amp;TEXT(H545,"0")&amp;"Name")</f>
        <v>THE BOYS</v>
      </c>
      <c r="K545" s="238"/>
      <c r="L545" s="238"/>
      <c r="M545" s="238"/>
      <c r="N545" s="239"/>
      <c r="O545" s="49" t="s">
        <v>125</v>
      </c>
      <c r="Q545" s="66" t="s">
        <v>126</v>
      </c>
      <c r="R545" s="48"/>
      <c r="S545" s="86">
        <f ca="1">IF($K447&lt;&gt;$C$8,INDEX(INDIRECT(AB687),$K447,10),VLOOKUP(LARGE(A!$BK$5:$BK$24,10),Team_Score,2,FALSE))</f>
        <v>5</v>
      </c>
      <c r="T545" s="71" t="s">
        <v>142</v>
      </c>
      <c r="U545" s="238" t="str">
        <f ca="1">INDIRECT("Team"&amp;TEXT(S545,"0")&amp;"Name")</f>
        <v>HABOOBS</v>
      </c>
      <c r="V545" s="238"/>
      <c r="W545" s="238"/>
      <c r="X545" s="238"/>
      <c r="Y545" s="239"/>
      <c r="Z545" s="49" t="s">
        <v>125</v>
      </c>
      <c r="BJ545" s="2"/>
    </row>
    <row r="546" spans="7:62" ht="24.95" customHeight="1" thickBot="1">
      <c r="G546" s="50" t="s">
        <v>74</v>
      </c>
      <c r="H546" s="52" t="s">
        <v>127</v>
      </c>
      <c r="I546" s="53" t="s">
        <v>128</v>
      </c>
      <c r="J546" s="53" t="s">
        <v>129</v>
      </c>
      <c r="K546" s="53" t="s">
        <v>130</v>
      </c>
      <c r="L546" s="53" t="s">
        <v>131</v>
      </c>
      <c r="M546" s="53" t="s">
        <v>132</v>
      </c>
      <c r="N546" s="53" t="s">
        <v>97</v>
      </c>
      <c r="O546" s="54" t="s">
        <v>133</v>
      </c>
      <c r="Q546" s="50" t="s">
        <v>74</v>
      </c>
      <c r="R546" s="51"/>
      <c r="S546" s="52" t="s">
        <v>127</v>
      </c>
      <c r="T546" s="53" t="s">
        <v>128</v>
      </c>
      <c r="U546" s="53" t="s">
        <v>129</v>
      </c>
      <c r="V546" s="53" t="s">
        <v>130</v>
      </c>
      <c r="W546" s="53" t="s">
        <v>131</v>
      </c>
      <c r="X546" s="53" t="s">
        <v>132</v>
      </c>
      <c r="Y546" s="53" t="s">
        <v>97</v>
      </c>
      <c r="Z546" s="54" t="s">
        <v>133</v>
      </c>
      <c r="BJ546" s="2"/>
    </row>
    <row r="547" spans="7:62" ht="24.95" customHeight="1" thickTop="1">
      <c r="G547" s="164" t="str">
        <f t="array" aca="1" ref="G547:G551" ca="1">IF(ISBLANK(H545),"Empty",INDIRECT("Team"&amp;TEXT(H545,"0")&amp;"Players"))</f>
        <v>JOHN A</v>
      </c>
      <c r="H547" s="83"/>
      <c r="I547" s="208" t="s">
        <v>128</v>
      </c>
      <c r="J547" s="78" t="s">
        <v>129</v>
      </c>
      <c r="K547" s="208" t="s">
        <v>130</v>
      </c>
      <c r="L547" s="78" t="s">
        <v>131</v>
      </c>
      <c r="M547" s="208" t="s">
        <v>132</v>
      </c>
      <c r="N547" s="92"/>
      <c r="O547" s="7"/>
      <c r="Q547" s="79">
        <v>1</v>
      </c>
      <c r="R547" s="167" t="str">
        <f t="array" aca="1" ref="R547:R551" ca="1">IF(ISBLANK(S545),"Empty",INDIRECT("Team"&amp;TEXT(S545,"0")&amp;"Players"))</f>
        <v>MIKE</v>
      </c>
      <c r="S547" s="12"/>
      <c r="T547" s="55"/>
      <c r="U547" s="210"/>
      <c r="V547" s="55"/>
      <c r="W547" s="210"/>
      <c r="X547" s="55"/>
      <c r="Y547" s="92"/>
      <c r="Z547" s="7"/>
      <c r="BJ547" s="2"/>
    </row>
    <row r="548" spans="7:62" ht="24.95" customHeight="1">
      <c r="G548" s="165" t="str">
        <f ca="1"/>
        <v>BOBBY</v>
      </c>
      <c r="H548" s="84"/>
      <c r="I548" s="208" t="s">
        <v>129</v>
      </c>
      <c r="J548" s="78" t="s">
        <v>130</v>
      </c>
      <c r="K548" s="208" t="s">
        <v>131</v>
      </c>
      <c r="L548" s="78" t="s">
        <v>132</v>
      </c>
      <c r="M548" s="208" t="s">
        <v>128</v>
      </c>
      <c r="N548" s="93"/>
      <c r="O548" s="7"/>
      <c r="Q548" s="80">
        <v>2</v>
      </c>
      <c r="R548" s="168" t="str">
        <f ca="1"/>
        <v>OLGA</v>
      </c>
      <c r="S548" s="12"/>
      <c r="T548" s="55"/>
      <c r="U548" s="210"/>
      <c r="V548" s="55"/>
      <c r="W548" s="210"/>
      <c r="X548" s="55"/>
      <c r="Y548" s="93"/>
      <c r="Z548" s="7"/>
      <c r="BJ548" s="2"/>
    </row>
    <row r="549" spans="7:62" ht="24.95" customHeight="1">
      <c r="G549" s="165" t="str">
        <f ca="1"/>
        <v>MIKE</v>
      </c>
      <c r="H549" s="84"/>
      <c r="I549" s="208" t="s">
        <v>130</v>
      </c>
      <c r="J549" s="78" t="s">
        <v>131</v>
      </c>
      <c r="K549" s="208" t="s">
        <v>132</v>
      </c>
      <c r="L549" s="78" t="s">
        <v>128</v>
      </c>
      <c r="M549" s="208" t="s">
        <v>129</v>
      </c>
      <c r="N549" s="93"/>
      <c r="O549" s="7"/>
      <c r="Q549" s="80">
        <v>3</v>
      </c>
      <c r="R549" s="168" t="str">
        <f ca="1"/>
        <v>DAN</v>
      </c>
      <c r="S549" s="12"/>
      <c r="T549" s="55"/>
      <c r="U549" s="210"/>
      <c r="V549" s="55"/>
      <c r="W549" s="210"/>
      <c r="X549" s="55"/>
      <c r="Y549" s="93"/>
      <c r="Z549" s="7"/>
      <c r="BJ549" s="2"/>
    </row>
    <row r="550" spans="7:62" ht="24.95" customHeight="1">
      <c r="G550" s="165" t="str">
        <f ca="1"/>
        <v>ROGER</v>
      </c>
      <c r="H550" s="84"/>
      <c r="I550" s="208" t="s">
        <v>131</v>
      </c>
      <c r="J550" s="78" t="s">
        <v>132</v>
      </c>
      <c r="K550" s="208" t="s">
        <v>128</v>
      </c>
      <c r="L550" s="78" t="s">
        <v>129</v>
      </c>
      <c r="M550" s="208" t="s">
        <v>130</v>
      </c>
      <c r="N550" s="93"/>
      <c r="O550" s="7"/>
      <c r="Q550" s="80">
        <v>4</v>
      </c>
      <c r="R550" s="168" t="str">
        <f ca="1"/>
        <v>MIKE MO</v>
      </c>
      <c r="S550" s="12"/>
      <c r="T550" s="55"/>
      <c r="U550" s="210"/>
      <c r="V550" s="55"/>
      <c r="W550" s="210"/>
      <c r="X550" s="55"/>
      <c r="Y550" s="93"/>
      <c r="Z550" s="7"/>
      <c r="BJ550" s="2"/>
    </row>
    <row r="551" spans="7:62" ht="24.95" customHeight="1" thickBot="1">
      <c r="G551" s="166" t="str">
        <f ca="1"/>
        <v>JOHN B.</v>
      </c>
      <c r="H551" s="85"/>
      <c r="I551" s="208" t="s">
        <v>132</v>
      </c>
      <c r="J551" s="78" t="s">
        <v>128</v>
      </c>
      <c r="K551" s="208" t="s">
        <v>129</v>
      </c>
      <c r="L551" s="78" t="s">
        <v>130</v>
      </c>
      <c r="M551" s="208" t="s">
        <v>131</v>
      </c>
      <c r="N551" s="94"/>
      <c r="O551" s="7"/>
      <c r="Q551" s="80">
        <v>5</v>
      </c>
      <c r="R551" s="169" t="str">
        <f ca="1"/>
        <v>VICKIE</v>
      </c>
      <c r="S551" s="77"/>
      <c r="T551" s="55"/>
      <c r="U551" s="210"/>
      <c r="V551" s="55"/>
      <c r="W551" s="210"/>
      <c r="X551" s="55"/>
      <c r="Y551" s="94"/>
      <c r="Z551" s="7"/>
      <c r="BJ551" s="2"/>
    </row>
    <row r="552" spans="7:62" ht="24.95" customHeight="1">
      <c r="H552" s="56" t="s">
        <v>134</v>
      </c>
      <c r="I552" s="91"/>
      <c r="J552" s="91"/>
      <c r="K552" s="91"/>
      <c r="L552" s="91"/>
      <c r="M552" s="91"/>
      <c r="N552" s="33"/>
      <c r="O552" s="33"/>
      <c r="S552" s="56" t="s">
        <v>134</v>
      </c>
      <c r="T552" s="91"/>
      <c r="U552" s="91"/>
      <c r="V552" s="91"/>
      <c r="W552" s="91"/>
      <c r="X552" s="91"/>
      <c r="Y552" s="33"/>
      <c r="Z552" s="33"/>
      <c r="BJ552" s="2"/>
    </row>
    <row r="553" spans="7:62" ht="24.95" customHeight="1" thickBot="1">
      <c r="H553" s="56" t="s">
        <v>135</v>
      </c>
      <c r="I553" s="7">
        <f ca="1">INT(N553/5)</f>
        <v>0</v>
      </c>
      <c r="J553" s="7">
        <f ca="1">INT(N553/5)</f>
        <v>0</v>
      </c>
      <c r="K553" s="7">
        <f ca="1">INT(N553/5)</f>
        <v>0</v>
      </c>
      <c r="L553" s="7">
        <f ca="1">INT(N553/5)</f>
        <v>0</v>
      </c>
      <c r="M553" s="7">
        <f ca="1">MOD(N553,5)+INT(N553/5)</f>
        <v>0</v>
      </c>
      <c r="N553" s="7">
        <f ca="1">IF(INDIRECT("Team"&amp;TEXT(H545,"0")&amp;"Average")&gt;INDIRECT("Team"&amp;TEXT(S545,"0")&amp;"Average"),0,C13*(INDIRECT("Team"&amp;TEXT(S545,"0")&amp;"Average")-INDIRECT("Team"&amp;TEXT(H545,"0")&amp;"Average")))</f>
        <v>0</v>
      </c>
      <c r="O553" s="33"/>
      <c r="S553" s="56" t="s">
        <v>135</v>
      </c>
      <c r="T553" s="7">
        <f ca="1">INT(Y553/5)</f>
        <v>0</v>
      </c>
      <c r="U553" s="7">
        <f ca="1">INT(Y553/5)</f>
        <v>0</v>
      </c>
      <c r="V553" s="7">
        <f ca="1">INT(Y553/5)</f>
        <v>0</v>
      </c>
      <c r="W553" s="7">
        <f ca="1">INT(Y553/5)</f>
        <v>0</v>
      </c>
      <c r="X553" s="7">
        <f ca="1">MOD(Y553,5)+INT(Y553/5)</f>
        <v>1.35</v>
      </c>
      <c r="Y553" s="7">
        <f ca="1">IF(INDIRECT("Team"&amp;TEXT(S545,"0")&amp;"Average")&gt;INDIRECT("Team"&amp;TEXT(H545,"0")&amp;"Average"),0,C13*(INDIRECT("Team"&amp;TEXT(H545,"0")&amp;"Average")-INDIRECT("Team"&amp;TEXT(S545,"0")&amp;"Average")))</f>
        <v>1.35</v>
      </c>
      <c r="Z553" s="33"/>
      <c r="BJ553" s="2"/>
    </row>
    <row r="554" spans="7:62" ht="24.95" customHeight="1" thickBot="1">
      <c r="H554" s="56" t="s">
        <v>97</v>
      </c>
      <c r="I554" s="91"/>
      <c r="J554" s="91"/>
      <c r="K554" s="91"/>
      <c r="L554" s="91"/>
      <c r="M554" s="161"/>
      <c r="N554" s="162"/>
      <c r="O554" s="33"/>
      <c r="S554" s="56" t="s">
        <v>97</v>
      </c>
      <c r="T554" s="91"/>
      <c r="U554" s="91"/>
      <c r="V554" s="91"/>
      <c r="W554" s="91"/>
      <c r="X554" s="161"/>
      <c r="Y554" s="162"/>
      <c r="Z554" s="33"/>
      <c r="BJ554" s="2"/>
    </row>
    <row r="555" spans="7:62">
      <c r="G555" s="57"/>
      <c r="BJ555" s="2"/>
    </row>
    <row r="556" spans="7:62" ht="9.9499999999999993" customHeight="1">
      <c r="I556" s="58" t="s">
        <v>136</v>
      </c>
      <c r="J556" s="12"/>
      <c r="K556" s="58" t="s">
        <v>97</v>
      </c>
      <c r="L556" s="12"/>
      <c r="T556" s="58" t="s">
        <v>137</v>
      </c>
      <c r="U556" s="12"/>
      <c r="V556" s="58" t="s">
        <v>97</v>
      </c>
      <c r="W556" s="12"/>
      <c r="BJ556" s="2"/>
    </row>
    <row r="557" spans="7:62" ht="9.9499999999999993" customHeight="1">
      <c r="I557" s="59" t="s">
        <v>138</v>
      </c>
      <c r="J557" s="26"/>
      <c r="K557" s="59" t="s">
        <v>139</v>
      </c>
      <c r="L557" s="26"/>
      <c r="T557" s="59" t="s">
        <v>138</v>
      </c>
      <c r="U557" s="26"/>
      <c r="V557" s="59" t="s">
        <v>139</v>
      </c>
      <c r="W557" s="26"/>
      <c r="BJ557" s="2"/>
    </row>
    <row r="558" spans="7:62">
      <c r="BJ558" s="2"/>
    </row>
    <row r="559" spans="7:62">
      <c r="BJ559" s="2"/>
    </row>
    <row r="560" spans="7:62" ht="15.75">
      <c r="G560" s="81" t="s">
        <v>140</v>
      </c>
      <c r="BJ560" s="2"/>
    </row>
    <row r="561" spans="7:62" ht="24.95" customHeight="1">
      <c r="G561" s="25" t="s">
        <v>141</v>
      </c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BJ561" s="2"/>
    </row>
    <row r="562" spans="7:62" ht="24.95" customHeight="1"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BJ562" s="2"/>
    </row>
    <row r="563" spans="7:62" ht="24.95" customHeight="1"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BJ563" s="2"/>
    </row>
    <row r="564" spans="7:62" ht="24.95" customHeight="1"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BJ564" s="2"/>
    </row>
    <row r="565" spans="7:62" ht="23.25">
      <c r="G565" s="47" t="str">
        <f>"Clicks "&amp;$C$3&amp;":"&amp;" "&amp;$C$10&amp;" "&amp;$C$9&amp;" League Score Sheet"</f>
        <v>Clicks Tucson: Get-a-Cue 8-Ball League Score Sheet</v>
      </c>
      <c r="Z565" s="76" t="s">
        <v>179</v>
      </c>
      <c r="BJ565" s="2"/>
    </row>
    <row r="566" spans="7:62">
      <c r="BJ566" s="2"/>
    </row>
    <row r="567" spans="7:62" ht="24.95" customHeight="1">
      <c r="G567" s="234">
        <f ca="1">TODAY()</f>
        <v>46155</v>
      </c>
      <c r="H567" s="235"/>
      <c r="I567" s="69" t="s">
        <v>123</v>
      </c>
      <c r="J567" s="70"/>
      <c r="K567" s="170">
        <f>A!$AW$13+1</f>
        <v>5</v>
      </c>
      <c r="L567" s="46" t="s">
        <v>144</v>
      </c>
      <c r="M567" s="46"/>
      <c r="N567" s="171">
        <f>$C$4</f>
        <v>335</v>
      </c>
      <c r="S567" s="69" t="s">
        <v>146</v>
      </c>
      <c r="T567" s="70"/>
      <c r="U567" s="70"/>
      <c r="V567" s="70"/>
      <c r="W567" s="69"/>
      <c r="X567" s="70"/>
      <c r="Y567" s="236" t="str">
        <f ca="1">INDEX(INDIRECT("Sched_"&amp;TEXT($C$5,"0")&amp;"_Matches"),1,11)</f>
        <v>TBD</v>
      </c>
      <c r="Z567" s="237"/>
      <c r="BJ567" s="2"/>
    </row>
    <row r="568" spans="7:62" ht="24.95" customHeight="1" thickBot="1">
      <c r="BJ568" s="2"/>
    </row>
    <row r="569" spans="7:62" ht="24.95" customHeight="1" thickTop="1">
      <c r="G569" s="66" t="s">
        <v>124</v>
      </c>
      <c r="H569" s="86">
        <f ca="1">IF($K447&lt;&gt;$C$8,INDEX(INDIRECT(AB687),$K447,11),VLOOKUP(LARGE(A!$BK$5:$BK$24,11),Team_Score,2,FALSE))</f>
        <v>10</v>
      </c>
      <c r="I569" s="71" t="s">
        <v>142</v>
      </c>
      <c r="J569" s="238" t="str">
        <f ca="1">INDIRECT("Team"&amp;TEXT(H569,"0")&amp;"Name")</f>
        <v>CRAZY TRAIN</v>
      </c>
      <c r="K569" s="238"/>
      <c r="L569" s="238"/>
      <c r="M569" s="238"/>
      <c r="N569" s="239"/>
      <c r="O569" s="49" t="s">
        <v>125</v>
      </c>
      <c r="Q569" s="66" t="s">
        <v>126</v>
      </c>
      <c r="R569" s="48"/>
      <c r="S569" s="86">
        <f ca="1">IF($K447&lt;&gt;$C$8,INDEX(INDIRECT(AB687),$K447,12),VLOOKUP(LARGE(A!$BK$5:$BK$24,12),Team_Score,2,FALSE))</f>
        <v>1</v>
      </c>
      <c r="T569" s="71" t="s">
        <v>142</v>
      </c>
      <c r="U569" s="238" t="str">
        <f ca="1">INDIRECT("Team"&amp;TEXT(S569,"0")&amp;"Name")</f>
        <v>PIRATES OF THE TABLE</v>
      </c>
      <c r="V569" s="238"/>
      <c r="W569" s="238"/>
      <c r="X569" s="238"/>
      <c r="Y569" s="239"/>
      <c r="Z569" s="49" t="s">
        <v>125</v>
      </c>
      <c r="BJ569" s="2"/>
    </row>
    <row r="570" spans="7:62" ht="24.95" customHeight="1" thickBot="1">
      <c r="G570" s="50" t="s">
        <v>74</v>
      </c>
      <c r="H570" s="52" t="s">
        <v>127</v>
      </c>
      <c r="I570" s="53" t="s">
        <v>128</v>
      </c>
      <c r="J570" s="53" t="s">
        <v>129</v>
      </c>
      <c r="K570" s="53" t="s">
        <v>130</v>
      </c>
      <c r="L570" s="53" t="s">
        <v>131</v>
      </c>
      <c r="M570" s="53" t="s">
        <v>132</v>
      </c>
      <c r="N570" s="53" t="s">
        <v>97</v>
      </c>
      <c r="O570" s="54" t="s">
        <v>133</v>
      </c>
      <c r="Q570" s="50" t="s">
        <v>74</v>
      </c>
      <c r="R570" s="51"/>
      <c r="S570" s="52" t="s">
        <v>127</v>
      </c>
      <c r="T570" s="53" t="s">
        <v>128</v>
      </c>
      <c r="U570" s="53" t="s">
        <v>129</v>
      </c>
      <c r="V570" s="53" t="s">
        <v>130</v>
      </c>
      <c r="W570" s="53" t="s">
        <v>131</v>
      </c>
      <c r="X570" s="53" t="s">
        <v>132</v>
      </c>
      <c r="Y570" s="53" t="s">
        <v>97</v>
      </c>
      <c r="Z570" s="54" t="s">
        <v>133</v>
      </c>
      <c r="BJ570" s="2"/>
    </row>
    <row r="571" spans="7:62" ht="24.95" customHeight="1" thickTop="1">
      <c r="G571" s="164" t="str">
        <f t="array" aca="1" ref="G571:G575" ca="1">IF(ISBLANK(H569),"Empty",INDIRECT("Team"&amp;TEXT(H569,"0")&amp;"Players"))</f>
        <v>DARRIC</v>
      </c>
      <c r="H571" s="83"/>
      <c r="I571" s="208" t="s">
        <v>128</v>
      </c>
      <c r="J571" s="78" t="s">
        <v>129</v>
      </c>
      <c r="K571" s="208" t="s">
        <v>130</v>
      </c>
      <c r="L571" s="78" t="s">
        <v>131</v>
      </c>
      <c r="M571" s="208" t="s">
        <v>132</v>
      </c>
      <c r="N571" s="92"/>
      <c r="O571" s="7"/>
      <c r="Q571" s="79">
        <v>1</v>
      </c>
      <c r="R571" s="167" t="str">
        <f t="array" aca="1" ref="R571:R575" ca="1">IF(ISBLANK(S569),"Empty",INDIRECT("Team"&amp;TEXT(S569,"0")&amp;"Players"))</f>
        <v>JASON</v>
      </c>
      <c r="S571" s="12"/>
      <c r="T571" s="55"/>
      <c r="U571" s="210"/>
      <c r="V571" s="55"/>
      <c r="W571" s="210"/>
      <c r="X571" s="55"/>
      <c r="Y571" s="92"/>
      <c r="Z571" s="7"/>
      <c r="BJ571" s="2"/>
    </row>
    <row r="572" spans="7:62" ht="24.95" customHeight="1">
      <c r="G572" s="165" t="str">
        <f ca="1"/>
        <v>CHRIS</v>
      </c>
      <c r="H572" s="84"/>
      <c r="I572" s="208" t="s">
        <v>129</v>
      </c>
      <c r="J572" s="78" t="s">
        <v>130</v>
      </c>
      <c r="K572" s="208" t="s">
        <v>131</v>
      </c>
      <c r="L572" s="78" t="s">
        <v>132</v>
      </c>
      <c r="M572" s="208" t="s">
        <v>128</v>
      </c>
      <c r="N572" s="93"/>
      <c r="O572" s="7"/>
      <c r="Q572" s="80">
        <v>2</v>
      </c>
      <c r="R572" s="168" t="str">
        <f ca="1"/>
        <v>TRAYE</v>
      </c>
      <c r="S572" s="12"/>
      <c r="T572" s="55"/>
      <c r="U572" s="210"/>
      <c r="V572" s="55"/>
      <c r="W572" s="210"/>
      <c r="X572" s="55"/>
      <c r="Y572" s="93"/>
      <c r="Z572" s="7"/>
      <c r="BJ572" s="2"/>
    </row>
    <row r="573" spans="7:62" ht="24.95" customHeight="1">
      <c r="G573" s="165" t="str">
        <f ca="1"/>
        <v>MIKE R.</v>
      </c>
      <c r="H573" s="84"/>
      <c r="I573" s="208" t="s">
        <v>130</v>
      </c>
      <c r="J573" s="78" t="s">
        <v>131</v>
      </c>
      <c r="K573" s="208" t="s">
        <v>132</v>
      </c>
      <c r="L573" s="78" t="s">
        <v>128</v>
      </c>
      <c r="M573" s="208" t="s">
        <v>129</v>
      </c>
      <c r="N573" s="93"/>
      <c r="O573" s="7"/>
      <c r="Q573" s="80">
        <v>3</v>
      </c>
      <c r="R573" s="168" t="str">
        <f ca="1"/>
        <v>WC</v>
      </c>
      <c r="S573" s="12"/>
      <c r="T573" s="55"/>
      <c r="U573" s="210"/>
      <c r="V573" s="55"/>
      <c r="W573" s="210"/>
      <c r="X573" s="55"/>
      <c r="Y573" s="93"/>
      <c r="Z573" s="7"/>
      <c r="BJ573" s="2"/>
    </row>
    <row r="574" spans="7:62" ht="24.95" customHeight="1">
      <c r="G574" s="165" t="str">
        <f ca="1"/>
        <v>SERGEI</v>
      </c>
      <c r="H574" s="84"/>
      <c r="I574" s="208" t="s">
        <v>131</v>
      </c>
      <c r="J574" s="78" t="s">
        <v>132</v>
      </c>
      <c r="K574" s="208" t="s">
        <v>128</v>
      </c>
      <c r="L574" s="78" t="s">
        <v>129</v>
      </c>
      <c r="M574" s="208" t="s">
        <v>130</v>
      </c>
      <c r="N574" s="93"/>
      <c r="O574" s="7"/>
      <c r="Q574" s="80">
        <v>4</v>
      </c>
      <c r="R574" s="168" t="str">
        <f ca="1"/>
        <v>DON</v>
      </c>
      <c r="S574" s="12"/>
      <c r="T574" s="55"/>
      <c r="U574" s="210"/>
      <c r="V574" s="55"/>
      <c r="W574" s="210"/>
      <c r="X574" s="55"/>
      <c r="Y574" s="93"/>
      <c r="Z574" s="7"/>
      <c r="BJ574" s="2"/>
    </row>
    <row r="575" spans="7:62" ht="24.95" customHeight="1" thickBot="1">
      <c r="G575" s="166" t="str">
        <f ca="1"/>
        <v>JORDAN</v>
      </c>
      <c r="H575" s="85"/>
      <c r="I575" s="208" t="s">
        <v>132</v>
      </c>
      <c r="J575" s="78" t="s">
        <v>128</v>
      </c>
      <c r="K575" s="208" t="s">
        <v>129</v>
      </c>
      <c r="L575" s="78" t="s">
        <v>130</v>
      </c>
      <c r="M575" s="208" t="s">
        <v>131</v>
      </c>
      <c r="N575" s="94"/>
      <c r="O575" s="7"/>
      <c r="Q575" s="80">
        <v>5</v>
      </c>
      <c r="R575" s="169" t="str">
        <f ca="1"/>
        <v>SAM</v>
      </c>
      <c r="S575" s="77"/>
      <c r="T575" s="55"/>
      <c r="U575" s="210"/>
      <c r="V575" s="55"/>
      <c r="W575" s="210"/>
      <c r="X575" s="55"/>
      <c r="Y575" s="94"/>
      <c r="Z575" s="7"/>
      <c r="BJ575" s="2"/>
    </row>
    <row r="576" spans="7:62" ht="24.95" customHeight="1">
      <c r="H576" s="56" t="s">
        <v>134</v>
      </c>
      <c r="I576" s="91"/>
      <c r="J576" s="91"/>
      <c r="K576" s="91"/>
      <c r="L576" s="91"/>
      <c r="M576" s="91"/>
      <c r="N576" s="33"/>
      <c r="O576" s="33"/>
      <c r="S576" s="56" t="s">
        <v>134</v>
      </c>
      <c r="T576" s="91"/>
      <c r="U576" s="91"/>
      <c r="V576" s="91"/>
      <c r="W576" s="91"/>
      <c r="X576" s="91"/>
      <c r="Y576" s="33"/>
      <c r="Z576" s="33"/>
      <c r="BJ576" s="2"/>
    </row>
    <row r="577" spans="7:62" ht="24.95" customHeight="1" thickBot="1">
      <c r="H577" s="56" t="s">
        <v>135</v>
      </c>
      <c r="I577" s="7">
        <f ca="1">INT(N577/5)</f>
        <v>0</v>
      </c>
      <c r="J577" s="7">
        <f ca="1">INT(N577/5)</f>
        <v>0</v>
      </c>
      <c r="K577" s="7">
        <f ca="1">INT(N577/5)</f>
        <v>0</v>
      </c>
      <c r="L577" s="7">
        <f ca="1">INT(N577/5)</f>
        <v>0</v>
      </c>
      <c r="M577" s="7">
        <f ca="1">MOD(N577,5)+INT(N577/5)</f>
        <v>0</v>
      </c>
      <c r="N577" s="7">
        <f ca="1">IF(INDIRECT("Team"&amp;TEXT(H569,"0")&amp;"Average")&gt;INDIRECT("Team"&amp;TEXT(S569,"0")&amp;"Average"),0,C13*(INDIRECT("Team"&amp;TEXT(S569,"0")&amp;"Average")-INDIRECT("Team"&amp;TEXT(H569,"0")&amp;"Average")))</f>
        <v>0</v>
      </c>
      <c r="O577" s="33"/>
      <c r="S577" s="56" t="s">
        <v>135</v>
      </c>
      <c r="T577" s="7">
        <f ca="1">INT(Y577/5)</f>
        <v>4</v>
      </c>
      <c r="U577" s="7">
        <f ca="1">INT(Y577/5)</f>
        <v>4</v>
      </c>
      <c r="V577" s="7">
        <f ca="1">INT(Y577/5)</f>
        <v>4</v>
      </c>
      <c r="W577" s="7">
        <f ca="1">INT(Y577/5)</f>
        <v>4</v>
      </c>
      <c r="X577" s="7">
        <f ca="1">MOD(Y577,5)+INT(Y577/5)</f>
        <v>6.5</v>
      </c>
      <c r="Y577" s="7">
        <f ca="1">IF(INDIRECT("Team"&amp;TEXT(S569,"0")&amp;"Average")&gt;INDIRECT("Team"&amp;TEXT(H569,"0")&amp;"Average"),0,C13*(INDIRECT("Team"&amp;TEXT(H569,"0")&amp;"Average")-INDIRECT("Team"&amp;TEXT(S569,"0")&amp;"Average")))</f>
        <v>22.5</v>
      </c>
      <c r="Z577" s="33"/>
      <c r="BJ577" s="2"/>
    </row>
    <row r="578" spans="7:62" ht="24.95" customHeight="1" thickBot="1">
      <c r="H578" s="56" t="s">
        <v>97</v>
      </c>
      <c r="I578" s="91"/>
      <c r="J578" s="91"/>
      <c r="K578" s="91"/>
      <c r="L578" s="91"/>
      <c r="M578" s="161"/>
      <c r="N578" s="162"/>
      <c r="O578" s="33"/>
      <c r="S578" s="56" t="s">
        <v>97</v>
      </c>
      <c r="T578" s="91"/>
      <c r="U578" s="91"/>
      <c r="V578" s="91"/>
      <c r="W578" s="91"/>
      <c r="X578" s="161"/>
      <c r="Y578" s="162"/>
      <c r="Z578" s="33"/>
      <c r="BJ578" s="2"/>
    </row>
    <row r="579" spans="7:62">
      <c r="G579" s="57"/>
      <c r="BJ579" s="2"/>
    </row>
    <row r="580" spans="7:62" ht="9.9499999999999993" customHeight="1">
      <c r="I580" s="58" t="s">
        <v>136</v>
      </c>
      <c r="J580" s="12"/>
      <c r="K580" s="58" t="s">
        <v>97</v>
      </c>
      <c r="L580" s="12"/>
      <c r="T580" s="58" t="s">
        <v>137</v>
      </c>
      <c r="U580" s="12"/>
      <c r="V580" s="58" t="s">
        <v>97</v>
      </c>
      <c r="W580" s="12"/>
      <c r="BJ580" s="2"/>
    </row>
    <row r="581" spans="7:62" ht="9.9499999999999993" customHeight="1">
      <c r="I581" s="59" t="s">
        <v>138</v>
      </c>
      <c r="J581" s="26"/>
      <c r="K581" s="59" t="s">
        <v>139</v>
      </c>
      <c r="L581" s="26"/>
      <c r="T581" s="59" t="s">
        <v>138</v>
      </c>
      <c r="U581" s="26"/>
      <c r="V581" s="59" t="s">
        <v>139</v>
      </c>
      <c r="W581" s="26"/>
      <c r="BJ581" s="2"/>
    </row>
    <row r="582" spans="7:62">
      <c r="BJ582" s="2"/>
    </row>
    <row r="583" spans="7:62">
      <c r="BJ583" s="2"/>
    </row>
    <row r="584" spans="7:62" ht="15.75">
      <c r="G584" s="81" t="s">
        <v>140</v>
      </c>
      <c r="BJ584" s="2"/>
    </row>
    <row r="585" spans="7:62" ht="24.95" customHeight="1">
      <c r="G585" s="25" t="s">
        <v>141</v>
      </c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BJ585" s="2"/>
    </row>
    <row r="586" spans="7:62" ht="24.95" customHeight="1"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BJ586" s="2"/>
    </row>
    <row r="587" spans="7:62" ht="24.95" customHeight="1"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BJ587" s="2"/>
    </row>
    <row r="588" spans="7:62" ht="24.95" customHeight="1">
      <c r="G588" s="25"/>
      <c r="H588" s="25"/>
      <c r="I588" s="25"/>
      <c r="J588" s="25"/>
      <c r="K588" s="25"/>
      <c r="L588" s="25"/>
      <c r="M588" s="25"/>
      <c r="N588" s="25"/>
      <c r="O588" s="25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BJ588" s="2"/>
    </row>
    <row r="589" spans="7:62" ht="23.25">
      <c r="G589" s="47" t="str">
        <f>"Clicks "&amp;$C$3&amp;":"&amp;" "&amp;$C$10&amp;" "&amp;$C$9&amp;" League Score Sheet"</f>
        <v>Clicks Tucson: Get-a-Cue 8-Ball League Score Sheet</v>
      </c>
      <c r="Z589" s="76" t="s">
        <v>180</v>
      </c>
      <c r="BJ589" s="2"/>
    </row>
    <row r="590" spans="7:62">
      <c r="BJ590" s="2"/>
    </row>
    <row r="591" spans="7:62" ht="24.95" customHeight="1">
      <c r="G591" s="234">
        <f ca="1">TODAY()</f>
        <v>46155</v>
      </c>
      <c r="H591" s="235"/>
      <c r="I591" s="69" t="s">
        <v>123</v>
      </c>
      <c r="J591" s="70"/>
      <c r="K591" s="170">
        <f>A!$AW$13+1</f>
        <v>5</v>
      </c>
      <c r="L591" s="46" t="s">
        <v>144</v>
      </c>
      <c r="M591" s="46"/>
      <c r="N591" s="171">
        <f>$C$4</f>
        <v>335</v>
      </c>
      <c r="S591" s="69" t="s">
        <v>146</v>
      </c>
      <c r="T591" s="70"/>
      <c r="U591" s="70"/>
      <c r="V591" s="70"/>
      <c r="W591" s="69"/>
      <c r="X591" s="70"/>
      <c r="Y591" s="236" t="e">
        <f ca="1">INDEX(INDIRECT("Sched_"&amp;TEXT($C$5,"0")&amp;"_Matches"),1,13)</f>
        <v>#REF!</v>
      </c>
      <c r="Z591" s="237"/>
      <c r="BJ591" s="2"/>
    </row>
    <row r="592" spans="7:62" ht="24.95" customHeight="1" thickBot="1">
      <c r="BJ592" s="2"/>
    </row>
    <row r="593" spans="7:62" ht="24.95" customHeight="1" thickTop="1">
      <c r="G593" s="66" t="s">
        <v>124</v>
      </c>
      <c r="H593" s="86" t="e">
        <f ca="1">IF($K447&lt;&gt;$C$8,INDEX(INDIRECT(AB687),$K447,13),VLOOKUP(LARGE(A!$BK$5:$BK$24,13),Team_Score,2,FALSE))</f>
        <v>#REF!</v>
      </c>
      <c r="I593" s="71" t="s">
        <v>142</v>
      </c>
      <c r="J593" s="238" t="e">
        <f ca="1">INDIRECT("Team"&amp;TEXT(H593,"0")&amp;"Name")</f>
        <v>#REF!</v>
      </c>
      <c r="K593" s="238"/>
      <c r="L593" s="238"/>
      <c r="M593" s="238"/>
      <c r="N593" s="239"/>
      <c r="O593" s="49" t="s">
        <v>125</v>
      </c>
      <c r="Q593" s="66" t="s">
        <v>126</v>
      </c>
      <c r="R593" s="48"/>
      <c r="S593" s="86" t="e">
        <f ca="1">IF($K447&lt;&gt;$C$8,INDEX(INDIRECT(AB687),$K447,14),VLOOKUP(LARGE(A!$BK$5:$BK$24,14),Team_Score,2,FALSE))</f>
        <v>#REF!</v>
      </c>
      <c r="T593" s="71" t="s">
        <v>142</v>
      </c>
      <c r="U593" s="238" t="e">
        <f ca="1">INDIRECT("Team"&amp;TEXT(S593,"0")&amp;"Name")</f>
        <v>#REF!</v>
      </c>
      <c r="V593" s="238"/>
      <c r="W593" s="238"/>
      <c r="X593" s="238"/>
      <c r="Y593" s="239"/>
      <c r="Z593" s="49" t="s">
        <v>125</v>
      </c>
      <c r="BJ593" s="2"/>
    </row>
    <row r="594" spans="7:62" ht="24.95" customHeight="1" thickBot="1">
      <c r="G594" s="50" t="s">
        <v>74</v>
      </c>
      <c r="H594" s="52" t="s">
        <v>127</v>
      </c>
      <c r="I594" s="53" t="s">
        <v>128</v>
      </c>
      <c r="J594" s="53" t="s">
        <v>129</v>
      </c>
      <c r="K594" s="53" t="s">
        <v>130</v>
      </c>
      <c r="L594" s="53" t="s">
        <v>131</v>
      </c>
      <c r="M594" s="53" t="s">
        <v>132</v>
      </c>
      <c r="N594" s="53" t="s">
        <v>97</v>
      </c>
      <c r="O594" s="54" t="s">
        <v>133</v>
      </c>
      <c r="Q594" s="50" t="s">
        <v>74</v>
      </c>
      <c r="R594" s="51"/>
      <c r="S594" s="52" t="s">
        <v>127</v>
      </c>
      <c r="T594" s="53" t="s">
        <v>128</v>
      </c>
      <c r="U594" s="53" t="s">
        <v>129</v>
      </c>
      <c r="V594" s="53" t="s">
        <v>130</v>
      </c>
      <c r="W594" s="53" t="s">
        <v>131</v>
      </c>
      <c r="X594" s="53" t="s">
        <v>132</v>
      </c>
      <c r="Y594" s="53" t="s">
        <v>97</v>
      </c>
      <c r="Z594" s="54" t="s">
        <v>133</v>
      </c>
      <c r="BJ594" s="2"/>
    </row>
    <row r="595" spans="7:62" ht="24.95" customHeight="1" thickTop="1">
      <c r="G595" s="164" t="e">
        <f t="array" aca="1" ref="G595:G599" ca="1">IF(ISBLANK(H593),"Empty",INDIRECT("Team"&amp;TEXT(H593,"0")&amp;"Players"))</f>
        <v>#REF!</v>
      </c>
      <c r="H595" s="83"/>
      <c r="I595" s="208" t="s">
        <v>128</v>
      </c>
      <c r="J595" s="78" t="s">
        <v>129</v>
      </c>
      <c r="K595" s="208" t="s">
        <v>130</v>
      </c>
      <c r="L595" s="78" t="s">
        <v>131</v>
      </c>
      <c r="M595" s="208" t="s">
        <v>132</v>
      </c>
      <c r="N595" s="92"/>
      <c r="O595" s="7"/>
      <c r="Q595" s="79">
        <v>1</v>
      </c>
      <c r="R595" s="167" t="e">
        <f t="array" aca="1" ref="R595:R599" ca="1">IF(ISBLANK(S593),"Empty",INDIRECT("Team"&amp;TEXT(S593,"0")&amp;"Players"))</f>
        <v>#REF!</v>
      </c>
      <c r="S595" s="12"/>
      <c r="T595" s="55"/>
      <c r="U595" s="210"/>
      <c r="V595" s="55"/>
      <c r="W595" s="210"/>
      <c r="X595" s="55"/>
      <c r="Y595" s="92"/>
      <c r="Z595" s="7"/>
      <c r="BJ595" s="2"/>
    </row>
    <row r="596" spans="7:62" ht="24.95" customHeight="1">
      <c r="G596" s="165" t="e">
        <f ca="1"/>
        <v>#REF!</v>
      </c>
      <c r="H596" s="84"/>
      <c r="I596" s="208" t="s">
        <v>129</v>
      </c>
      <c r="J596" s="78" t="s">
        <v>130</v>
      </c>
      <c r="K596" s="208" t="s">
        <v>131</v>
      </c>
      <c r="L596" s="78" t="s">
        <v>132</v>
      </c>
      <c r="M596" s="208" t="s">
        <v>128</v>
      </c>
      <c r="N596" s="93"/>
      <c r="O596" s="7"/>
      <c r="Q596" s="80">
        <v>2</v>
      </c>
      <c r="R596" s="168" t="e">
        <f ca="1"/>
        <v>#REF!</v>
      </c>
      <c r="S596" s="12"/>
      <c r="T596" s="55"/>
      <c r="U596" s="210"/>
      <c r="V596" s="55"/>
      <c r="W596" s="210"/>
      <c r="X596" s="55"/>
      <c r="Y596" s="93"/>
      <c r="Z596" s="7"/>
      <c r="BJ596" s="2"/>
    </row>
    <row r="597" spans="7:62" ht="24.95" customHeight="1">
      <c r="G597" s="165" t="e">
        <f ca="1"/>
        <v>#REF!</v>
      </c>
      <c r="H597" s="84"/>
      <c r="I597" s="208" t="s">
        <v>130</v>
      </c>
      <c r="J597" s="78" t="s">
        <v>131</v>
      </c>
      <c r="K597" s="208" t="s">
        <v>132</v>
      </c>
      <c r="L597" s="78" t="s">
        <v>128</v>
      </c>
      <c r="M597" s="208" t="s">
        <v>129</v>
      </c>
      <c r="N597" s="93"/>
      <c r="O597" s="7"/>
      <c r="Q597" s="80">
        <v>3</v>
      </c>
      <c r="R597" s="168" t="e">
        <f ca="1"/>
        <v>#REF!</v>
      </c>
      <c r="S597" s="12"/>
      <c r="T597" s="55"/>
      <c r="U597" s="210"/>
      <c r="V597" s="55"/>
      <c r="W597" s="210"/>
      <c r="X597" s="55"/>
      <c r="Y597" s="93"/>
      <c r="Z597" s="7"/>
      <c r="BJ597" s="2"/>
    </row>
    <row r="598" spans="7:62" ht="24.95" customHeight="1">
      <c r="G598" s="165" t="e">
        <f ca="1"/>
        <v>#REF!</v>
      </c>
      <c r="H598" s="84"/>
      <c r="I598" s="208" t="s">
        <v>131</v>
      </c>
      <c r="J598" s="78" t="s">
        <v>132</v>
      </c>
      <c r="K598" s="208" t="s">
        <v>128</v>
      </c>
      <c r="L598" s="78" t="s">
        <v>129</v>
      </c>
      <c r="M598" s="208" t="s">
        <v>130</v>
      </c>
      <c r="N598" s="93"/>
      <c r="O598" s="7"/>
      <c r="Q598" s="80">
        <v>4</v>
      </c>
      <c r="R598" s="168" t="e">
        <f ca="1"/>
        <v>#REF!</v>
      </c>
      <c r="S598" s="12"/>
      <c r="T598" s="55"/>
      <c r="U598" s="210"/>
      <c r="V598" s="55"/>
      <c r="W598" s="210"/>
      <c r="X598" s="55"/>
      <c r="Y598" s="93"/>
      <c r="Z598" s="7"/>
      <c r="BJ598" s="2"/>
    </row>
    <row r="599" spans="7:62" ht="24.95" customHeight="1" thickBot="1">
      <c r="G599" s="166" t="e">
        <f ca="1"/>
        <v>#REF!</v>
      </c>
      <c r="H599" s="85"/>
      <c r="I599" s="208" t="s">
        <v>132</v>
      </c>
      <c r="J599" s="78" t="s">
        <v>128</v>
      </c>
      <c r="K599" s="208" t="s">
        <v>129</v>
      </c>
      <c r="L599" s="78" t="s">
        <v>130</v>
      </c>
      <c r="M599" s="208" t="s">
        <v>131</v>
      </c>
      <c r="N599" s="94"/>
      <c r="O599" s="7"/>
      <c r="Q599" s="80">
        <v>5</v>
      </c>
      <c r="R599" s="169" t="e">
        <f ca="1"/>
        <v>#REF!</v>
      </c>
      <c r="S599" s="77"/>
      <c r="T599" s="55"/>
      <c r="U599" s="210"/>
      <c r="V599" s="55"/>
      <c r="W599" s="210"/>
      <c r="X599" s="55"/>
      <c r="Y599" s="94"/>
      <c r="Z599" s="7"/>
      <c r="BJ599" s="2"/>
    </row>
    <row r="600" spans="7:62" ht="24.95" customHeight="1">
      <c r="H600" s="56" t="s">
        <v>134</v>
      </c>
      <c r="I600" s="91"/>
      <c r="J600" s="91"/>
      <c r="K600" s="91"/>
      <c r="L600" s="91"/>
      <c r="M600" s="91"/>
      <c r="N600" s="33"/>
      <c r="O600" s="33"/>
      <c r="S600" s="56" t="s">
        <v>134</v>
      </c>
      <c r="T600" s="91"/>
      <c r="U600" s="91"/>
      <c r="V600" s="91"/>
      <c r="W600" s="91"/>
      <c r="X600" s="91"/>
      <c r="Y600" s="33"/>
      <c r="Z600" s="33"/>
      <c r="BJ600" s="2"/>
    </row>
    <row r="601" spans="7:62" ht="24.95" customHeight="1" thickBot="1">
      <c r="H601" s="56" t="s">
        <v>135</v>
      </c>
      <c r="I601" s="7" t="e">
        <f ca="1">INT(N601/5)</f>
        <v>#REF!</v>
      </c>
      <c r="J601" s="7" t="e">
        <f ca="1">INT(N601/5)</f>
        <v>#REF!</v>
      </c>
      <c r="K601" s="7" t="e">
        <f ca="1">INT(N601/5)</f>
        <v>#REF!</v>
      </c>
      <c r="L601" s="7" t="e">
        <f ca="1">INT(N601/5)</f>
        <v>#REF!</v>
      </c>
      <c r="M601" s="7" t="e">
        <f ca="1">MOD(N601,5)+INT(N601/5)</f>
        <v>#REF!</v>
      </c>
      <c r="N601" s="7" t="e">
        <f ca="1">IF(INDIRECT("Team"&amp;TEXT(H593,"0")&amp;"Average")&gt;INDIRECT("Team"&amp;TEXT(S593,"0")&amp;"Average"),0,C13*(INDIRECT("Team"&amp;TEXT(S593,"0")&amp;"Average")-INDIRECT("Team"&amp;TEXT(H593,"0")&amp;"Average")))</f>
        <v>#REF!</v>
      </c>
      <c r="O601" s="33"/>
      <c r="S601" s="56" t="s">
        <v>135</v>
      </c>
      <c r="T601" s="7" t="e">
        <f ca="1">INT(Y601/5)</f>
        <v>#REF!</v>
      </c>
      <c r="U601" s="7" t="e">
        <f ca="1">INT(Y601/5)</f>
        <v>#REF!</v>
      </c>
      <c r="V601" s="7" t="e">
        <f ca="1">INT(Y601/5)</f>
        <v>#REF!</v>
      </c>
      <c r="W601" s="7" t="e">
        <f ca="1">INT(Y601/5)</f>
        <v>#REF!</v>
      </c>
      <c r="X601" s="7" t="e">
        <f ca="1">MOD(Y601,5)+INT(Y601/5)</f>
        <v>#REF!</v>
      </c>
      <c r="Y601" s="7" t="e">
        <f ca="1">IF(INDIRECT("Team"&amp;TEXT(S593,"0")&amp;"Average")&gt;INDIRECT("Team"&amp;TEXT(H593,"0")&amp;"Average"),0,C13*(INDIRECT("Team"&amp;TEXT(H593,"0")&amp;"Average")-INDIRECT("Team"&amp;TEXT(S593,"0")&amp;"Average")))</f>
        <v>#REF!</v>
      </c>
      <c r="Z601" s="33"/>
      <c r="BJ601" s="2"/>
    </row>
    <row r="602" spans="7:62" ht="24.95" customHeight="1" thickBot="1">
      <c r="H602" s="56" t="s">
        <v>97</v>
      </c>
      <c r="I602" s="91"/>
      <c r="J602" s="91"/>
      <c r="K602" s="91"/>
      <c r="L602" s="91"/>
      <c r="M602" s="161"/>
      <c r="N602" s="162"/>
      <c r="O602" s="33"/>
      <c r="S602" s="56" t="s">
        <v>97</v>
      </c>
      <c r="T602" s="91"/>
      <c r="U602" s="91"/>
      <c r="V602" s="91"/>
      <c r="W602" s="91"/>
      <c r="X602" s="161"/>
      <c r="Y602" s="162"/>
      <c r="Z602" s="33"/>
      <c r="BJ602" s="2"/>
    </row>
    <row r="603" spans="7:62">
      <c r="G603" s="57"/>
      <c r="BJ603" s="2"/>
    </row>
    <row r="604" spans="7:62" ht="9.9499999999999993" customHeight="1">
      <c r="I604" s="58" t="s">
        <v>136</v>
      </c>
      <c r="J604" s="12"/>
      <c r="K604" s="58" t="s">
        <v>97</v>
      </c>
      <c r="L604" s="12"/>
      <c r="T604" s="58" t="s">
        <v>137</v>
      </c>
      <c r="U604" s="12"/>
      <c r="V604" s="58" t="s">
        <v>97</v>
      </c>
      <c r="W604" s="12"/>
      <c r="BJ604" s="2"/>
    </row>
    <row r="605" spans="7:62" ht="9.9499999999999993" customHeight="1">
      <c r="I605" s="59" t="s">
        <v>138</v>
      </c>
      <c r="J605" s="26"/>
      <c r="K605" s="59" t="s">
        <v>139</v>
      </c>
      <c r="L605" s="26"/>
      <c r="T605" s="59" t="s">
        <v>138</v>
      </c>
      <c r="U605" s="26"/>
      <c r="V605" s="59" t="s">
        <v>139</v>
      </c>
      <c r="W605" s="26"/>
      <c r="BJ605" s="2"/>
    </row>
    <row r="606" spans="7:62">
      <c r="BJ606" s="2"/>
    </row>
    <row r="607" spans="7:62">
      <c r="BJ607" s="2"/>
    </row>
    <row r="608" spans="7:62" ht="15.75">
      <c r="G608" s="81" t="s">
        <v>140</v>
      </c>
      <c r="BJ608" s="2"/>
    </row>
    <row r="609" spans="7:62" ht="24.95" customHeight="1">
      <c r="G609" s="25" t="s">
        <v>141</v>
      </c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BJ609" s="2"/>
    </row>
    <row r="610" spans="7:62" ht="24.95" customHeight="1"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25"/>
      <c r="T610" s="25"/>
      <c r="U610" s="25"/>
      <c r="V610" s="25"/>
      <c r="W610" s="25"/>
      <c r="X610" s="25"/>
      <c r="Y610" s="25"/>
      <c r="Z610" s="25"/>
      <c r="BJ610" s="2"/>
    </row>
    <row r="611" spans="7:62" ht="24.95" customHeight="1"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BJ611" s="2"/>
    </row>
    <row r="612" spans="7:62" ht="24.95" customHeight="1"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BJ612" s="2"/>
    </row>
    <row r="613" spans="7:62" ht="23.25">
      <c r="G613" s="47" t="str">
        <f>"Clicks "&amp;$C$3&amp;":"&amp;" "&amp;$C$10&amp;" "&amp;$C$9&amp;" League Score Sheet"</f>
        <v>Clicks Tucson: Get-a-Cue 8-Ball League Score Sheet</v>
      </c>
      <c r="Z613" s="76" t="s">
        <v>181</v>
      </c>
      <c r="BJ613" s="2"/>
    </row>
    <row r="614" spans="7:62">
      <c r="BJ614" s="2"/>
    </row>
    <row r="615" spans="7:62" ht="24.95" customHeight="1">
      <c r="G615" s="234">
        <f ca="1">TODAY()</f>
        <v>46155</v>
      </c>
      <c r="H615" s="235"/>
      <c r="I615" s="69" t="s">
        <v>123</v>
      </c>
      <c r="J615" s="70"/>
      <c r="K615" s="170">
        <f>A!$AW$13+1</f>
        <v>5</v>
      </c>
      <c r="L615" s="46" t="s">
        <v>144</v>
      </c>
      <c r="M615" s="46"/>
      <c r="N615" s="171">
        <f>$C$4</f>
        <v>335</v>
      </c>
      <c r="S615" s="69" t="s">
        <v>146</v>
      </c>
      <c r="T615" s="70"/>
      <c r="U615" s="70"/>
      <c r="V615" s="70"/>
      <c r="W615" s="69"/>
      <c r="X615" s="70"/>
      <c r="Y615" s="236" t="e">
        <f ca="1">INDEX(INDIRECT("Sched_"&amp;TEXT($C$5,"0")&amp;"_Matches"),1,15)</f>
        <v>#REF!</v>
      </c>
      <c r="Z615" s="237"/>
      <c r="BJ615" s="2"/>
    </row>
    <row r="616" spans="7:62" ht="24.95" customHeight="1" thickBot="1">
      <c r="BJ616" s="2"/>
    </row>
    <row r="617" spans="7:62" ht="24.95" customHeight="1" thickTop="1">
      <c r="G617" s="66" t="s">
        <v>124</v>
      </c>
      <c r="H617" s="86" t="e">
        <f ca="1">IF($K447&lt;&gt;$C$8,INDEX(INDIRECT(AB687),$K447,15),VLOOKUP(LARGE(A!$BK$5:$BK$24,16),Team_Score,2,FALSE))</f>
        <v>#REF!</v>
      </c>
      <c r="I617" s="71" t="s">
        <v>142</v>
      </c>
      <c r="J617" s="238" t="e">
        <f ca="1">INDIRECT("Team"&amp;TEXT(H617,"0")&amp;"Name")</f>
        <v>#REF!</v>
      </c>
      <c r="K617" s="238"/>
      <c r="L617" s="238"/>
      <c r="M617" s="238"/>
      <c r="N617" s="239"/>
      <c r="O617" s="49" t="s">
        <v>125</v>
      </c>
      <c r="Q617" s="66" t="s">
        <v>126</v>
      </c>
      <c r="R617" s="48"/>
      <c r="S617" s="86" t="e">
        <f ca="1">IF($K447&lt;&gt;$C$8,INDEX(INDIRECT(AB687),$K447,16),VLOOKUP(LARGE(A!$BK$5:$BK$24,16),Team_Score,2,FALSE))</f>
        <v>#REF!</v>
      </c>
      <c r="T617" s="71" t="s">
        <v>142</v>
      </c>
      <c r="U617" s="238" t="e">
        <f ca="1">INDIRECT("Team"&amp;TEXT(S617,"0")&amp;"Name")</f>
        <v>#REF!</v>
      </c>
      <c r="V617" s="238"/>
      <c r="W617" s="238"/>
      <c r="X617" s="238"/>
      <c r="Y617" s="239"/>
      <c r="Z617" s="49" t="s">
        <v>125</v>
      </c>
      <c r="BJ617" s="2"/>
    </row>
    <row r="618" spans="7:62" ht="24.95" customHeight="1" thickBot="1">
      <c r="G618" s="50" t="s">
        <v>74</v>
      </c>
      <c r="H618" s="52" t="s">
        <v>127</v>
      </c>
      <c r="I618" s="53" t="s">
        <v>128</v>
      </c>
      <c r="J618" s="53" t="s">
        <v>129</v>
      </c>
      <c r="K618" s="53" t="s">
        <v>130</v>
      </c>
      <c r="L618" s="53" t="s">
        <v>131</v>
      </c>
      <c r="M618" s="53" t="s">
        <v>132</v>
      </c>
      <c r="N618" s="53" t="s">
        <v>97</v>
      </c>
      <c r="O618" s="54" t="s">
        <v>133</v>
      </c>
      <c r="Q618" s="50" t="s">
        <v>74</v>
      </c>
      <c r="R618" s="51"/>
      <c r="S618" s="52" t="s">
        <v>127</v>
      </c>
      <c r="T618" s="53" t="s">
        <v>128</v>
      </c>
      <c r="U618" s="53" t="s">
        <v>129</v>
      </c>
      <c r="V618" s="53" t="s">
        <v>130</v>
      </c>
      <c r="W618" s="53" t="s">
        <v>131</v>
      </c>
      <c r="X618" s="53" t="s">
        <v>132</v>
      </c>
      <c r="Y618" s="53" t="s">
        <v>97</v>
      </c>
      <c r="Z618" s="54" t="s">
        <v>133</v>
      </c>
      <c r="BJ618" s="2"/>
    </row>
    <row r="619" spans="7:62" ht="24.95" customHeight="1" thickTop="1">
      <c r="G619" s="164" t="e">
        <f t="array" aca="1" ref="G619:G623" ca="1">IF(ISBLANK(H617),"Empty",INDIRECT("Team"&amp;TEXT(H617,"0")&amp;"Players"))</f>
        <v>#REF!</v>
      </c>
      <c r="H619" s="83"/>
      <c r="I619" s="208" t="s">
        <v>128</v>
      </c>
      <c r="J619" s="78" t="s">
        <v>129</v>
      </c>
      <c r="K619" s="208" t="s">
        <v>130</v>
      </c>
      <c r="L619" s="78" t="s">
        <v>131</v>
      </c>
      <c r="M619" s="208" t="s">
        <v>132</v>
      </c>
      <c r="N619" s="92"/>
      <c r="O619" s="7"/>
      <c r="Q619" s="79">
        <v>1</v>
      </c>
      <c r="R619" s="167" t="e">
        <f t="array" aca="1" ref="R619:R623" ca="1">IF(ISBLANK(S617),"Empty",INDIRECT("Team"&amp;TEXT(S617,"0")&amp;"Players"))</f>
        <v>#REF!</v>
      </c>
      <c r="S619" s="12"/>
      <c r="T619" s="55"/>
      <c r="U619" s="210"/>
      <c r="V619" s="55"/>
      <c r="W619" s="210"/>
      <c r="X619" s="55"/>
      <c r="Y619" s="92"/>
      <c r="Z619" s="7"/>
      <c r="BJ619" s="2"/>
    </row>
    <row r="620" spans="7:62" ht="24.95" customHeight="1">
      <c r="G620" s="165" t="e">
        <f ca="1"/>
        <v>#REF!</v>
      </c>
      <c r="H620" s="84"/>
      <c r="I620" s="208" t="s">
        <v>129</v>
      </c>
      <c r="J620" s="78" t="s">
        <v>130</v>
      </c>
      <c r="K620" s="208" t="s">
        <v>131</v>
      </c>
      <c r="L620" s="78" t="s">
        <v>132</v>
      </c>
      <c r="M620" s="208" t="s">
        <v>128</v>
      </c>
      <c r="N620" s="93"/>
      <c r="O620" s="7"/>
      <c r="Q620" s="80">
        <v>2</v>
      </c>
      <c r="R620" s="168" t="e">
        <f ca="1"/>
        <v>#REF!</v>
      </c>
      <c r="S620" s="12"/>
      <c r="T620" s="55"/>
      <c r="U620" s="210"/>
      <c r="V620" s="55"/>
      <c r="W620" s="210"/>
      <c r="X620" s="55"/>
      <c r="Y620" s="93"/>
      <c r="Z620" s="7"/>
      <c r="BJ620" s="2"/>
    </row>
    <row r="621" spans="7:62" ht="24.95" customHeight="1">
      <c r="G621" s="165" t="e">
        <f ca="1"/>
        <v>#REF!</v>
      </c>
      <c r="H621" s="84"/>
      <c r="I621" s="208" t="s">
        <v>130</v>
      </c>
      <c r="J621" s="78" t="s">
        <v>131</v>
      </c>
      <c r="K621" s="208" t="s">
        <v>132</v>
      </c>
      <c r="L621" s="78" t="s">
        <v>128</v>
      </c>
      <c r="M621" s="208" t="s">
        <v>129</v>
      </c>
      <c r="N621" s="93"/>
      <c r="O621" s="7"/>
      <c r="Q621" s="80">
        <v>3</v>
      </c>
      <c r="R621" s="168" t="e">
        <f ca="1"/>
        <v>#REF!</v>
      </c>
      <c r="S621" s="12"/>
      <c r="T621" s="55"/>
      <c r="U621" s="210"/>
      <c r="V621" s="55"/>
      <c r="W621" s="210"/>
      <c r="X621" s="55"/>
      <c r="Y621" s="93"/>
      <c r="Z621" s="7"/>
      <c r="BJ621" s="2"/>
    </row>
    <row r="622" spans="7:62" ht="24.95" customHeight="1">
      <c r="G622" s="165" t="e">
        <f ca="1"/>
        <v>#REF!</v>
      </c>
      <c r="H622" s="84"/>
      <c r="I622" s="208" t="s">
        <v>131</v>
      </c>
      <c r="J622" s="78" t="s">
        <v>132</v>
      </c>
      <c r="K622" s="208" t="s">
        <v>128</v>
      </c>
      <c r="L622" s="78" t="s">
        <v>129</v>
      </c>
      <c r="M622" s="208" t="s">
        <v>130</v>
      </c>
      <c r="N622" s="93"/>
      <c r="O622" s="7"/>
      <c r="Q622" s="80">
        <v>4</v>
      </c>
      <c r="R622" s="168" t="e">
        <f ca="1"/>
        <v>#REF!</v>
      </c>
      <c r="S622" s="12"/>
      <c r="T622" s="55"/>
      <c r="U622" s="210"/>
      <c r="V622" s="55"/>
      <c r="W622" s="210"/>
      <c r="X622" s="55"/>
      <c r="Y622" s="93"/>
      <c r="Z622" s="7"/>
      <c r="BJ622" s="2"/>
    </row>
    <row r="623" spans="7:62" ht="24.95" customHeight="1" thickBot="1">
      <c r="G623" s="166" t="e">
        <f ca="1"/>
        <v>#REF!</v>
      </c>
      <c r="H623" s="85"/>
      <c r="I623" s="208" t="s">
        <v>132</v>
      </c>
      <c r="J623" s="78" t="s">
        <v>128</v>
      </c>
      <c r="K623" s="208" t="s">
        <v>129</v>
      </c>
      <c r="L623" s="78" t="s">
        <v>130</v>
      </c>
      <c r="M623" s="208" t="s">
        <v>131</v>
      </c>
      <c r="N623" s="94"/>
      <c r="O623" s="7"/>
      <c r="Q623" s="80">
        <v>5</v>
      </c>
      <c r="R623" s="169" t="e">
        <f ca="1"/>
        <v>#REF!</v>
      </c>
      <c r="S623" s="77"/>
      <c r="T623" s="55"/>
      <c r="U623" s="210"/>
      <c r="V623" s="55"/>
      <c r="W623" s="210"/>
      <c r="X623" s="55"/>
      <c r="Y623" s="94"/>
      <c r="Z623" s="7"/>
      <c r="BJ623" s="2"/>
    </row>
    <row r="624" spans="7:62" ht="24.95" customHeight="1">
      <c r="H624" s="56" t="s">
        <v>134</v>
      </c>
      <c r="I624" s="91"/>
      <c r="J624" s="91"/>
      <c r="K624" s="91"/>
      <c r="L624" s="91"/>
      <c r="M624" s="91"/>
      <c r="N624" s="33"/>
      <c r="O624" s="33"/>
      <c r="S624" s="56" t="s">
        <v>134</v>
      </c>
      <c r="T624" s="91"/>
      <c r="U624" s="91"/>
      <c r="V624" s="91"/>
      <c r="W624" s="91"/>
      <c r="X624" s="91"/>
      <c r="Y624" s="33"/>
      <c r="Z624" s="33"/>
      <c r="BJ624" s="2"/>
    </row>
    <row r="625" spans="7:62" ht="24.95" customHeight="1" thickBot="1">
      <c r="H625" s="56" t="s">
        <v>135</v>
      </c>
      <c r="I625" s="7" t="e">
        <f ca="1">INT(N625/5)</f>
        <v>#REF!</v>
      </c>
      <c r="J625" s="7" t="e">
        <f ca="1">INT(N625/5)</f>
        <v>#REF!</v>
      </c>
      <c r="K625" s="7" t="e">
        <f ca="1">INT(N625/5)</f>
        <v>#REF!</v>
      </c>
      <c r="L625" s="7" t="e">
        <f ca="1">INT(N625/5)</f>
        <v>#REF!</v>
      </c>
      <c r="M625" s="7" t="e">
        <f ca="1">MOD(N625,5)+INT(N625/5)</f>
        <v>#REF!</v>
      </c>
      <c r="N625" s="7" t="e">
        <f ca="1">IF(INDIRECT("Team"&amp;TEXT(H617,"0")&amp;"Average")&gt;INDIRECT("Team"&amp;TEXT(S617,"0")&amp;"Average"),0,C13*(INDIRECT("Team"&amp;TEXT(S617,"0")&amp;"Average")-INDIRECT("Team"&amp;TEXT(H617,"0")&amp;"Average")))</f>
        <v>#REF!</v>
      </c>
      <c r="O625" s="33"/>
      <c r="S625" s="56" t="s">
        <v>135</v>
      </c>
      <c r="T625" s="7" t="e">
        <f ca="1">INT(Y625/5)</f>
        <v>#REF!</v>
      </c>
      <c r="U625" s="7" t="e">
        <f ca="1">INT(Y625/5)</f>
        <v>#REF!</v>
      </c>
      <c r="V625" s="7" t="e">
        <f ca="1">INT(Y625/5)</f>
        <v>#REF!</v>
      </c>
      <c r="W625" s="7" t="e">
        <f ca="1">INT(Y625/5)</f>
        <v>#REF!</v>
      </c>
      <c r="X625" s="7" t="e">
        <f ca="1">MOD(Y625,5)+INT(Y625/5)</f>
        <v>#REF!</v>
      </c>
      <c r="Y625" s="7" t="e">
        <f ca="1">IF(INDIRECT("Team"&amp;TEXT(S617,"0")&amp;"Average")&gt;INDIRECT("Team"&amp;TEXT(H617,"0")&amp;"Average"),0,C13*(INDIRECT("Team"&amp;TEXT(H617,"0")&amp;"Average")-INDIRECT("Team"&amp;TEXT(S617,"0")&amp;"Average")))</f>
        <v>#REF!</v>
      </c>
      <c r="Z625" s="33"/>
      <c r="BJ625" s="2"/>
    </row>
    <row r="626" spans="7:62" ht="24.95" customHeight="1" thickBot="1">
      <c r="H626" s="56" t="s">
        <v>97</v>
      </c>
      <c r="I626" s="91"/>
      <c r="J626" s="91"/>
      <c r="K626" s="91"/>
      <c r="L626" s="91"/>
      <c r="M626" s="161"/>
      <c r="N626" s="162"/>
      <c r="O626" s="33"/>
      <c r="S626" s="56" t="s">
        <v>97</v>
      </c>
      <c r="T626" s="91"/>
      <c r="U626" s="91"/>
      <c r="V626" s="91"/>
      <c r="W626" s="91"/>
      <c r="X626" s="161"/>
      <c r="Y626" s="162"/>
      <c r="Z626" s="33"/>
      <c r="BJ626" s="2"/>
    </row>
    <row r="627" spans="7:62">
      <c r="G627" s="57"/>
      <c r="BJ627" s="2"/>
    </row>
    <row r="628" spans="7:62" ht="9.9499999999999993" customHeight="1">
      <c r="I628" s="58" t="s">
        <v>136</v>
      </c>
      <c r="J628" s="12"/>
      <c r="K628" s="58" t="s">
        <v>97</v>
      </c>
      <c r="L628" s="12"/>
      <c r="T628" s="58" t="s">
        <v>137</v>
      </c>
      <c r="U628" s="12"/>
      <c r="V628" s="58" t="s">
        <v>97</v>
      </c>
      <c r="W628" s="12"/>
      <c r="BJ628" s="2"/>
    </row>
    <row r="629" spans="7:62" ht="9.9499999999999993" customHeight="1">
      <c r="I629" s="59" t="s">
        <v>138</v>
      </c>
      <c r="J629" s="26"/>
      <c r="K629" s="59" t="s">
        <v>139</v>
      </c>
      <c r="L629" s="26"/>
      <c r="T629" s="59" t="s">
        <v>138</v>
      </c>
      <c r="U629" s="26"/>
      <c r="V629" s="59" t="s">
        <v>139</v>
      </c>
      <c r="W629" s="26"/>
      <c r="BJ629" s="2"/>
    </row>
    <row r="630" spans="7:62">
      <c r="BJ630" s="2"/>
    </row>
    <row r="631" spans="7:62">
      <c r="BJ631" s="2"/>
    </row>
    <row r="632" spans="7:62" ht="15.75">
      <c r="G632" s="81" t="s">
        <v>140</v>
      </c>
      <c r="BJ632" s="2"/>
    </row>
    <row r="633" spans="7:62" ht="24.95" customHeight="1">
      <c r="G633" s="25" t="s">
        <v>141</v>
      </c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BJ633" s="2"/>
    </row>
    <row r="634" spans="7:62" ht="24.95" customHeight="1"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BJ634" s="2"/>
    </row>
    <row r="635" spans="7:62" ht="24.95" customHeight="1"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BJ635" s="2"/>
    </row>
    <row r="636" spans="7:62" ht="24.95" customHeight="1"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25"/>
      <c r="T636" s="25"/>
      <c r="U636" s="25"/>
      <c r="V636" s="25"/>
      <c r="W636" s="25"/>
      <c r="X636" s="25"/>
      <c r="Y636" s="25"/>
      <c r="Z636" s="25"/>
      <c r="BJ636" s="2"/>
    </row>
    <row r="637" spans="7:62" ht="23.25">
      <c r="G637" s="47" t="str">
        <f>"Clicks "&amp;$C$3&amp;":"&amp;" "&amp;$C$10&amp;" "&amp;$C$9&amp;" League Score Sheet"</f>
        <v>Clicks Tucson: Get-a-Cue 8-Ball League Score Sheet</v>
      </c>
      <c r="Z637" s="76" t="s">
        <v>182</v>
      </c>
      <c r="BJ637" s="2"/>
    </row>
    <row r="638" spans="7:62">
      <c r="BJ638" s="2"/>
    </row>
    <row r="639" spans="7:62" ht="24.95" customHeight="1">
      <c r="G639" s="234">
        <f ca="1">TODAY()</f>
        <v>46155</v>
      </c>
      <c r="H639" s="235"/>
      <c r="I639" s="69" t="s">
        <v>123</v>
      </c>
      <c r="J639" s="70"/>
      <c r="K639" s="170">
        <f>A!$AW$13+1</f>
        <v>5</v>
      </c>
      <c r="L639" s="46" t="s">
        <v>144</v>
      </c>
      <c r="M639" s="46"/>
      <c r="N639" s="171">
        <f>$C$4</f>
        <v>335</v>
      </c>
      <c r="S639" s="69" t="s">
        <v>146</v>
      </c>
      <c r="T639" s="70"/>
      <c r="U639" s="70"/>
      <c r="V639" s="70"/>
      <c r="W639" s="69"/>
      <c r="X639" s="70"/>
      <c r="Y639" s="236" t="e">
        <f ca="1">INDEX(INDIRECT("Sched_"&amp;TEXT($C$5,"0")&amp;"_Matches"),1,17)</f>
        <v>#REF!</v>
      </c>
      <c r="Z639" s="237"/>
      <c r="BJ639" s="2"/>
    </row>
    <row r="640" spans="7:62" ht="24.95" customHeight="1" thickBot="1">
      <c r="BJ640" s="2"/>
    </row>
    <row r="641" spans="7:62" ht="24.95" customHeight="1" thickTop="1">
      <c r="G641" s="66" t="s">
        <v>124</v>
      </c>
      <c r="H641" s="86" t="e">
        <f ca="1">IF($K447&lt;&gt;$C$8,INDEX(INDIRECT(AB687),$K447,17),VLOOKUP(LARGE(A!$BK$5:$BK$24,17),Team_Score,2,FALSE))</f>
        <v>#REF!</v>
      </c>
      <c r="I641" s="71" t="s">
        <v>142</v>
      </c>
      <c r="J641" s="238" t="e">
        <f ca="1">INDIRECT("Team"&amp;TEXT(H641,"0")&amp;"Name")</f>
        <v>#REF!</v>
      </c>
      <c r="K641" s="238"/>
      <c r="L641" s="238"/>
      <c r="M641" s="238"/>
      <c r="N641" s="239"/>
      <c r="O641" s="49" t="s">
        <v>125</v>
      </c>
      <c r="Q641" s="66" t="s">
        <v>126</v>
      </c>
      <c r="R641" s="48"/>
      <c r="S641" s="86" t="e">
        <f ca="1">IF($K447&lt;&gt;$C$8,INDEX(INDIRECT(AB687),$K447,18),VLOOKUP(LARGE(A!$BK$5:$BK$24,18),Team_Score,2,FALSE))</f>
        <v>#REF!</v>
      </c>
      <c r="T641" s="71" t="s">
        <v>142</v>
      </c>
      <c r="U641" s="238" t="e">
        <f ca="1">INDIRECT("Team"&amp;TEXT(S641,"0")&amp;"Name")</f>
        <v>#REF!</v>
      </c>
      <c r="V641" s="238"/>
      <c r="W641" s="238"/>
      <c r="X641" s="238"/>
      <c r="Y641" s="239"/>
      <c r="Z641" s="49" t="s">
        <v>125</v>
      </c>
      <c r="BJ641" s="2"/>
    </row>
    <row r="642" spans="7:62" ht="24.95" customHeight="1" thickBot="1">
      <c r="G642" s="50" t="s">
        <v>74</v>
      </c>
      <c r="H642" s="52" t="s">
        <v>127</v>
      </c>
      <c r="I642" s="53" t="s">
        <v>128</v>
      </c>
      <c r="J642" s="53" t="s">
        <v>129</v>
      </c>
      <c r="K642" s="53" t="s">
        <v>130</v>
      </c>
      <c r="L642" s="53" t="s">
        <v>131</v>
      </c>
      <c r="M642" s="53" t="s">
        <v>132</v>
      </c>
      <c r="N642" s="53" t="s">
        <v>97</v>
      </c>
      <c r="O642" s="54" t="s">
        <v>133</v>
      </c>
      <c r="Q642" s="50" t="s">
        <v>74</v>
      </c>
      <c r="R642" s="51"/>
      <c r="S642" s="52" t="s">
        <v>127</v>
      </c>
      <c r="T642" s="53" t="s">
        <v>128</v>
      </c>
      <c r="U642" s="53" t="s">
        <v>129</v>
      </c>
      <c r="V642" s="53" t="s">
        <v>130</v>
      </c>
      <c r="W642" s="53" t="s">
        <v>131</v>
      </c>
      <c r="X642" s="53" t="s">
        <v>132</v>
      </c>
      <c r="Y642" s="53" t="s">
        <v>97</v>
      </c>
      <c r="Z642" s="54" t="s">
        <v>133</v>
      </c>
      <c r="BJ642" s="2"/>
    </row>
    <row r="643" spans="7:62" ht="24.95" customHeight="1" thickTop="1">
      <c r="G643" s="164" t="e">
        <f t="array" aca="1" ref="G643:G647" ca="1">IF(ISBLANK(H641),"Empty",INDIRECT("Team"&amp;TEXT(H641,"0")&amp;"Players"))</f>
        <v>#REF!</v>
      </c>
      <c r="H643" s="83"/>
      <c r="I643" s="208" t="s">
        <v>128</v>
      </c>
      <c r="J643" s="78" t="s">
        <v>129</v>
      </c>
      <c r="K643" s="208" t="s">
        <v>130</v>
      </c>
      <c r="L643" s="78" t="s">
        <v>131</v>
      </c>
      <c r="M643" s="208" t="s">
        <v>132</v>
      </c>
      <c r="N643" s="92"/>
      <c r="O643" s="7"/>
      <c r="Q643" s="79">
        <v>1</v>
      </c>
      <c r="R643" s="167" t="e">
        <f t="array" aca="1" ref="R643:R647" ca="1">IF(ISBLANK(S641),"Empty",INDIRECT("Team"&amp;TEXT(S641,"0")&amp;"Players"))</f>
        <v>#REF!</v>
      </c>
      <c r="S643" s="12"/>
      <c r="T643" s="55"/>
      <c r="U643" s="210"/>
      <c r="V643" s="55"/>
      <c r="W643" s="210"/>
      <c r="X643" s="55"/>
      <c r="Y643" s="92"/>
      <c r="Z643" s="7"/>
      <c r="BJ643" s="2"/>
    </row>
    <row r="644" spans="7:62" ht="24.95" customHeight="1">
      <c r="G644" s="165" t="e">
        <f ca="1"/>
        <v>#REF!</v>
      </c>
      <c r="H644" s="84"/>
      <c r="I644" s="208" t="s">
        <v>129</v>
      </c>
      <c r="J644" s="78" t="s">
        <v>130</v>
      </c>
      <c r="K644" s="208" t="s">
        <v>131</v>
      </c>
      <c r="L644" s="78" t="s">
        <v>132</v>
      </c>
      <c r="M644" s="208" t="s">
        <v>128</v>
      </c>
      <c r="N644" s="93"/>
      <c r="O644" s="7"/>
      <c r="Q644" s="80">
        <v>2</v>
      </c>
      <c r="R644" s="168" t="e">
        <f ca="1"/>
        <v>#REF!</v>
      </c>
      <c r="S644" s="12"/>
      <c r="T644" s="55"/>
      <c r="U644" s="210"/>
      <c r="V644" s="55"/>
      <c r="W644" s="210"/>
      <c r="X644" s="55"/>
      <c r="Y644" s="93"/>
      <c r="Z644" s="7"/>
      <c r="BJ644" s="2"/>
    </row>
    <row r="645" spans="7:62" ht="24.95" customHeight="1">
      <c r="G645" s="165" t="e">
        <f ca="1"/>
        <v>#REF!</v>
      </c>
      <c r="H645" s="84"/>
      <c r="I645" s="208" t="s">
        <v>130</v>
      </c>
      <c r="J645" s="78" t="s">
        <v>131</v>
      </c>
      <c r="K645" s="208" t="s">
        <v>132</v>
      </c>
      <c r="L645" s="78" t="s">
        <v>128</v>
      </c>
      <c r="M645" s="208" t="s">
        <v>129</v>
      </c>
      <c r="N645" s="93"/>
      <c r="O645" s="7"/>
      <c r="Q645" s="80">
        <v>3</v>
      </c>
      <c r="R645" s="168" t="e">
        <f ca="1"/>
        <v>#REF!</v>
      </c>
      <c r="S645" s="12"/>
      <c r="T645" s="55"/>
      <c r="U645" s="210"/>
      <c r="V645" s="55"/>
      <c r="W645" s="210"/>
      <c r="X645" s="55"/>
      <c r="Y645" s="93"/>
      <c r="Z645" s="7"/>
      <c r="BJ645" s="2"/>
    </row>
    <row r="646" spans="7:62" ht="24.95" customHeight="1">
      <c r="G646" s="165" t="e">
        <f ca="1"/>
        <v>#REF!</v>
      </c>
      <c r="H646" s="84"/>
      <c r="I646" s="208" t="s">
        <v>131</v>
      </c>
      <c r="J646" s="78" t="s">
        <v>132</v>
      </c>
      <c r="K646" s="208" t="s">
        <v>128</v>
      </c>
      <c r="L646" s="78" t="s">
        <v>129</v>
      </c>
      <c r="M646" s="208" t="s">
        <v>130</v>
      </c>
      <c r="N646" s="93"/>
      <c r="O646" s="7"/>
      <c r="Q646" s="80">
        <v>4</v>
      </c>
      <c r="R646" s="168" t="e">
        <f ca="1"/>
        <v>#REF!</v>
      </c>
      <c r="S646" s="12"/>
      <c r="T646" s="55"/>
      <c r="U646" s="210"/>
      <c r="V646" s="55"/>
      <c r="W646" s="210"/>
      <c r="X646" s="55"/>
      <c r="Y646" s="93"/>
      <c r="Z646" s="7"/>
      <c r="BJ646" s="2"/>
    </row>
    <row r="647" spans="7:62" ht="24.95" customHeight="1" thickBot="1">
      <c r="G647" s="166" t="e">
        <f ca="1"/>
        <v>#REF!</v>
      </c>
      <c r="H647" s="85"/>
      <c r="I647" s="208" t="s">
        <v>132</v>
      </c>
      <c r="J647" s="78" t="s">
        <v>128</v>
      </c>
      <c r="K647" s="208" t="s">
        <v>129</v>
      </c>
      <c r="L647" s="78" t="s">
        <v>130</v>
      </c>
      <c r="M647" s="208" t="s">
        <v>131</v>
      </c>
      <c r="N647" s="94"/>
      <c r="O647" s="7"/>
      <c r="Q647" s="80">
        <v>5</v>
      </c>
      <c r="R647" s="169" t="e">
        <f ca="1"/>
        <v>#REF!</v>
      </c>
      <c r="S647" s="77"/>
      <c r="T647" s="55"/>
      <c r="U647" s="210"/>
      <c r="V647" s="55"/>
      <c r="W647" s="210"/>
      <c r="X647" s="55"/>
      <c r="Y647" s="94"/>
      <c r="Z647" s="7"/>
      <c r="BJ647" s="2"/>
    </row>
    <row r="648" spans="7:62" ht="24.95" customHeight="1">
      <c r="H648" s="56" t="s">
        <v>134</v>
      </c>
      <c r="I648" s="91"/>
      <c r="J648" s="91"/>
      <c r="K648" s="91"/>
      <c r="L648" s="91"/>
      <c r="M648" s="91"/>
      <c r="N648" s="33"/>
      <c r="O648" s="33"/>
      <c r="S648" s="56" t="s">
        <v>134</v>
      </c>
      <c r="T648" s="91"/>
      <c r="U648" s="91"/>
      <c r="V648" s="91"/>
      <c r="W648" s="91"/>
      <c r="X648" s="91"/>
      <c r="Y648" s="33"/>
      <c r="Z648" s="33"/>
      <c r="BJ648" s="2"/>
    </row>
    <row r="649" spans="7:62" ht="24.95" customHeight="1" thickBot="1">
      <c r="H649" s="56" t="s">
        <v>135</v>
      </c>
      <c r="I649" s="7" t="e">
        <f ca="1">INT(N649/5)</f>
        <v>#REF!</v>
      </c>
      <c r="J649" s="7" t="e">
        <f ca="1">INT(N649/5)</f>
        <v>#REF!</v>
      </c>
      <c r="K649" s="7" t="e">
        <f ca="1">INT(N649/5)</f>
        <v>#REF!</v>
      </c>
      <c r="L649" s="7" t="e">
        <f ca="1">INT(N649/5)</f>
        <v>#REF!</v>
      </c>
      <c r="M649" s="7" t="e">
        <f ca="1">MOD(N649,5)+INT(N649/5)</f>
        <v>#REF!</v>
      </c>
      <c r="N649" s="7" t="e">
        <f ca="1">IF(INDIRECT("Team"&amp;TEXT(H641,"0")&amp;"Average")&gt;INDIRECT("Team"&amp;TEXT(S641,"0")&amp;"Average"),0,C13*(INDIRECT("Team"&amp;TEXT(S641,"0")&amp;"Average")-INDIRECT("Team"&amp;TEXT(H641,"0")&amp;"Average")))</f>
        <v>#REF!</v>
      </c>
      <c r="O649" s="33"/>
      <c r="S649" s="56" t="s">
        <v>135</v>
      </c>
      <c r="T649" s="7" t="e">
        <f ca="1">INT(Y649/5)</f>
        <v>#REF!</v>
      </c>
      <c r="U649" s="7" t="e">
        <f ca="1">INT(Y649/5)</f>
        <v>#REF!</v>
      </c>
      <c r="V649" s="7" t="e">
        <f ca="1">INT(Y649/5)</f>
        <v>#REF!</v>
      </c>
      <c r="W649" s="7" t="e">
        <f ca="1">INT(Y649/5)</f>
        <v>#REF!</v>
      </c>
      <c r="X649" s="7" t="e">
        <f ca="1">MOD(Y649,5)+INT(Y649/5)</f>
        <v>#REF!</v>
      </c>
      <c r="Y649" s="7" t="e">
        <f ca="1">IF(INDIRECT("Team"&amp;TEXT(S641,"0")&amp;"Average")&gt;INDIRECT("Team"&amp;TEXT(H641,"0")&amp;"Average"),0,C13*(INDIRECT("Team"&amp;TEXT(H641,"0")&amp;"Average")-INDIRECT("Team"&amp;TEXT(S641,"0")&amp;"Average")))</f>
        <v>#REF!</v>
      </c>
      <c r="Z649" s="33"/>
      <c r="BJ649" s="2"/>
    </row>
    <row r="650" spans="7:62" ht="24.95" customHeight="1" thickBot="1">
      <c r="H650" s="56" t="s">
        <v>97</v>
      </c>
      <c r="I650" s="91"/>
      <c r="J650" s="91"/>
      <c r="K650" s="91"/>
      <c r="L650" s="91"/>
      <c r="M650" s="161"/>
      <c r="N650" s="162"/>
      <c r="O650" s="33"/>
      <c r="S650" s="56" t="s">
        <v>97</v>
      </c>
      <c r="T650" s="91"/>
      <c r="U650" s="91"/>
      <c r="V650" s="91"/>
      <c r="W650" s="91"/>
      <c r="X650" s="161"/>
      <c r="Y650" s="162"/>
      <c r="Z650" s="33"/>
      <c r="BJ650" s="2"/>
    </row>
    <row r="651" spans="7:62">
      <c r="G651" s="57"/>
      <c r="BJ651" s="2"/>
    </row>
    <row r="652" spans="7:62" ht="9.9499999999999993" customHeight="1">
      <c r="I652" s="58" t="s">
        <v>136</v>
      </c>
      <c r="J652" s="12"/>
      <c r="K652" s="58" t="s">
        <v>97</v>
      </c>
      <c r="L652" s="12"/>
      <c r="T652" s="58" t="s">
        <v>137</v>
      </c>
      <c r="U652" s="12"/>
      <c r="V652" s="58" t="s">
        <v>97</v>
      </c>
      <c r="W652" s="12"/>
      <c r="BJ652" s="2"/>
    </row>
    <row r="653" spans="7:62" ht="9.9499999999999993" customHeight="1">
      <c r="I653" s="59" t="s">
        <v>138</v>
      </c>
      <c r="J653" s="26"/>
      <c r="K653" s="59" t="s">
        <v>139</v>
      </c>
      <c r="L653" s="26"/>
      <c r="T653" s="59" t="s">
        <v>138</v>
      </c>
      <c r="U653" s="26"/>
      <c r="V653" s="59" t="s">
        <v>139</v>
      </c>
      <c r="W653" s="26"/>
      <c r="BJ653" s="2"/>
    </row>
    <row r="654" spans="7:62">
      <c r="BJ654" s="2"/>
    </row>
    <row r="655" spans="7:62">
      <c r="BJ655" s="2"/>
    </row>
    <row r="656" spans="7:62" ht="15.75">
      <c r="G656" s="81" t="s">
        <v>140</v>
      </c>
      <c r="BJ656" s="2"/>
    </row>
    <row r="657" spans="7:62" ht="24.95" customHeight="1">
      <c r="G657" s="25" t="s">
        <v>141</v>
      </c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BJ657" s="2"/>
    </row>
    <row r="658" spans="7:62" ht="24.95" customHeight="1"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25"/>
      <c r="T658" s="25"/>
      <c r="U658" s="25"/>
      <c r="V658" s="25"/>
      <c r="W658" s="25"/>
      <c r="X658" s="25"/>
      <c r="Y658" s="25"/>
      <c r="Z658" s="25"/>
      <c r="BJ658" s="2"/>
    </row>
    <row r="659" spans="7:62" ht="24.95" customHeight="1"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25"/>
      <c r="T659" s="25"/>
      <c r="U659" s="25"/>
      <c r="V659" s="25"/>
      <c r="W659" s="25"/>
      <c r="X659" s="25"/>
      <c r="Y659" s="25"/>
      <c r="Z659" s="25"/>
      <c r="BJ659" s="2"/>
    </row>
    <row r="660" spans="7:62" ht="24.95" customHeight="1"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25"/>
      <c r="T660" s="25"/>
      <c r="U660" s="25"/>
      <c r="V660" s="25"/>
      <c r="W660" s="25"/>
      <c r="X660" s="25"/>
      <c r="Y660" s="25"/>
      <c r="Z660" s="25"/>
      <c r="BJ660" s="2"/>
    </row>
    <row r="661" spans="7:62" ht="23.25">
      <c r="G661" s="47" t="str">
        <f>"Clicks "&amp;$C$3&amp;":"&amp;" "&amp;$C$10&amp;" "&amp;$C$9&amp;" League Score Sheet"</f>
        <v>Clicks Tucson: Get-a-Cue 8-Ball League Score Sheet</v>
      </c>
      <c r="Z661" s="76" t="s">
        <v>183</v>
      </c>
      <c r="BJ661" s="2"/>
    </row>
    <row r="662" spans="7:62">
      <c r="BJ662" s="2"/>
    </row>
    <row r="663" spans="7:62" ht="24.95" customHeight="1">
      <c r="G663" s="234">
        <f ca="1">TODAY()</f>
        <v>46155</v>
      </c>
      <c r="H663" s="235"/>
      <c r="I663" s="69" t="s">
        <v>123</v>
      </c>
      <c r="J663" s="70"/>
      <c r="K663" s="170">
        <f>A!$AW$13+1</f>
        <v>5</v>
      </c>
      <c r="L663" s="46" t="s">
        <v>144</v>
      </c>
      <c r="M663" s="46"/>
      <c r="N663" s="171">
        <f>$C$4</f>
        <v>335</v>
      </c>
      <c r="S663" s="69" t="s">
        <v>146</v>
      </c>
      <c r="T663" s="70"/>
      <c r="U663" s="70"/>
      <c r="V663" s="70"/>
      <c r="W663" s="69"/>
      <c r="X663" s="70"/>
      <c r="Y663" s="236" t="e">
        <f ca="1">INDEX(INDIRECT("Sched_"&amp;TEXT($C$5,"0")&amp;"_Matches"),1,19)</f>
        <v>#REF!</v>
      </c>
      <c r="Z663" s="237"/>
      <c r="BJ663" s="2"/>
    </row>
    <row r="664" spans="7:62" ht="24.95" customHeight="1" thickBot="1">
      <c r="BJ664" s="2"/>
    </row>
    <row r="665" spans="7:62" ht="24.95" customHeight="1" thickTop="1">
      <c r="G665" s="66" t="s">
        <v>124</v>
      </c>
      <c r="H665" s="86" t="e">
        <f ca="1">IF($K447&lt;&gt;$C$8,INDEX(INDIRECT(AB687),$K447,19),VLOOKUP(LARGE(A!$BK$5:$BK$24,19),Team_Score,2,FALSE))</f>
        <v>#REF!</v>
      </c>
      <c r="I665" s="71" t="s">
        <v>142</v>
      </c>
      <c r="J665" s="238" t="e">
        <f ca="1">INDIRECT("Team"&amp;TEXT(H665,"0")&amp;"Name")</f>
        <v>#REF!</v>
      </c>
      <c r="K665" s="238"/>
      <c r="L665" s="238"/>
      <c r="M665" s="238"/>
      <c r="N665" s="239"/>
      <c r="O665" s="49" t="s">
        <v>125</v>
      </c>
      <c r="Q665" s="66" t="s">
        <v>126</v>
      </c>
      <c r="R665" s="48"/>
      <c r="S665" s="86" t="e">
        <f ca="1">IF($K447&lt;&gt;$C$8,INDEX(INDIRECT(AB687),$K447,20),VLOOKUP(LARGE(A!$BK$5:$BK$24,20),Team_Score,2,FALSE))</f>
        <v>#REF!</v>
      </c>
      <c r="T665" s="71" t="s">
        <v>142</v>
      </c>
      <c r="U665" s="238" t="e">
        <f ca="1">INDIRECT("Team"&amp;TEXT(S665,"0")&amp;"Name")</f>
        <v>#REF!</v>
      </c>
      <c r="V665" s="238"/>
      <c r="W665" s="238"/>
      <c r="X665" s="238"/>
      <c r="Y665" s="239"/>
      <c r="Z665" s="49" t="s">
        <v>125</v>
      </c>
      <c r="BJ665" s="2"/>
    </row>
    <row r="666" spans="7:62" ht="24.95" customHeight="1" thickBot="1">
      <c r="G666" s="50" t="s">
        <v>74</v>
      </c>
      <c r="H666" s="52" t="s">
        <v>127</v>
      </c>
      <c r="I666" s="53" t="s">
        <v>128</v>
      </c>
      <c r="J666" s="53" t="s">
        <v>129</v>
      </c>
      <c r="K666" s="53" t="s">
        <v>130</v>
      </c>
      <c r="L666" s="53" t="s">
        <v>131</v>
      </c>
      <c r="M666" s="53" t="s">
        <v>132</v>
      </c>
      <c r="N666" s="53" t="s">
        <v>97</v>
      </c>
      <c r="O666" s="54" t="s">
        <v>133</v>
      </c>
      <c r="Q666" s="50" t="s">
        <v>74</v>
      </c>
      <c r="R666" s="51"/>
      <c r="S666" s="52" t="s">
        <v>127</v>
      </c>
      <c r="T666" s="53" t="s">
        <v>128</v>
      </c>
      <c r="U666" s="53" t="s">
        <v>129</v>
      </c>
      <c r="V666" s="53" t="s">
        <v>130</v>
      </c>
      <c r="W666" s="53" t="s">
        <v>131</v>
      </c>
      <c r="X666" s="53" t="s">
        <v>132</v>
      </c>
      <c r="Y666" s="53" t="s">
        <v>97</v>
      </c>
      <c r="Z666" s="54" t="s">
        <v>133</v>
      </c>
      <c r="BJ666" s="2"/>
    </row>
    <row r="667" spans="7:62" ht="24.95" customHeight="1" thickTop="1">
      <c r="G667" s="164" t="e">
        <f t="array" aca="1" ref="G667:G671" ca="1">IF(ISBLANK(H665),"Empty",INDIRECT("Team"&amp;TEXT(H665,"0")&amp;"Players"))</f>
        <v>#REF!</v>
      </c>
      <c r="H667" s="83"/>
      <c r="I667" s="208" t="s">
        <v>128</v>
      </c>
      <c r="J667" s="78" t="s">
        <v>129</v>
      </c>
      <c r="K667" s="208" t="s">
        <v>130</v>
      </c>
      <c r="L667" s="78" t="s">
        <v>131</v>
      </c>
      <c r="M667" s="208" t="s">
        <v>132</v>
      </c>
      <c r="N667" s="92"/>
      <c r="O667" s="7"/>
      <c r="Q667" s="79">
        <v>1</v>
      </c>
      <c r="R667" s="167" t="e">
        <f t="array" aca="1" ref="R667:R671" ca="1">IF(ISBLANK(S665),"Empty",INDIRECT("Team"&amp;TEXT(S665,"0")&amp;"Players"))</f>
        <v>#REF!</v>
      </c>
      <c r="S667" s="12"/>
      <c r="T667" s="55"/>
      <c r="U667" s="210"/>
      <c r="V667" s="55"/>
      <c r="W667" s="210"/>
      <c r="X667" s="55"/>
      <c r="Y667" s="92"/>
      <c r="Z667" s="7"/>
      <c r="BJ667" s="2"/>
    </row>
    <row r="668" spans="7:62" ht="24.95" customHeight="1">
      <c r="G668" s="165" t="e">
        <f ca="1"/>
        <v>#REF!</v>
      </c>
      <c r="H668" s="84"/>
      <c r="I668" s="208" t="s">
        <v>129</v>
      </c>
      <c r="J668" s="78" t="s">
        <v>130</v>
      </c>
      <c r="K668" s="208" t="s">
        <v>131</v>
      </c>
      <c r="L668" s="78" t="s">
        <v>132</v>
      </c>
      <c r="M668" s="208" t="s">
        <v>128</v>
      </c>
      <c r="N668" s="93"/>
      <c r="O668" s="7"/>
      <c r="Q668" s="80">
        <v>2</v>
      </c>
      <c r="R668" s="168" t="e">
        <f ca="1"/>
        <v>#REF!</v>
      </c>
      <c r="S668" s="12"/>
      <c r="T668" s="55"/>
      <c r="U668" s="210"/>
      <c r="V668" s="55"/>
      <c r="W668" s="210"/>
      <c r="X668" s="55"/>
      <c r="Y668" s="93"/>
      <c r="Z668" s="7"/>
      <c r="BJ668" s="2"/>
    </row>
    <row r="669" spans="7:62" ht="24.95" customHeight="1">
      <c r="G669" s="165" t="e">
        <f ca="1"/>
        <v>#REF!</v>
      </c>
      <c r="H669" s="84"/>
      <c r="I669" s="208" t="s">
        <v>130</v>
      </c>
      <c r="J669" s="78" t="s">
        <v>131</v>
      </c>
      <c r="K669" s="208" t="s">
        <v>132</v>
      </c>
      <c r="L669" s="78" t="s">
        <v>128</v>
      </c>
      <c r="M669" s="208" t="s">
        <v>129</v>
      </c>
      <c r="N669" s="93"/>
      <c r="O669" s="7"/>
      <c r="Q669" s="80">
        <v>3</v>
      </c>
      <c r="R669" s="168" t="e">
        <f ca="1"/>
        <v>#REF!</v>
      </c>
      <c r="S669" s="12"/>
      <c r="T669" s="55"/>
      <c r="U669" s="210"/>
      <c r="V669" s="55"/>
      <c r="W669" s="210"/>
      <c r="X669" s="55"/>
      <c r="Y669" s="93"/>
      <c r="Z669" s="7"/>
      <c r="BJ669" s="2"/>
    </row>
    <row r="670" spans="7:62" ht="24.95" customHeight="1">
      <c r="G670" s="165" t="e">
        <f ca="1"/>
        <v>#REF!</v>
      </c>
      <c r="H670" s="84"/>
      <c r="I670" s="208" t="s">
        <v>131</v>
      </c>
      <c r="J670" s="78" t="s">
        <v>132</v>
      </c>
      <c r="K670" s="208" t="s">
        <v>128</v>
      </c>
      <c r="L670" s="78" t="s">
        <v>129</v>
      </c>
      <c r="M670" s="208" t="s">
        <v>130</v>
      </c>
      <c r="N670" s="93"/>
      <c r="O670" s="7"/>
      <c r="Q670" s="80">
        <v>4</v>
      </c>
      <c r="R670" s="168" t="e">
        <f ca="1"/>
        <v>#REF!</v>
      </c>
      <c r="S670" s="12"/>
      <c r="T670" s="55"/>
      <c r="U670" s="210"/>
      <c r="V670" s="55"/>
      <c r="W670" s="210"/>
      <c r="X670" s="55"/>
      <c r="Y670" s="93"/>
      <c r="Z670" s="7"/>
      <c r="BJ670" s="2"/>
    </row>
    <row r="671" spans="7:62" ht="24.95" customHeight="1" thickBot="1">
      <c r="G671" s="166" t="e">
        <f ca="1"/>
        <v>#REF!</v>
      </c>
      <c r="H671" s="85"/>
      <c r="I671" s="208" t="s">
        <v>132</v>
      </c>
      <c r="J671" s="78" t="s">
        <v>128</v>
      </c>
      <c r="K671" s="208" t="s">
        <v>129</v>
      </c>
      <c r="L671" s="78" t="s">
        <v>130</v>
      </c>
      <c r="M671" s="208" t="s">
        <v>131</v>
      </c>
      <c r="N671" s="94"/>
      <c r="O671" s="7"/>
      <c r="Q671" s="80">
        <v>5</v>
      </c>
      <c r="R671" s="169" t="e">
        <f ca="1"/>
        <v>#REF!</v>
      </c>
      <c r="S671" s="77"/>
      <c r="T671" s="55"/>
      <c r="U671" s="210"/>
      <c r="V671" s="55"/>
      <c r="W671" s="210"/>
      <c r="X671" s="55"/>
      <c r="Y671" s="94"/>
      <c r="Z671" s="7"/>
      <c r="BJ671" s="2"/>
    </row>
    <row r="672" spans="7:62" ht="24.95" customHeight="1">
      <c r="H672" s="56" t="s">
        <v>134</v>
      </c>
      <c r="I672" s="91"/>
      <c r="J672" s="91"/>
      <c r="K672" s="91"/>
      <c r="L672" s="91"/>
      <c r="M672" s="91"/>
      <c r="N672" s="33"/>
      <c r="O672" s="33"/>
      <c r="S672" s="56" t="s">
        <v>134</v>
      </c>
      <c r="T672" s="91"/>
      <c r="U672" s="91"/>
      <c r="V672" s="91"/>
      <c r="W672" s="91"/>
      <c r="X672" s="91"/>
      <c r="Y672" s="33"/>
      <c r="Z672" s="33"/>
      <c r="BJ672" s="2"/>
    </row>
    <row r="673" spans="7:145" ht="24.95" customHeight="1" thickBot="1">
      <c r="H673" s="56" t="s">
        <v>135</v>
      </c>
      <c r="I673" s="7" t="e">
        <f ca="1">INT(N673/5)</f>
        <v>#REF!</v>
      </c>
      <c r="J673" s="7" t="e">
        <f ca="1">INT(N673/5)</f>
        <v>#REF!</v>
      </c>
      <c r="K673" s="7" t="e">
        <f ca="1">INT(N673/5)</f>
        <v>#REF!</v>
      </c>
      <c r="L673" s="7" t="e">
        <f ca="1">INT(N673/5)</f>
        <v>#REF!</v>
      </c>
      <c r="M673" s="7" t="e">
        <f ca="1">MOD(N673,5)+INT(N673/5)</f>
        <v>#REF!</v>
      </c>
      <c r="N673" s="7" t="e">
        <f ca="1">IF(INDIRECT("Team"&amp;TEXT(H665,"0")&amp;"Average")&gt;INDIRECT("Team"&amp;TEXT(S665,"0")&amp;"Average"),0,C13*(INDIRECT("Team"&amp;TEXT(S665,"0")&amp;"Average")-INDIRECT("Team"&amp;TEXT(H665,"0")&amp;"Average")))</f>
        <v>#REF!</v>
      </c>
      <c r="O673" s="33"/>
      <c r="S673" s="56" t="s">
        <v>135</v>
      </c>
      <c r="T673" s="7" t="e">
        <f ca="1">INT(Y673/5)</f>
        <v>#REF!</v>
      </c>
      <c r="U673" s="7" t="e">
        <f ca="1">INT(Y673/5)</f>
        <v>#REF!</v>
      </c>
      <c r="V673" s="7" t="e">
        <f ca="1">INT(Y673/5)</f>
        <v>#REF!</v>
      </c>
      <c r="W673" s="7" t="e">
        <f ca="1">INT(Y673/5)</f>
        <v>#REF!</v>
      </c>
      <c r="X673" s="7" t="e">
        <f ca="1">MOD(Y673,5)+INT(Y673/5)</f>
        <v>#REF!</v>
      </c>
      <c r="Y673" s="7" t="e">
        <f ca="1">IF(INDIRECT("Team"&amp;TEXT(S665,"0")&amp;"Average")&gt;INDIRECT("Team"&amp;TEXT(H665,"0")&amp;"Average"),0,C13*(INDIRECT("Team"&amp;TEXT(H665,"0")&amp;"Average")-INDIRECT("Team"&amp;TEXT(S665,"0")&amp;"Average")))</f>
        <v>#REF!</v>
      </c>
      <c r="Z673" s="33"/>
      <c r="BJ673" s="2"/>
    </row>
    <row r="674" spans="7:145" ht="24.95" customHeight="1" thickBot="1">
      <c r="H674" s="56" t="s">
        <v>97</v>
      </c>
      <c r="I674" s="91"/>
      <c r="J674" s="91"/>
      <c r="K674" s="91"/>
      <c r="L674" s="91"/>
      <c r="M674" s="161"/>
      <c r="N674" s="162"/>
      <c r="O674" s="33"/>
      <c r="S674" s="56" t="s">
        <v>97</v>
      </c>
      <c r="T674" s="91"/>
      <c r="U674" s="91"/>
      <c r="V674" s="91"/>
      <c r="W674" s="91"/>
      <c r="X674" s="161"/>
      <c r="Y674" s="162"/>
      <c r="Z674" s="33"/>
      <c r="BJ674" s="2"/>
    </row>
    <row r="675" spans="7:145">
      <c r="G675" s="57"/>
      <c r="BJ675" s="2"/>
    </row>
    <row r="676" spans="7:145" ht="9.9499999999999993" customHeight="1">
      <c r="I676" s="58" t="s">
        <v>136</v>
      </c>
      <c r="J676" s="12"/>
      <c r="K676" s="58" t="s">
        <v>97</v>
      </c>
      <c r="L676" s="12"/>
      <c r="T676" s="58" t="s">
        <v>137</v>
      </c>
      <c r="U676" s="12"/>
      <c r="V676" s="58" t="s">
        <v>97</v>
      </c>
      <c r="W676" s="12"/>
      <c r="BJ676" s="2"/>
    </row>
    <row r="677" spans="7:145" ht="9.9499999999999993" customHeight="1">
      <c r="I677" s="59" t="s">
        <v>138</v>
      </c>
      <c r="J677" s="26"/>
      <c r="K677" s="59" t="s">
        <v>139</v>
      </c>
      <c r="L677" s="26"/>
      <c r="T677" s="59" t="s">
        <v>138</v>
      </c>
      <c r="U677" s="26"/>
      <c r="V677" s="59" t="s">
        <v>139</v>
      </c>
      <c r="W677" s="26"/>
      <c r="BJ677" s="2"/>
    </row>
    <row r="678" spans="7:145">
      <c r="BJ678" s="2"/>
    </row>
    <row r="679" spans="7:145">
      <c r="BJ679" s="2"/>
    </row>
    <row r="680" spans="7:145" ht="15.75">
      <c r="G680" s="81" t="s">
        <v>140</v>
      </c>
      <c r="BJ680" s="2"/>
    </row>
    <row r="681" spans="7:145" ht="24.95" customHeight="1">
      <c r="G681" s="25" t="s">
        <v>141</v>
      </c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25"/>
      <c r="T681" s="25"/>
      <c r="U681" s="25"/>
      <c r="V681" s="25"/>
      <c r="W681" s="25"/>
      <c r="X681" s="25"/>
      <c r="Y681" s="25"/>
      <c r="Z681" s="25"/>
      <c r="BJ681" s="2"/>
    </row>
    <row r="682" spans="7:145" ht="24.95" customHeight="1"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25"/>
      <c r="T682" s="25"/>
      <c r="U682" s="25"/>
      <c r="V682" s="25"/>
      <c r="W682" s="25"/>
      <c r="X682" s="25"/>
      <c r="Y682" s="25"/>
      <c r="Z682" s="25"/>
      <c r="BJ682" s="2"/>
    </row>
    <row r="683" spans="7:145" ht="24.95" customHeight="1"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25"/>
      <c r="T683" s="25"/>
      <c r="U683" s="25"/>
      <c r="V683" s="25"/>
      <c r="W683" s="25"/>
      <c r="X683" s="25"/>
      <c r="Y683" s="25"/>
      <c r="Z683" s="25"/>
      <c r="BJ683" s="2"/>
    </row>
    <row r="684" spans="7:145" ht="24.95" customHeight="1"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25"/>
      <c r="T684" s="25"/>
      <c r="U684" s="25"/>
      <c r="V684" s="25"/>
      <c r="W684" s="25"/>
      <c r="X684" s="25"/>
      <c r="Y684" s="25"/>
      <c r="Z684" s="25"/>
      <c r="BJ684" s="2"/>
    </row>
    <row r="687" spans="7:145">
      <c r="AB687" t="str">
        <f>"Sched_" &amp; TEXT($C$5,"0")</f>
        <v>Sched_12</v>
      </c>
      <c r="AD687" s="62" t="s">
        <v>147</v>
      </c>
      <c r="AI687" s="230" t="s">
        <v>253</v>
      </c>
      <c r="AJ687" s="231"/>
      <c r="AK687" s="231"/>
      <c r="AL687" s="231"/>
      <c r="AM687" s="231"/>
      <c r="AN687" s="231"/>
      <c r="AP687" s="230" t="s">
        <v>254</v>
      </c>
      <c r="AQ687" s="231"/>
      <c r="AR687" s="231"/>
      <c r="AS687" s="231"/>
      <c r="AT687" s="231"/>
      <c r="AU687" s="231"/>
      <c r="AV687" s="231"/>
      <c r="AW687" s="231"/>
      <c r="AY687" s="230" t="s">
        <v>255</v>
      </c>
      <c r="AZ687" s="231"/>
      <c r="BA687" s="231"/>
      <c r="BB687" s="231"/>
      <c r="BC687" s="231"/>
      <c r="BD687" s="231"/>
      <c r="BE687" s="231"/>
      <c r="BF687" s="231"/>
      <c r="BG687" s="231"/>
      <c r="BH687" s="231"/>
      <c r="BJ687" s="230" t="s">
        <v>268</v>
      </c>
      <c r="BK687" s="231"/>
      <c r="BL687" s="231"/>
      <c r="BM687" s="231"/>
      <c r="BN687" s="231"/>
      <c r="BO687" s="231"/>
      <c r="BP687" s="231"/>
      <c r="BQ687" s="231"/>
      <c r="BR687" s="231"/>
      <c r="BS687" s="231"/>
      <c r="BT687" s="3"/>
      <c r="BU687" s="3"/>
      <c r="BW687" s="232" t="s">
        <v>269</v>
      </c>
      <c r="BX687" s="233"/>
      <c r="BY687" s="233"/>
      <c r="BZ687" s="233"/>
      <c r="CA687" s="233"/>
      <c r="CB687" s="233"/>
      <c r="CC687" s="233"/>
      <c r="CD687" s="233"/>
      <c r="CE687" s="233"/>
      <c r="CF687" s="233"/>
      <c r="CG687" s="3"/>
      <c r="CH687" s="3"/>
      <c r="CI687" s="3"/>
      <c r="CJ687" s="3"/>
      <c r="CL687" s="230" t="s">
        <v>270</v>
      </c>
      <c r="CM687" s="231"/>
      <c r="CN687" s="231"/>
      <c r="CO687" s="231"/>
      <c r="CP687" s="231"/>
      <c r="CQ687" s="231"/>
      <c r="CR687" s="231"/>
      <c r="CS687" s="231"/>
      <c r="CT687" s="231"/>
      <c r="CU687" s="231"/>
      <c r="CV687" s="3"/>
      <c r="CW687" s="3"/>
      <c r="CX687" s="3"/>
      <c r="CY687" s="3"/>
      <c r="CZ687" s="3"/>
      <c r="DA687" s="3"/>
      <c r="DC687" s="230" t="s">
        <v>274</v>
      </c>
      <c r="DD687" s="231"/>
      <c r="DE687" s="231"/>
      <c r="DF687" s="231"/>
      <c r="DG687" s="231"/>
      <c r="DH687" s="231"/>
      <c r="DI687" s="231"/>
      <c r="DJ687" s="231"/>
      <c r="DK687" s="231"/>
      <c r="DL687" s="231"/>
      <c r="DM687" s="3"/>
      <c r="DN687" s="3"/>
      <c r="DO687" s="3"/>
      <c r="DP687" s="3"/>
      <c r="DQ687" s="3"/>
      <c r="DR687" s="3"/>
      <c r="DS687" s="3"/>
      <c r="DT687" s="3"/>
      <c r="DV687" s="230" t="s">
        <v>275</v>
      </c>
      <c r="DW687" s="231"/>
      <c r="DX687" s="231"/>
      <c r="DY687" s="231"/>
      <c r="DZ687" s="231"/>
      <c r="EA687" s="231"/>
      <c r="EB687" s="231"/>
      <c r="EC687" s="231"/>
      <c r="ED687" s="231"/>
      <c r="EE687" s="231"/>
      <c r="EF687" s="3"/>
      <c r="EG687" s="3"/>
      <c r="EH687" s="3"/>
      <c r="EI687" s="3"/>
      <c r="EJ687" s="3"/>
      <c r="EK687" s="3"/>
      <c r="EL687" s="3"/>
      <c r="EM687" s="3"/>
      <c r="EN687" s="3"/>
      <c r="EO687" s="3"/>
    </row>
    <row r="689" spans="28:146">
      <c r="AB689" s="4" t="s">
        <v>150</v>
      </c>
      <c r="AD689" s="229" t="s">
        <v>173</v>
      </c>
      <c r="AE689" s="229"/>
      <c r="AF689" s="229" t="s">
        <v>174</v>
      </c>
      <c r="AG689" s="229"/>
      <c r="AH689" s="88"/>
      <c r="AI689" s="240" t="s">
        <v>145</v>
      </c>
      <c r="AJ689" s="240"/>
      <c r="AK689" s="240" t="s">
        <v>148</v>
      </c>
      <c r="AL689" s="240"/>
      <c r="AM689" s="240" t="s">
        <v>266</v>
      </c>
      <c r="AN689" s="240"/>
      <c r="AO689" s="88"/>
      <c r="AP689" s="229" t="s">
        <v>251</v>
      </c>
      <c r="AQ689" s="229"/>
      <c r="AR689" s="229" t="s">
        <v>145</v>
      </c>
      <c r="AS689" s="229"/>
      <c r="AT689" s="229" t="s">
        <v>252</v>
      </c>
      <c r="AU689" s="229"/>
      <c r="AV689" s="229" t="s">
        <v>148</v>
      </c>
      <c r="AW689" s="229"/>
      <c r="AY689" s="229" t="s">
        <v>251</v>
      </c>
      <c r="AZ689" s="229"/>
      <c r="BA689" s="229" t="s">
        <v>145</v>
      </c>
      <c r="BB689" s="229"/>
      <c r="BC689" s="229" t="s">
        <v>252</v>
      </c>
      <c r="BD689" s="229"/>
      <c r="BE689" s="229" t="s">
        <v>148</v>
      </c>
      <c r="BF689" s="229"/>
      <c r="BG689" s="229" t="s">
        <v>149</v>
      </c>
      <c r="BH689" s="229"/>
      <c r="BJ689" s="229" t="s">
        <v>251</v>
      </c>
      <c r="BK689" s="229"/>
      <c r="BL689" s="229" t="s">
        <v>145</v>
      </c>
      <c r="BM689" s="229"/>
      <c r="BN689" s="229" t="s">
        <v>252</v>
      </c>
      <c r="BO689" s="229"/>
      <c r="BP689" s="229" t="s">
        <v>148</v>
      </c>
      <c r="BQ689" s="229"/>
      <c r="BR689" s="229" t="s">
        <v>149</v>
      </c>
      <c r="BS689" s="229"/>
      <c r="BT689" s="229" t="s">
        <v>280</v>
      </c>
      <c r="BU689" s="229"/>
      <c r="BW689" s="229" t="s">
        <v>251</v>
      </c>
      <c r="BX689" s="229"/>
      <c r="BY689" s="229" t="s">
        <v>145</v>
      </c>
      <c r="BZ689" s="229"/>
      <c r="CA689" s="229" t="s">
        <v>252</v>
      </c>
      <c r="CB689" s="229"/>
      <c r="CC689" s="229" t="s">
        <v>148</v>
      </c>
      <c r="CD689" s="229"/>
      <c r="CE689" s="229" t="s">
        <v>149</v>
      </c>
      <c r="CF689" s="229"/>
      <c r="CG689" s="229" t="s">
        <v>271</v>
      </c>
      <c r="CH689" s="229"/>
      <c r="CI689" s="229" t="s">
        <v>272</v>
      </c>
      <c r="CJ689" s="229"/>
      <c r="CL689" s="229" t="s">
        <v>251</v>
      </c>
      <c r="CM689" s="229"/>
      <c r="CN689" s="229" t="s">
        <v>145</v>
      </c>
      <c r="CO689" s="229"/>
      <c r="CP689" s="229" t="s">
        <v>252</v>
      </c>
      <c r="CQ689" s="229"/>
      <c r="CR689" s="229" t="s">
        <v>148</v>
      </c>
      <c r="CS689" s="229"/>
      <c r="CT689" s="229" t="s">
        <v>149</v>
      </c>
      <c r="CU689" s="229"/>
      <c r="CV689" s="229" t="s">
        <v>271</v>
      </c>
      <c r="CW689" s="229"/>
      <c r="CX689" s="229" t="s">
        <v>272</v>
      </c>
      <c r="CY689" s="229"/>
      <c r="CZ689" s="229" t="s">
        <v>273</v>
      </c>
      <c r="DA689" s="229"/>
      <c r="DC689" s="229" t="s">
        <v>251</v>
      </c>
      <c r="DD689" s="229"/>
      <c r="DE689" s="229" t="s">
        <v>145</v>
      </c>
      <c r="DF689" s="229"/>
      <c r="DG689" s="229" t="s">
        <v>252</v>
      </c>
      <c r="DH689" s="229"/>
      <c r="DI689" s="229" t="s">
        <v>148</v>
      </c>
      <c r="DJ689" s="229"/>
      <c r="DK689" s="229" t="s">
        <v>149</v>
      </c>
      <c r="DL689" s="229"/>
      <c r="DM689" s="229" t="s">
        <v>271</v>
      </c>
      <c r="DN689" s="229"/>
      <c r="DO689" s="229" t="s">
        <v>272</v>
      </c>
      <c r="DP689" s="229"/>
      <c r="DQ689" s="229" t="s">
        <v>273</v>
      </c>
      <c r="DR689" s="229"/>
      <c r="DS689" s="229" t="s">
        <v>276</v>
      </c>
      <c r="DT689" s="229"/>
      <c r="DV689" s="229" t="s">
        <v>251</v>
      </c>
      <c r="DW689" s="229"/>
      <c r="DX689" s="229" t="s">
        <v>145</v>
      </c>
      <c r="DY689" s="229"/>
      <c r="DZ689" s="229" t="s">
        <v>252</v>
      </c>
      <c r="EA689" s="229"/>
      <c r="EB689" s="229" t="s">
        <v>148</v>
      </c>
      <c r="EC689" s="229"/>
      <c r="ED689" s="229" t="s">
        <v>149</v>
      </c>
      <c r="EE689" s="229"/>
      <c r="EF689" s="229" t="s">
        <v>271</v>
      </c>
      <c r="EG689" s="229"/>
      <c r="EH689" s="229" t="s">
        <v>272</v>
      </c>
      <c r="EI689" s="229"/>
      <c r="EJ689" s="229" t="s">
        <v>273</v>
      </c>
      <c r="EK689" s="229"/>
      <c r="EL689" s="229" t="s">
        <v>276</v>
      </c>
      <c r="EM689" s="229"/>
      <c r="EN689" s="229" t="s">
        <v>277</v>
      </c>
      <c r="EO689" s="229"/>
    </row>
    <row r="690" spans="28:146">
      <c r="AB690" s="4" t="s">
        <v>151</v>
      </c>
      <c r="AD690" s="75" t="s">
        <v>122</v>
      </c>
      <c r="AE690" s="73" t="s">
        <v>121</v>
      </c>
      <c r="AF690" s="75" t="s">
        <v>122</v>
      </c>
      <c r="AG690" s="73" t="s">
        <v>121</v>
      </c>
      <c r="AH690" s="90"/>
      <c r="AI690" s="75" t="s">
        <v>122</v>
      </c>
      <c r="AJ690" s="73" t="s">
        <v>121</v>
      </c>
      <c r="AK690" s="75" t="s">
        <v>122</v>
      </c>
      <c r="AL690" s="73" t="s">
        <v>121</v>
      </c>
      <c r="AM690" s="75" t="s">
        <v>122</v>
      </c>
      <c r="AN690" s="73" t="s">
        <v>121</v>
      </c>
      <c r="AO690" s="90"/>
      <c r="AP690" s="75" t="s">
        <v>122</v>
      </c>
      <c r="AQ690" s="73" t="s">
        <v>121</v>
      </c>
      <c r="AR690" s="75" t="s">
        <v>122</v>
      </c>
      <c r="AS690" s="73" t="s">
        <v>121</v>
      </c>
      <c r="AT690" s="75" t="s">
        <v>122</v>
      </c>
      <c r="AU690" s="73" t="s">
        <v>121</v>
      </c>
      <c r="AV690" s="75" t="s">
        <v>122</v>
      </c>
      <c r="AW690" s="73" t="s">
        <v>121</v>
      </c>
      <c r="AX690" s="90"/>
      <c r="AY690" s="75" t="s">
        <v>122</v>
      </c>
      <c r="AZ690" s="73" t="s">
        <v>121</v>
      </c>
      <c r="BA690" s="75" t="s">
        <v>122</v>
      </c>
      <c r="BB690" s="73" t="s">
        <v>121</v>
      </c>
      <c r="BC690" s="75" t="s">
        <v>122</v>
      </c>
      <c r="BD690" s="73" t="s">
        <v>121</v>
      </c>
      <c r="BE690" s="75" t="s">
        <v>122</v>
      </c>
      <c r="BF690" s="73" t="s">
        <v>121</v>
      </c>
      <c r="BG690" s="75" t="s">
        <v>122</v>
      </c>
      <c r="BH690" s="73" t="s">
        <v>121</v>
      </c>
      <c r="BI690" s="221"/>
      <c r="BJ690" s="75" t="s">
        <v>122</v>
      </c>
      <c r="BK690" s="73" t="s">
        <v>121</v>
      </c>
      <c r="BL690" s="75" t="s">
        <v>122</v>
      </c>
      <c r="BM690" s="73" t="s">
        <v>121</v>
      </c>
      <c r="BN690" s="75" t="s">
        <v>122</v>
      </c>
      <c r="BO690" s="73" t="s">
        <v>121</v>
      </c>
      <c r="BP690" s="75" t="s">
        <v>122</v>
      </c>
      <c r="BQ690" s="73" t="s">
        <v>121</v>
      </c>
      <c r="BR690" s="75" t="s">
        <v>122</v>
      </c>
      <c r="BS690" s="73" t="s">
        <v>121</v>
      </c>
      <c r="BT690" s="75" t="s">
        <v>122</v>
      </c>
      <c r="BU690" s="73" t="s">
        <v>121</v>
      </c>
      <c r="BV690" s="221"/>
      <c r="BW690" s="75" t="s">
        <v>122</v>
      </c>
      <c r="BX690" s="73" t="s">
        <v>121</v>
      </c>
      <c r="BY690" s="75" t="s">
        <v>122</v>
      </c>
      <c r="BZ690" s="73" t="s">
        <v>121</v>
      </c>
      <c r="CA690" s="75" t="s">
        <v>122</v>
      </c>
      <c r="CB690" s="73" t="s">
        <v>121</v>
      </c>
      <c r="CC690" s="75" t="s">
        <v>122</v>
      </c>
      <c r="CD690" s="73" t="s">
        <v>121</v>
      </c>
      <c r="CE690" s="75" t="s">
        <v>122</v>
      </c>
      <c r="CF690" s="73" t="s">
        <v>121</v>
      </c>
      <c r="CG690" s="75" t="s">
        <v>122</v>
      </c>
      <c r="CH690" s="73" t="s">
        <v>121</v>
      </c>
      <c r="CI690" s="75" t="s">
        <v>122</v>
      </c>
      <c r="CJ690" s="73" t="s">
        <v>121</v>
      </c>
      <c r="CK690" s="221"/>
      <c r="CL690" s="75" t="s">
        <v>122</v>
      </c>
      <c r="CM690" s="73" t="s">
        <v>121</v>
      </c>
      <c r="CN690" s="75" t="s">
        <v>122</v>
      </c>
      <c r="CO690" s="73" t="s">
        <v>121</v>
      </c>
      <c r="CP690" s="75" t="s">
        <v>122</v>
      </c>
      <c r="CQ690" s="73" t="s">
        <v>121</v>
      </c>
      <c r="CR690" s="75" t="s">
        <v>122</v>
      </c>
      <c r="CS690" s="73" t="s">
        <v>121</v>
      </c>
      <c r="CT690" s="75" t="s">
        <v>122</v>
      </c>
      <c r="CU690" s="73" t="s">
        <v>121</v>
      </c>
      <c r="CV690" s="75" t="s">
        <v>122</v>
      </c>
      <c r="CW690" s="73" t="s">
        <v>121</v>
      </c>
      <c r="CX690" s="75" t="s">
        <v>122</v>
      </c>
      <c r="CY690" s="73" t="s">
        <v>121</v>
      </c>
      <c r="CZ690" s="75" t="s">
        <v>122</v>
      </c>
      <c r="DA690" s="73" t="s">
        <v>121</v>
      </c>
      <c r="DB690" s="221"/>
      <c r="DC690" s="75" t="s">
        <v>122</v>
      </c>
      <c r="DD690" s="73" t="s">
        <v>121</v>
      </c>
      <c r="DE690" s="75" t="s">
        <v>122</v>
      </c>
      <c r="DF690" s="73" t="s">
        <v>121</v>
      </c>
      <c r="DG690" s="75" t="s">
        <v>122</v>
      </c>
      <c r="DH690" s="73" t="s">
        <v>121</v>
      </c>
      <c r="DI690" s="75" t="s">
        <v>122</v>
      </c>
      <c r="DJ690" s="73" t="s">
        <v>121</v>
      </c>
      <c r="DK690" s="75" t="s">
        <v>122</v>
      </c>
      <c r="DL690" s="73" t="s">
        <v>121</v>
      </c>
      <c r="DM690" s="75" t="s">
        <v>122</v>
      </c>
      <c r="DN690" s="73" t="s">
        <v>121</v>
      </c>
      <c r="DO690" s="75" t="s">
        <v>122</v>
      </c>
      <c r="DP690" s="73" t="s">
        <v>121</v>
      </c>
      <c r="DQ690" s="75" t="s">
        <v>122</v>
      </c>
      <c r="DR690" s="73" t="s">
        <v>121</v>
      </c>
      <c r="DS690" s="75" t="s">
        <v>122</v>
      </c>
      <c r="DT690" s="73" t="s">
        <v>121</v>
      </c>
      <c r="DU690" s="221"/>
      <c r="DV690" s="75" t="s">
        <v>122</v>
      </c>
      <c r="DW690" s="73" t="s">
        <v>121</v>
      </c>
      <c r="DX690" s="75" t="s">
        <v>122</v>
      </c>
      <c r="DY690" s="73" t="s">
        <v>121</v>
      </c>
      <c r="DZ690" s="75" t="s">
        <v>122</v>
      </c>
      <c r="EA690" s="73" t="s">
        <v>121</v>
      </c>
      <c r="EB690" s="75" t="s">
        <v>122</v>
      </c>
      <c r="EC690" s="73" t="s">
        <v>121</v>
      </c>
      <c r="ED690" s="75" t="s">
        <v>122</v>
      </c>
      <c r="EE690" s="73" t="s">
        <v>121</v>
      </c>
      <c r="EF690" s="75" t="s">
        <v>122</v>
      </c>
      <c r="EG690" s="73" t="s">
        <v>121</v>
      </c>
      <c r="EH690" s="75" t="s">
        <v>122</v>
      </c>
      <c r="EI690" s="73" t="s">
        <v>121</v>
      </c>
      <c r="EJ690" s="75" t="s">
        <v>122</v>
      </c>
      <c r="EK690" s="73" t="s">
        <v>121</v>
      </c>
      <c r="EL690" s="75" t="s">
        <v>122</v>
      </c>
      <c r="EM690" s="73" t="s">
        <v>121</v>
      </c>
      <c r="EN690" s="75" t="s">
        <v>122</v>
      </c>
      <c r="EO690" s="73" t="s">
        <v>121</v>
      </c>
      <c r="EP690" s="221"/>
    </row>
    <row r="691" spans="28:146">
      <c r="AB691" s="74" t="s">
        <v>27</v>
      </c>
      <c r="AC691" s="72"/>
      <c r="AD691" s="89">
        <v>4</v>
      </c>
      <c r="AE691" s="88">
        <v>1</v>
      </c>
      <c r="AF691" s="89">
        <v>3</v>
      </c>
      <c r="AG691" s="88">
        <v>2</v>
      </c>
      <c r="AH691" s="90"/>
      <c r="AI691" s="75">
        <v>6</v>
      </c>
      <c r="AJ691" s="73">
        <v>1</v>
      </c>
      <c r="AK691" s="75">
        <v>5</v>
      </c>
      <c r="AL691" s="73">
        <v>2</v>
      </c>
      <c r="AM691" s="75">
        <v>3</v>
      </c>
      <c r="AN691" s="73">
        <v>4</v>
      </c>
      <c r="AO691" s="90"/>
      <c r="AP691" s="89">
        <v>3</v>
      </c>
      <c r="AQ691" s="88">
        <v>6</v>
      </c>
      <c r="AR691" s="89">
        <v>7</v>
      </c>
      <c r="AS691" s="88">
        <v>2</v>
      </c>
      <c r="AT691" s="89">
        <v>8</v>
      </c>
      <c r="AU691" s="88">
        <v>1</v>
      </c>
      <c r="AV691" s="89">
        <v>5</v>
      </c>
      <c r="AW691" s="88">
        <v>4</v>
      </c>
      <c r="AX691" s="90"/>
      <c r="AY691" s="89">
        <v>7</v>
      </c>
      <c r="AZ691" s="88">
        <v>4</v>
      </c>
      <c r="BA691" s="89">
        <v>1</v>
      </c>
      <c r="BB691" s="88">
        <v>10</v>
      </c>
      <c r="BC691" s="89">
        <v>5</v>
      </c>
      <c r="BD691" s="88">
        <v>6</v>
      </c>
      <c r="BE691" s="89">
        <v>3</v>
      </c>
      <c r="BF691" s="88">
        <v>8</v>
      </c>
      <c r="BG691" s="89">
        <v>9</v>
      </c>
      <c r="BH691" s="88">
        <v>2</v>
      </c>
      <c r="BI691" s="221"/>
      <c r="BJ691" s="89">
        <v>10</v>
      </c>
      <c r="BK691" s="88">
        <v>11</v>
      </c>
      <c r="BL691" s="89">
        <v>9</v>
      </c>
      <c r="BM691" s="88">
        <v>8</v>
      </c>
      <c r="BN691" s="89">
        <v>1</v>
      </c>
      <c r="BO691" s="88">
        <v>12</v>
      </c>
      <c r="BP691" s="89">
        <v>4</v>
      </c>
      <c r="BQ691" s="88">
        <v>5</v>
      </c>
      <c r="BR691" s="89">
        <v>7</v>
      </c>
      <c r="BS691" s="88">
        <v>6</v>
      </c>
      <c r="BT691" s="89">
        <v>2</v>
      </c>
      <c r="BU691" s="88">
        <v>3</v>
      </c>
      <c r="BV691" s="221"/>
      <c r="BW691" s="89">
        <v>8</v>
      </c>
      <c r="BX691" s="88">
        <v>6</v>
      </c>
      <c r="BY691" s="89">
        <v>11</v>
      </c>
      <c r="BZ691" s="88">
        <v>13</v>
      </c>
      <c r="CA691" s="89">
        <v>14</v>
      </c>
      <c r="CB691" s="88">
        <v>7</v>
      </c>
      <c r="CC691" s="89">
        <v>9</v>
      </c>
      <c r="CD691" s="88">
        <v>2</v>
      </c>
      <c r="CE691" s="89">
        <v>12</v>
      </c>
      <c r="CF691" s="88">
        <v>3</v>
      </c>
      <c r="CG691" s="89">
        <v>1</v>
      </c>
      <c r="CH691" s="88">
        <v>10</v>
      </c>
      <c r="CI691" s="89">
        <v>4</v>
      </c>
      <c r="CJ691" s="88">
        <v>5</v>
      </c>
      <c r="CK691" s="221"/>
      <c r="CL691" s="89">
        <v>8</v>
      </c>
      <c r="CM691" s="88">
        <v>12</v>
      </c>
      <c r="CN691" s="89">
        <v>10</v>
      </c>
      <c r="CO691" s="88">
        <v>15</v>
      </c>
      <c r="CP691" s="89">
        <v>1</v>
      </c>
      <c r="CQ691" s="88">
        <v>13</v>
      </c>
      <c r="CR691" s="89">
        <v>7</v>
      </c>
      <c r="CS691" s="88">
        <v>2</v>
      </c>
      <c r="CT691" s="89">
        <v>14</v>
      </c>
      <c r="CU691" s="88">
        <v>16</v>
      </c>
      <c r="CV691" s="89">
        <v>11</v>
      </c>
      <c r="CW691" s="88">
        <v>9</v>
      </c>
      <c r="CX691" s="89">
        <v>6</v>
      </c>
      <c r="CY691" s="88">
        <v>3</v>
      </c>
      <c r="CZ691" s="89">
        <v>4</v>
      </c>
      <c r="DA691" s="88">
        <v>5</v>
      </c>
      <c r="DB691" s="221"/>
      <c r="DC691" s="89">
        <v>6</v>
      </c>
      <c r="DD691" s="88">
        <v>12</v>
      </c>
      <c r="DE691" s="89">
        <v>7</v>
      </c>
      <c r="DF691" s="88">
        <v>8</v>
      </c>
      <c r="DG691" s="89">
        <v>4</v>
      </c>
      <c r="DH691" s="88">
        <v>18</v>
      </c>
      <c r="DI691" s="89">
        <v>15</v>
      </c>
      <c r="DJ691" s="88">
        <v>14</v>
      </c>
      <c r="DK691" s="89">
        <v>1</v>
      </c>
      <c r="DL691" s="88">
        <v>16</v>
      </c>
      <c r="DM691" s="89">
        <v>13</v>
      </c>
      <c r="DN691" s="88">
        <v>3</v>
      </c>
      <c r="DO691" s="89">
        <v>9</v>
      </c>
      <c r="DP691" s="88">
        <v>5</v>
      </c>
      <c r="DQ691" s="89">
        <v>11</v>
      </c>
      <c r="DR691" s="88">
        <v>2</v>
      </c>
      <c r="DS691" s="89">
        <v>17</v>
      </c>
      <c r="DT691" s="88">
        <v>10</v>
      </c>
      <c r="DU691" s="221"/>
      <c r="DV691" s="89">
        <v>9</v>
      </c>
      <c r="DW691" s="88">
        <v>3</v>
      </c>
      <c r="DX691" s="89">
        <v>2</v>
      </c>
      <c r="DY691" s="88">
        <v>14</v>
      </c>
      <c r="DZ691" s="89">
        <v>18</v>
      </c>
      <c r="EA691" s="88">
        <v>10</v>
      </c>
      <c r="EB691" s="89">
        <v>17</v>
      </c>
      <c r="EC691" s="88">
        <v>6</v>
      </c>
      <c r="ED691" s="89">
        <v>7</v>
      </c>
      <c r="EE691" s="88">
        <v>8</v>
      </c>
      <c r="EF691" s="89">
        <v>15</v>
      </c>
      <c r="EG691" s="88">
        <v>11</v>
      </c>
      <c r="EH691" s="89">
        <v>13</v>
      </c>
      <c r="EI691" s="88">
        <v>19</v>
      </c>
      <c r="EJ691" s="89">
        <v>16</v>
      </c>
      <c r="EK691" s="88">
        <v>4</v>
      </c>
      <c r="EL691" s="89">
        <v>20</v>
      </c>
      <c r="EM691" s="88">
        <v>1</v>
      </c>
      <c r="EN691" s="89">
        <v>5</v>
      </c>
      <c r="EO691" s="88">
        <v>12</v>
      </c>
      <c r="EP691" s="221"/>
    </row>
    <row r="692" spans="28:146">
      <c r="AB692" s="74" t="s">
        <v>28</v>
      </c>
      <c r="AC692" s="72"/>
      <c r="AD692" s="89">
        <v>1</v>
      </c>
      <c r="AE692" s="88">
        <v>3</v>
      </c>
      <c r="AF692" s="89">
        <v>2</v>
      </c>
      <c r="AG692" s="88">
        <v>4</v>
      </c>
      <c r="AH692" s="90"/>
      <c r="AI692" s="75">
        <v>2</v>
      </c>
      <c r="AJ692" s="73">
        <v>3</v>
      </c>
      <c r="AK692" s="75">
        <v>4</v>
      </c>
      <c r="AL692" s="73">
        <v>6</v>
      </c>
      <c r="AM692" s="75">
        <v>5</v>
      </c>
      <c r="AN692" s="73">
        <v>1</v>
      </c>
      <c r="AO692" s="90"/>
      <c r="AP692" s="89">
        <v>2</v>
      </c>
      <c r="AQ692" s="88">
        <v>5</v>
      </c>
      <c r="AR692" s="89">
        <v>4</v>
      </c>
      <c r="AS692" s="88">
        <v>3</v>
      </c>
      <c r="AT692" s="89">
        <v>6</v>
      </c>
      <c r="AU692" s="88">
        <v>8</v>
      </c>
      <c r="AV692" s="89">
        <v>7</v>
      </c>
      <c r="AW692" s="88">
        <v>1</v>
      </c>
      <c r="AX692" s="90"/>
      <c r="AY692" s="89">
        <v>4</v>
      </c>
      <c r="AZ692" s="88">
        <v>5</v>
      </c>
      <c r="BA692" s="89">
        <v>2</v>
      </c>
      <c r="BB692" s="88">
        <v>7</v>
      </c>
      <c r="BC692" s="89">
        <v>6</v>
      </c>
      <c r="BD692" s="88">
        <v>3</v>
      </c>
      <c r="BE692" s="89">
        <v>8</v>
      </c>
      <c r="BF692" s="88">
        <v>10</v>
      </c>
      <c r="BG692" s="89">
        <v>9</v>
      </c>
      <c r="BH692" s="88">
        <v>1</v>
      </c>
      <c r="BI692" s="221"/>
      <c r="BJ692" s="89">
        <v>3</v>
      </c>
      <c r="BK692" s="88">
        <v>5</v>
      </c>
      <c r="BL692" s="89">
        <v>12</v>
      </c>
      <c r="BM692" s="88">
        <v>2</v>
      </c>
      <c r="BN692" s="89">
        <v>8</v>
      </c>
      <c r="BO692" s="88">
        <v>10</v>
      </c>
      <c r="BP692" s="89">
        <v>9</v>
      </c>
      <c r="BQ692" s="88">
        <v>7</v>
      </c>
      <c r="BR692" s="89">
        <v>1</v>
      </c>
      <c r="BS692" s="88">
        <v>11</v>
      </c>
      <c r="BT692" s="89">
        <v>6</v>
      </c>
      <c r="BU692" s="88">
        <v>4</v>
      </c>
      <c r="BV692" s="221"/>
      <c r="BW692" s="89">
        <v>6</v>
      </c>
      <c r="BX692" s="88">
        <v>5</v>
      </c>
      <c r="BY692" s="89">
        <v>11</v>
      </c>
      <c r="BZ692" s="88">
        <v>9</v>
      </c>
      <c r="CA692" s="89">
        <v>7</v>
      </c>
      <c r="CB692" s="88">
        <v>1</v>
      </c>
      <c r="CC692" s="89">
        <v>2</v>
      </c>
      <c r="CD692" s="88">
        <v>12</v>
      </c>
      <c r="CE692" s="89">
        <v>3</v>
      </c>
      <c r="CF692" s="88">
        <v>8</v>
      </c>
      <c r="CG692" s="89">
        <v>10</v>
      </c>
      <c r="CH692" s="88">
        <v>4</v>
      </c>
      <c r="CI692" s="89">
        <v>13</v>
      </c>
      <c r="CJ692" s="88">
        <v>14</v>
      </c>
      <c r="CK692" s="221"/>
      <c r="CL692" s="89">
        <v>5</v>
      </c>
      <c r="CM692" s="88">
        <v>10</v>
      </c>
      <c r="CN692" s="89">
        <v>16</v>
      </c>
      <c r="CO692" s="88">
        <v>1</v>
      </c>
      <c r="CP692" s="89">
        <v>7</v>
      </c>
      <c r="CQ692" s="88">
        <v>4</v>
      </c>
      <c r="CR692" s="89">
        <v>9</v>
      </c>
      <c r="CS692" s="88">
        <v>8</v>
      </c>
      <c r="CT692" s="89">
        <v>3</v>
      </c>
      <c r="CU692" s="88">
        <v>14</v>
      </c>
      <c r="CV692" s="89">
        <v>2</v>
      </c>
      <c r="CW692" s="88">
        <v>11</v>
      </c>
      <c r="CX692" s="89">
        <v>12</v>
      </c>
      <c r="CY692" s="88">
        <v>13</v>
      </c>
      <c r="CZ692" s="89">
        <v>15</v>
      </c>
      <c r="DA692" s="88">
        <v>6</v>
      </c>
      <c r="DB692" s="221"/>
      <c r="DC692" s="89">
        <v>8</v>
      </c>
      <c r="DD692" s="88">
        <v>6</v>
      </c>
      <c r="DE692" s="89">
        <v>18</v>
      </c>
      <c r="DF692" s="88">
        <v>17</v>
      </c>
      <c r="DG692" s="89">
        <v>10</v>
      </c>
      <c r="DH692" s="88">
        <v>7</v>
      </c>
      <c r="DI692" s="89">
        <v>11</v>
      </c>
      <c r="DJ692" s="88">
        <v>4</v>
      </c>
      <c r="DK692" s="89">
        <v>5</v>
      </c>
      <c r="DL692" s="88">
        <v>15</v>
      </c>
      <c r="DM692" s="89">
        <v>2</v>
      </c>
      <c r="DN692" s="88">
        <v>9</v>
      </c>
      <c r="DO692" s="89">
        <v>12</v>
      </c>
      <c r="DP692" s="88">
        <v>16</v>
      </c>
      <c r="DQ692" s="89">
        <v>14</v>
      </c>
      <c r="DR692" s="88">
        <v>13</v>
      </c>
      <c r="DS692" s="89">
        <v>3</v>
      </c>
      <c r="DT692" s="88">
        <v>1</v>
      </c>
      <c r="DU692" s="221"/>
      <c r="DV692" s="89">
        <v>19</v>
      </c>
      <c r="DW692" s="88">
        <v>16</v>
      </c>
      <c r="DX692" s="89">
        <v>8</v>
      </c>
      <c r="DY692" s="88">
        <v>6</v>
      </c>
      <c r="DZ692" s="89">
        <v>10</v>
      </c>
      <c r="EA692" s="88">
        <v>9</v>
      </c>
      <c r="EB692" s="89">
        <v>3</v>
      </c>
      <c r="EC692" s="88">
        <v>5</v>
      </c>
      <c r="ED692" s="89">
        <v>4</v>
      </c>
      <c r="EE692" s="88">
        <v>7</v>
      </c>
      <c r="EF692" s="89">
        <v>12</v>
      </c>
      <c r="EG692" s="88">
        <v>17</v>
      </c>
      <c r="EH692" s="89">
        <v>1</v>
      </c>
      <c r="EI692" s="88">
        <v>13</v>
      </c>
      <c r="EJ692" s="89">
        <v>14</v>
      </c>
      <c r="EK692" s="88">
        <v>18</v>
      </c>
      <c r="EL692" s="89">
        <v>11</v>
      </c>
      <c r="EM692" s="88">
        <v>2</v>
      </c>
      <c r="EN692" s="89">
        <v>20</v>
      </c>
      <c r="EO692" s="88">
        <v>15</v>
      </c>
      <c r="EP692" s="221"/>
    </row>
    <row r="693" spans="28:146">
      <c r="AB693" s="74" t="s">
        <v>29</v>
      </c>
      <c r="AC693" s="72"/>
      <c r="AD693" s="89">
        <v>3</v>
      </c>
      <c r="AE693" s="88">
        <v>4</v>
      </c>
      <c r="AF693" s="89">
        <v>1</v>
      </c>
      <c r="AG693" s="88">
        <v>2</v>
      </c>
      <c r="AH693" s="90"/>
      <c r="AI693" s="75">
        <v>3</v>
      </c>
      <c r="AJ693" s="73">
        <v>5</v>
      </c>
      <c r="AK693" s="75">
        <v>1</v>
      </c>
      <c r="AL693" s="73">
        <v>4</v>
      </c>
      <c r="AM693" s="75">
        <v>2</v>
      </c>
      <c r="AN693" s="73">
        <v>6</v>
      </c>
      <c r="AO693" s="90"/>
      <c r="AP693" s="89">
        <v>8</v>
      </c>
      <c r="AQ693" s="88">
        <v>4</v>
      </c>
      <c r="AR693" s="89">
        <v>1</v>
      </c>
      <c r="AS693" s="88">
        <v>6</v>
      </c>
      <c r="AT693" s="89">
        <v>7</v>
      </c>
      <c r="AU693" s="88">
        <v>5</v>
      </c>
      <c r="AV693" s="89">
        <v>3</v>
      </c>
      <c r="AW693" s="88">
        <v>2</v>
      </c>
      <c r="AX693" s="90"/>
      <c r="AY693" s="89">
        <v>1</v>
      </c>
      <c r="AZ693" s="88">
        <v>8</v>
      </c>
      <c r="BA693" s="89">
        <v>5</v>
      </c>
      <c r="BB693" s="88">
        <v>2</v>
      </c>
      <c r="BC693" s="89">
        <v>7</v>
      </c>
      <c r="BD693" s="88">
        <v>9</v>
      </c>
      <c r="BE693" s="89">
        <v>3</v>
      </c>
      <c r="BF693" s="88">
        <v>4</v>
      </c>
      <c r="BG693" s="89">
        <v>10</v>
      </c>
      <c r="BH693" s="88">
        <v>6</v>
      </c>
      <c r="BI693" s="221"/>
      <c r="BJ693" s="89">
        <v>4</v>
      </c>
      <c r="BK693" s="88">
        <v>7</v>
      </c>
      <c r="BL693" s="89">
        <v>5</v>
      </c>
      <c r="BM693" s="88">
        <v>1</v>
      </c>
      <c r="BN693" s="89">
        <v>6</v>
      </c>
      <c r="BO693" s="88">
        <v>3</v>
      </c>
      <c r="BP693" s="89">
        <v>2</v>
      </c>
      <c r="BQ693" s="88">
        <v>10</v>
      </c>
      <c r="BR693" s="89">
        <v>12</v>
      </c>
      <c r="BS693" s="88">
        <v>9</v>
      </c>
      <c r="BT693" s="89">
        <v>8</v>
      </c>
      <c r="BU693" s="88">
        <v>11</v>
      </c>
      <c r="BV693" s="221"/>
      <c r="BW693" s="89">
        <v>4</v>
      </c>
      <c r="BX693" s="88">
        <v>6</v>
      </c>
      <c r="BY693" s="89">
        <v>9</v>
      </c>
      <c r="BZ693" s="88">
        <v>14</v>
      </c>
      <c r="CA693" s="89">
        <v>1</v>
      </c>
      <c r="CB693" s="88">
        <v>13</v>
      </c>
      <c r="CC693" s="89">
        <v>8</v>
      </c>
      <c r="CD693" s="88">
        <v>2</v>
      </c>
      <c r="CE693" s="89">
        <v>10</v>
      </c>
      <c r="CF693" s="88">
        <v>7</v>
      </c>
      <c r="CG693" s="89">
        <v>12</v>
      </c>
      <c r="CH693" s="88">
        <v>11</v>
      </c>
      <c r="CI693" s="89">
        <v>5</v>
      </c>
      <c r="CJ693" s="88">
        <v>3</v>
      </c>
      <c r="CK693" s="221"/>
      <c r="CL693" s="89">
        <v>4</v>
      </c>
      <c r="CM693" s="88">
        <v>11</v>
      </c>
      <c r="CN693" s="89">
        <v>10</v>
      </c>
      <c r="CO693" s="88">
        <v>7</v>
      </c>
      <c r="CP693" s="89">
        <v>14</v>
      </c>
      <c r="CQ693" s="88">
        <v>15</v>
      </c>
      <c r="CR693" s="89">
        <v>16</v>
      </c>
      <c r="CS693" s="88">
        <v>3</v>
      </c>
      <c r="CT693" s="89">
        <v>13</v>
      </c>
      <c r="CU693" s="88">
        <v>9</v>
      </c>
      <c r="CV693" s="89">
        <v>8</v>
      </c>
      <c r="CW693" s="88">
        <v>2</v>
      </c>
      <c r="CX693" s="89">
        <v>1</v>
      </c>
      <c r="CY693" s="88">
        <v>12</v>
      </c>
      <c r="CZ693" s="89">
        <v>6</v>
      </c>
      <c r="DA693" s="88">
        <v>5</v>
      </c>
      <c r="DB693" s="221"/>
      <c r="DC693" s="89">
        <v>4</v>
      </c>
      <c r="DD693" s="88">
        <v>9</v>
      </c>
      <c r="DE693" s="89">
        <v>6</v>
      </c>
      <c r="DF693" s="88">
        <v>10</v>
      </c>
      <c r="DG693" s="89">
        <v>13</v>
      </c>
      <c r="DH693" s="88">
        <v>5</v>
      </c>
      <c r="DI693" s="89">
        <v>16</v>
      </c>
      <c r="DJ693" s="88">
        <v>8</v>
      </c>
      <c r="DK693" s="89">
        <v>15</v>
      </c>
      <c r="DL693" s="88">
        <v>2</v>
      </c>
      <c r="DM693" s="89">
        <v>3</v>
      </c>
      <c r="DN693" s="88">
        <v>14</v>
      </c>
      <c r="DO693" s="89">
        <v>1</v>
      </c>
      <c r="DP693" s="88">
        <v>12</v>
      </c>
      <c r="DQ693" s="89">
        <v>7</v>
      </c>
      <c r="DR693" s="88">
        <v>18</v>
      </c>
      <c r="DS693" s="89">
        <v>17</v>
      </c>
      <c r="DT693" s="88">
        <v>11</v>
      </c>
      <c r="DU693" s="221"/>
      <c r="DV693" s="89">
        <v>5</v>
      </c>
      <c r="DW693" s="88">
        <v>10</v>
      </c>
      <c r="DX693" s="89">
        <v>7</v>
      </c>
      <c r="DY693" s="88">
        <v>19</v>
      </c>
      <c r="DZ693" s="89">
        <v>17</v>
      </c>
      <c r="EA693" s="88">
        <v>8</v>
      </c>
      <c r="EB693" s="89">
        <v>6</v>
      </c>
      <c r="EC693" s="88">
        <v>4</v>
      </c>
      <c r="ED693" s="89">
        <v>9</v>
      </c>
      <c r="EE693" s="88">
        <v>14</v>
      </c>
      <c r="EF693" s="89">
        <v>2</v>
      </c>
      <c r="EG693" s="88">
        <v>20</v>
      </c>
      <c r="EH693" s="89">
        <v>15</v>
      </c>
      <c r="EI693" s="88">
        <v>13</v>
      </c>
      <c r="EJ693" s="89">
        <v>18</v>
      </c>
      <c r="EK693" s="88">
        <v>11</v>
      </c>
      <c r="EL693" s="89">
        <v>16</v>
      </c>
      <c r="EM693" s="88">
        <v>1</v>
      </c>
      <c r="EN693" s="89">
        <v>12</v>
      </c>
      <c r="EO693" s="88">
        <v>3</v>
      </c>
      <c r="EP693" s="221"/>
    </row>
    <row r="694" spans="28:146">
      <c r="AB694" s="74" t="s">
        <v>30</v>
      </c>
      <c r="AC694" s="72"/>
      <c r="AD694" s="89">
        <v>2</v>
      </c>
      <c r="AE694" s="88">
        <v>3</v>
      </c>
      <c r="AF694" s="89">
        <v>1</v>
      </c>
      <c r="AG694" s="88">
        <v>4</v>
      </c>
      <c r="AH694" s="90"/>
      <c r="AI694" s="75">
        <v>4</v>
      </c>
      <c r="AJ694" s="73">
        <v>2</v>
      </c>
      <c r="AK694" s="75">
        <v>1</v>
      </c>
      <c r="AL694" s="73">
        <v>3</v>
      </c>
      <c r="AM694" s="75">
        <v>6</v>
      </c>
      <c r="AN694" s="73">
        <v>5</v>
      </c>
      <c r="AO694" s="90"/>
      <c r="AP694" s="89">
        <v>4</v>
      </c>
      <c r="AQ694" s="88">
        <v>6</v>
      </c>
      <c r="AR694" s="89">
        <v>1</v>
      </c>
      <c r="AS694" s="88">
        <v>5</v>
      </c>
      <c r="AT694" s="89">
        <v>7</v>
      </c>
      <c r="AU694" s="88">
        <v>3</v>
      </c>
      <c r="AV694" s="89">
        <v>8</v>
      </c>
      <c r="AW694" s="88">
        <v>2</v>
      </c>
      <c r="AX694" s="90"/>
      <c r="AY694" s="89">
        <v>2</v>
      </c>
      <c r="AZ694" s="88">
        <v>3</v>
      </c>
      <c r="BA694" s="89">
        <v>6</v>
      </c>
      <c r="BB694" s="88">
        <v>8</v>
      </c>
      <c r="BC694" s="89">
        <v>4</v>
      </c>
      <c r="BD694" s="88">
        <v>10</v>
      </c>
      <c r="BE694" s="89">
        <v>9</v>
      </c>
      <c r="BF694" s="88">
        <v>5</v>
      </c>
      <c r="BG694" s="89">
        <v>7</v>
      </c>
      <c r="BH694" s="88">
        <v>1</v>
      </c>
      <c r="BI694" s="221"/>
      <c r="BJ694" s="89">
        <v>8</v>
      </c>
      <c r="BK694" s="88">
        <v>6</v>
      </c>
      <c r="BL694" s="89">
        <v>10</v>
      </c>
      <c r="BM694" s="88">
        <v>12</v>
      </c>
      <c r="BN694" s="89">
        <v>9</v>
      </c>
      <c r="BO694" s="88">
        <v>11</v>
      </c>
      <c r="BP694" s="89">
        <v>1</v>
      </c>
      <c r="BQ694" s="88">
        <v>3</v>
      </c>
      <c r="BR694" s="89">
        <v>2</v>
      </c>
      <c r="BS694" s="88">
        <v>4</v>
      </c>
      <c r="BT694" s="89">
        <v>7</v>
      </c>
      <c r="BU694" s="88">
        <v>5</v>
      </c>
      <c r="BV694" s="221"/>
      <c r="BW694" s="89">
        <v>2</v>
      </c>
      <c r="BX694" s="88">
        <v>5</v>
      </c>
      <c r="BY694" s="89">
        <v>11</v>
      </c>
      <c r="BZ694" s="88">
        <v>8</v>
      </c>
      <c r="CA694" s="89">
        <v>7</v>
      </c>
      <c r="CB694" s="88">
        <v>4</v>
      </c>
      <c r="CC694" s="89">
        <v>14</v>
      </c>
      <c r="CD694" s="88">
        <v>12</v>
      </c>
      <c r="CE694" s="89">
        <v>3</v>
      </c>
      <c r="CF694" s="88">
        <v>6</v>
      </c>
      <c r="CG694" s="89">
        <v>1</v>
      </c>
      <c r="CH694" s="88">
        <v>9</v>
      </c>
      <c r="CI694" s="89">
        <v>13</v>
      </c>
      <c r="CJ694" s="88">
        <v>10</v>
      </c>
      <c r="CK694" s="221"/>
      <c r="CL694" s="89">
        <v>9</v>
      </c>
      <c r="CM694" s="88">
        <v>12</v>
      </c>
      <c r="CN694" s="89">
        <v>7</v>
      </c>
      <c r="CO694" s="88">
        <v>6</v>
      </c>
      <c r="CP694" s="89">
        <v>2</v>
      </c>
      <c r="CQ694" s="88">
        <v>13</v>
      </c>
      <c r="CR694" s="89">
        <v>8</v>
      </c>
      <c r="CS694" s="88">
        <v>4</v>
      </c>
      <c r="CT694" s="89">
        <v>3</v>
      </c>
      <c r="CU694" s="88">
        <v>1</v>
      </c>
      <c r="CV694" s="89">
        <v>15</v>
      </c>
      <c r="CW694" s="88">
        <v>16</v>
      </c>
      <c r="CX694" s="89">
        <v>11</v>
      </c>
      <c r="CY694" s="88">
        <v>10</v>
      </c>
      <c r="CZ694" s="89">
        <v>5</v>
      </c>
      <c r="DA694" s="88">
        <v>14</v>
      </c>
      <c r="DB694" s="221"/>
      <c r="DC694" s="89">
        <v>8</v>
      </c>
      <c r="DD694" s="88">
        <v>12</v>
      </c>
      <c r="DE694" s="89">
        <v>18</v>
      </c>
      <c r="DF694" s="88">
        <v>6</v>
      </c>
      <c r="DG694" s="89">
        <v>5</v>
      </c>
      <c r="DH694" s="88">
        <v>3</v>
      </c>
      <c r="DI694" s="89">
        <v>2</v>
      </c>
      <c r="DJ694" s="88">
        <v>13</v>
      </c>
      <c r="DK694" s="89">
        <v>11</v>
      </c>
      <c r="DL694" s="88">
        <v>7</v>
      </c>
      <c r="DM694" s="89">
        <v>14</v>
      </c>
      <c r="DN694" s="88">
        <v>1</v>
      </c>
      <c r="DO694" s="89">
        <v>15</v>
      </c>
      <c r="DP694" s="88">
        <v>4</v>
      </c>
      <c r="DQ694" s="89">
        <v>9</v>
      </c>
      <c r="DR694" s="88">
        <v>17</v>
      </c>
      <c r="DS694" s="89">
        <v>10</v>
      </c>
      <c r="DT694" s="88">
        <v>16</v>
      </c>
      <c r="DU694" s="221"/>
      <c r="DV694" s="89">
        <v>11</v>
      </c>
      <c r="DW694" s="88">
        <v>9</v>
      </c>
      <c r="DX694" s="89">
        <v>10</v>
      </c>
      <c r="DY694" s="88">
        <v>12</v>
      </c>
      <c r="DZ694" s="89">
        <v>19</v>
      </c>
      <c r="EA694" s="88">
        <v>6</v>
      </c>
      <c r="EB694" s="89">
        <v>17</v>
      </c>
      <c r="EC694" s="88">
        <v>3</v>
      </c>
      <c r="ED694" s="89">
        <v>14</v>
      </c>
      <c r="EE694" s="88">
        <v>5</v>
      </c>
      <c r="EF694" s="89">
        <v>16</v>
      </c>
      <c r="EG694" s="88">
        <v>15</v>
      </c>
      <c r="EH694" s="89">
        <v>4</v>
      </c>
      <c r="EI694" s="88">
        <v>8</v>
      </c>
      <c r="EJ694" s="89">
        <v>20</v>
      </c>
      <c r="EK694" s="88">
        <v>18</v>
      </c>
      <c r="EL694" s="89">
        <v>1</v>
      </c>
      <c r="EM694" s="88">
        <v>7</v>
      </c>
      <c r="EN694" s="89">
        <v>13</v>
      </c>
      <c r="EO694" s="88">
        <v>2</v>
      </c>
      <c r="EP694" s="221"/>
    </row>
    <row r="695" spans="28:146">
      <c r="AB695" s="74" t="s">
        <v>31</v>
      </c>
      <c r="AC695" s="72"/>
      <c r="AD695" s="89">
        <v>4</v>
      </c>
      <c r="AE695" s="88">
        <v>2</v>
      </c>
      <c r="AF695" s="89">
        <v>3</v>
      </c>
      <c r="AG695" s="88">
        <v>1</v>
      </c>
      <c r="AH695" s="90"/>
      <c r="AI695" s="75">
        <v>5</v>
      </c>
      <c r="AJ695" s="73">
        <v>4</v>
      </c>
      <c r="AK695" s="75">
        <v>3</v>
      </c>
      <c r="AL695" s="73">
        <v>6</v>
      </c>
      <c r="AM695" s="75">
        <v>1</v>
      </c>
      <c r="AN695" s="73">
        <v>2</v>
      </c>
      <c r="AO695" s="90"/>
      <c r="AP695" s="89">
        <v>8</v>
      </c>
      <c r="AQ695" s="88">
        <v>7</v>
      </c>
      <c r="AR695" s="89">
        <v>6</v>
      </c>
      <c r="AS695" s="88">
        <v>2</v>
      </c>
      <c r="AT695" s="89">
        <v>3</v>
      </c>
      <c r="AU695" s="88">
        <v>5</v>
      </c>
      <c r="AV695" s="89">
        <v>4</v>
      </c>
      <c r="AW695" s="88">
        <v>1</v>
      </c>
      <c r="AX695" s="90"/>
      <c r="AY695" s="89">
        <v>1</v>
      </c>
      <c r="AZ695" s="88">
        <v>6</v>
      </c>
      <c r="BA695" s="89">
        <v>8</v>
      </c>
      <c r="BB695" s="88">
        <v>4</v>
      </c>
      <c r="BC695" s="89">
        <v>10</v>
      </c>
      <c r="BD695" s="88">
        <v>2</v>
      </c>
      <c r="BE695" s="89">
        <v>3</v>
      </c>
      <c r="BF695" s="88">
        <v>9</v>
      </c>
      <c r="BG695" s="89">
        <v>5</v>
      </c>
      <c r="BH695" s="88">
        <v>7</v>
      </c>
      <c r="BI695" s="221"/>
      <c r="BJ695" s="89">
        <v>12</v>
      </c>
      <c r="BK695" s="88">
        <v>3</v>
      </c>
      <c r="BL695" s="89">
        <v>4</v>
      </c>
      <c r="BM695" s="88">
        <v>9</v>
      </c>
      <c r="BN695" s="89">
        <v>2</v>
      </c>
      <c r="BO695" s="88">
        <v>7</v>
      </c>
      <c r="BP695" s="89">
        <v>11</v>
      </c>
      <c r="BQ695" s="88">
        <v>6</v>
      </c>
      <c r="BR695" s="89">
        <v>8</v>
      </c>
      <c r="BS695" s="88">
        <v>5</v>
      </c>
      <c r="BT695" s="89">
        <v>10</v>
      </c>
      <c r="BU695" s="88">
        <v>1</v>
      </c>
      <c r="BV695" s="221"/>
      <c r="BW695" s="89">
        <v>6</v>
      </c>
      <c r="BX695" s="88">
        <v>2</v>
      </c>
      <c r="BY695" s="89">
        <v>12</v>
      </c>
      <c r="BZ695" s="88">
        <v>1</v>
      </c>
      <c r="CA695" s="89">
        <v>7</v>
      </c>
      <c r="CB695" s="88">
        <v>13</v>
      </c>
      <c r="CC695" s="89">
        <v>9</v>
      </c>
      <c r="CD695" s="88">
        <v>10</v>
      </c>
      <c r="CE695" s="89">
        <v>4</v>
      </c>
      <c r="CF695" s="88">
        <v>3</v>
      </c>
      <c r="CG695" s="89">
        <v>8</v>
      </c>
      <c r="CH695" s="88">
        <v>14</v>
      </c>
      <c r="CI695" s="89">
        <v>5</v>
      </c>
      <c r="CJ695" s="88">
        <v>11</v>
      </c>
      <c r="CK695" s="221"/>
      <c r="CL695" s="89">
        <v>4</v>
      </c>
      <c r="CM695" s="88">
        <v>13</v>
      </c>
      <c r="CN695" s="89">
        <v>12</v>
      </c>
      <c r="CO695" s="88">
        <v>2</v>
      </c>
      <c r="CP695" s="89">
        <v>10</v>
      </c>
      <c r="CQ695" s="88">
        <v>8</v>
      </c>
      <c r="CR695" s="89">
        <v>16</v>
      </c>
      <c r="CS695" s="88">
        <v>5</v>
      </c>
      <c r="CT695" s="89">
        <v>1</v>
      </c>
      <c r="CU695" s="88">
        <v>9</v>
      </c>
      <c r="CV695" s="89">
        <v>6</v>
      </c>
      <c r="CW695" s="88">
        <v>11</v>
      </c>
      <c r="CX695" s="89">
        <v>14</v>
      </c>
      <c r="CY695" s="88">
        <v>7</v>
      </c>
      <c r="CZ695" s="89">
        <v>3</v>
      </c>
      <c r="DA695" s="88">
        <v>15</v>
      </c>
      <c r="DB695" s="221"/>
      <c r="DC695" s="89">
        <v>7</v>
      </c>
      <c r="DD695" s="88">
        <v>9</v>
      </c>
      <c r="DE695" s="89">
        <v>17</v>
      </c>
      <c r="DF695" s="88">
        <v>15</v>
      </c>
      <c r="DG695" s="89">
        <v>16</v>
      </c>
      <c r="DH695" s="88">
        <v>18</v>
      </c>
      <c r="DI695" s="89">
        <v>1</v>
      </c>
      <c r="DJ695" s="88">
        <v>8</v>
      </c>
      <c r="DK695" s="89">
        <v>3</v>
      </c>
      <c r="DL695" s="88">
        <v>2</v>
      </c>
      <c r="DM695" s="89">
        <v>12</v>
      </c>
      <c r="DN695" s="88">
        <v>10</v>
      </c>
      <c r="DO695" s="89">
        <v>14</v>
      </c>
      <c r="DP695" s="88">
        <v>5</v>
      </c>
      <c r="DQ695" s="89">
        <v>6</v>
      </c>
      <c r="DR695" s="88">
        <v>11</v>
      </c>
      <c r="DS695" s="89">
        <v>4</v>
      </c>
      <c r="DT695" s="88">
        <v>13</v>
      </c>
      <c r="DU695" s="221"/>
      <c r="DV695" s="89">
        <v>17</v>
      </c>
      <c r="DW695" s="88">
        <v>4</v>
      </c>
      <c r="DX695" s="89">
        <v>6</v>
      </c>
      <c r="DY695" s="88">
        <v>1</v>
      </c>
      <c r="DZ695" s="89">
        <v>12</v>
      </c>
      <c r="EA695" s="88">
        <v>14</v>
      </c>
      <c r="EB695" s="89">
        <v>18</v>
      </c>
      <c r="EC695" s="88">
        <v>13</v>
      </c>
      <c r="ED695" s="89">
        <v>9</v>
      </c>
      <c r="EE695" s="88">
        <v>20</v>
      </c>
      <c r="EF695" s="89">
        <v>15</v>
      </c>
      <c r="EG695" s="88">
        <v>7</v>
      </c>
      <c r="EH695" s="89">
        <v>2</v>
      </c>
      <c r="EI695" s="88">
        <v>16</v>
      </c>
      <c r="EJ695" s="89">
        <v>8</v>
      </c>
      <c r="EK695" s="88">
        <v>19</v>
      </c>
      <c r="EL695" s="89">
        <v>5</v>
      </c>
      <c r="EM695" s="88">
        <v>11</v>
      </c>
      <c r="EN695" s="89">
        <v>3</v>
      </c>
      <c r="EO695" s="88">
        <v>10</v>
      </c>
      <c r="EP695" s="221"/>
    </row>
    <row r="696" spans="28:146">
      <c r="AB696" s="74" t="s">
        <v>32</v>
      </c>
      <c r="AC696" s="72"/>
      <c r="AD696" s="89">
        <v>2</v>
      </c>
      <c r="AE696" s="88">
        <v>1</v>
      </c>
      <c r="AF696" s="89">
        <v>4</v>
      </c>
      <c r="AG696" s="88">
        <v>3</v>
      </c>
      <c r="AH696" s="90"/>
      <c r="AI696" s="75">
        <v>4</v>
      </c>
      <c r="AJ696" s="73">
        <v>3</v>
      </c>
      <c r="AK696" s="75">
        <v>1</v>
      </c>
      <c r="AL696" s="73">
        <v>6</v>
      </c>
      <c r="AM696" s="75">
        <v>2</v>
      </c>
      <c r="AN696" s="73">
        <v>5</v>
      </c>
      <c r="AO696" s="90"/>
      <c r="AP696" s="89">
        <v>1</v>
      </c>
      <c r="AQ696" s="88">
        <v>3</v>
      </c>
      <c r="AR696" s="89">
        <v>5</v>
      </c>
      <c r="AS696" s="88">
        <v>8</v>
      </c>
      <c r="AT696" s="89">
        <v>2</v>
      </c>
      <c r="AU696" s="88">
        <v>4</v>
      </c>
      <c r="AV696" s="89">
        <v>6</v>
      </c>
      <c r="AW696" s="88">
        <v>7</v>
      </c>
      <c r="AX696" s="90"/>
      <c r="AY696" s="89">
        <v>2</v>
      </c>
      <c r="AZ696" s="88">
        <v>8</v>
      </c>
      <c r="BA696" s="89">
        <v>9</v>
      </c>
      <c r="BB696" s="88">
        <v>10</v>
      </c>
      <c r="BC696" s="89">
        <v>7</v>
      </c>
      <c r="BD696" s="88">
        <v>3</v>
      </c>
      <c r="BE696" s="89">
        <v>5</v>
      </c>
      <c r="BF696" s="88">
        <v>1</v>
      </c>
      <c r="BG696" s="89">
        <v>4</v>
      </c>
      <c r="BH696" s="88">
        <v>6</v>
      </c>
      <c r="BI696" s="221"/>
      <c r="BJ696" s="89">
        <v>2</v>
      </c>
      <c r="BK696" s="88">
        <v>8</v>
      </c>
      <c r="BL696" s="89">
        <v>6</v>
      </c>
      <c r="BM696" s="88">
        <v>10</v>
      </c>
      <c r="BN696" s="89">
        <v>4</v>
      </c>
      <c r="BO696" s="88">
        <v>1</v>
      </c>
      <c r="BP696" s="89">
        <v>5</v>
      </c>
      <c r="BQ696" s="88">
        <v>9</v>
      </c>
      <c r="BR696" s="89">
        <v>11</v>
      </c>
      <c r="BS696" s="88">
        <v>3</v>
      </c>
      <c r="BT696" s="89">
        <v>12</v>
      </c>
      <c r="BU696" s="88">
        <v>7</v>
      </c>
      <c r="BV696" s="221"/>
      <c r="BW696" s="89">
        <v>13</v>
      </c>
      <c r="BX696" s="88">
        <v>4</v>
      </c>
      <c r="BY696" s="89">
        <v>1</v>
      </c>
      <c r="BZ696" s="88">
        <v>8</v>
      </c>
      <c r="CA696" s="89">
        <v>11</v>
      </c>
      <c r="CB696" s="88">
        <v>6</v>
      </c>
      <c r="CC696" s="89">
        <v>14</v>
      </c>
      <c r="CD696" s="88">
        <v>5</v>
      </c>
      <c r="CE696" s="89">
        <v>10</v>
      </c>
      <c r="CF696" s="88">
        <v>12</v>
      </c>
      <c r="CG696" s="89">
        <v>7</v>
      </c>
      <c r="CH696" s="88">
        <v>9</v>
      </c>
      <c r="CI696" s="89">
        <v>2</v>
      </c>
      <c r="CJ696" s="88">
        <v>3</v>
      </c>
      <c r="CK696" s="221"/>
      <c r="CL696" s="89">
        <v>11</v>
      </c>
      <c r="CM696" s="88">
        <v>14</v>
      </c>
      <c r="CN696" s="89">
        <v>5</v>
      </c>
      <c r="CO696" s="88">
        <v>3</v>
      </c>
      <c r="CP696" s="89">
        <v>8</v>
      </c>
      <c r="CQ696" s="88">
        <v>6</v>
      </c>
      <c r="CR696" s="89">
        <v>15</v>
      </c>
      <c r="CS696" s="88">
        <v>1</v>
      </c>
      <c r="CT696" s="89">
        <v>13</v>
      </c>
      <c r="CU696" s="88">
        <v>10</v>
      </c>
      <c r="CV696" s="89">
        <v>12</v>
      </c>
      <c r="CW696" s="88">
        <v>4</v>
      </c>
      <c r="CX696" s="89">
        <v>2</v>
      </c>
      <c r="CY696" s="88">
        <v>9</v>
      </c>
      <c r="CZ696" s="89">
        <v>7</v>
      </c>
      <c r="DA696" s="88">
        <v>16</v>
      </c>
      <c r="DB696" s="221"/>
      <c r="DC696" s="89">
        <v>13</v>
      </c>
      <c r="DD696" s="88">
        <v>17</v>
      </c>
      <c r="DE696" s="89">
        <v>9</v>
      </c>
      <c r="DF696" s="88">
        <v>6</v>
      </c>
      <c r="DG696" s="89">
        <v>10</v>
      </c>
      <c r="DH696" s="88">
        <v>8</v>
      </c>
      <c r="DI696" s="89">
        <v>15</v>
      </c>
      <c r="DJ696" s="88">
        <v>7</v>
      </c>
      <c r="DK696" s="89">
        <v>3</v>
      </c>
      <c r="DL696" s="88">
        <v>4</v>
      </c>
      <c r="DM696" s="89">
        <v>2</v>
      </c>
      <c r="DN696" s="88">
        <v>14</v>
      </c>
      <c r="DO696" s="89">
        <v>5</v>
      </c>
      <c r="DP696" s="88">
        <v>1</v>
      </c>
      <c r="DQ696" s="89">
        <v>11</v>
      </c>
      <c r="DR696" s="88">
        <v>16</v>
      </c>
      <c r="DS696" s="89">
        <v>18</v>
      </c>
      <c r="DT696" s="88">
        <v>12</v>
      </c>
      <c r="DU696" s="221"/>
      <c r="DV696" s="89">
        <v>20</v>
      </c>
      <c r="DW696" s="88">
        <v>5</v>
      </c>
      <c r="DX696" s="89">
        <v>19</v>
      </c>
      <c r="DY696" s="88">
        <v>4</v>
      </c>
      <c r="DZ696" s="89">
        <v>1</v>
      </c>
      <c r="EA696" s="88">
        <v>8</v>
      </c>
      <c r="EB696" s="89">
        <v>16</v>
      </c>
      <c r="EC696" s="88">
        <v>18</v>
      </c>
      <c r="ED696" s="89">
        <v>3</v>
      </c>
      <c r="EE696" s="88">
        <v>14</v>
      </c>
      <c r="EF696" s="89">
        <v>6</v>
      </c>
      <c r="EG696" s="88">
        <v>15</v>
      </c>
      <c r="EH696" s="89">
        <v>11</v>
      </c>
      <c r="EI696" s="88">
        <v>12</v>
      </c>
      <c r="EJ696" s="89">
        <v>7</v>
      </c>
      <c r="EK696" s="88">
        <v>2</v>
      </c>
      <c r="EL696" s="89">
        <v>13</v>
      </c>
      <c r="EM696" s="88">
        <v>9</v>
      </c>
      <c r="EN696" s="89">
        <v>10</v>
      </c>
      <c r="EO696" s="88">
        <v>17</v>
      </c>
      <c r="EP696" s="221"/>
    </row>
    <row r="697" spans="28:146">
      <c r="AB697" s="74" t="s">
        <v>33</v>
      </c>
      <c r="AC697" s="72"/>
      <c r="AD697" s="89">
        <v>3</v>
      </c>
      <c r="AE697" s="88">
        <v>2</v>
      </c>
      <c r="AF697" s="89">
        <v>4</v>
      </c>
      <c r="AG697" s="88">
        <v>1</v>
      </c>
      <c r="AH697" s="90"/>
      <c r="AI697" s="75">
        <v>1</v>
      </c>
      <c r="AJ697" s="73">
        <v>5</v>
      </c>
      <c r="AK697" s="75">
        <v>3</v>
      </c>
      <c r="AL697" s="73">
        <v>2</v>
      </c>
      <c r="AM697" s="75">
        <v>6</v>
      </c>
      <c r="AN697" s="73">
        <v>4</v>
      </c>
      <c r="AO697" s="90"/>
      <c r="AP697" s="89">
        <v>5</v>
      </c>
      <c r="AQ697" s="88">
        <v>6</v>
      </c>
      <c r="AR697" s="89">
        <v>7</v>
      </c>
      <c r="AS697" s="88">
        <v>4</v>
      </c>
      <c r="AT697" s="89">
        <v>1</v>
      </c>
      <c r="AU697" s="88">
        <v>2</v>
      </c>
      <c r="AV697" s="89">
        <v>3</v>
      </c>
      <c r="AW697" s="88">
        <v>8</v>
      </c>
      <c r="AX697" s="90"/>
      <c r="AY697" s="89">
        <v>7</v>
      </c>
      <c r="AZ697" s="88">
        <v>10</v>
      </c>
      <c r="BA697" s="89">
        <v>8</v>
      </c>
      <c r="BB697" s="88">
        <v>9</v>
      </c>
      <c r="BC697" s="89">
        <v>1</v>
      </c>
      <c r="BD697" s="88">
        <v>4</v>
      </c>
      <c r="BE697" s="89">
        <v>6</v>
      </c>
      <c r="BF697" s="88">
        <v>2</v>
      </c>
      <c r="BG697" s="89">
        <v>3</v>
      </c>
      <c r="BH697" s="88">
        <v>5</v>
      </c>
      <c r="BI697" s="221"/>
      <c r="BJ697" s="89">
        <v>9</v>
      </c>
      <c r="BK697" s="88">
        <v>1</v>
      </c>
      <c r="BL697" s="89">
        <v>7</v>
      </c>
      <c r="BM697" s="88">
        <v>11</v>
      </c>
      <c r="BN697" s="89">
        <v>3</v>
      </c>
      <c r="BO697" s="88">
        <v>10</v>
      </c>
      <c r="BP697" s="89">
        <v>6</v>
      </c>
      <c r="BQ697" s="88">
        <v>12</v>
      </c>
      <c r="BR697" s="89">
        <v>5</v>
      </c>
      <c r="BS697" s="88">
        <v>2</v>
      </c>
      <c r="BT697" s="89">
        <v>4</v>
      </c>
      <c r="BU697" s="88">
        <v>8</v>
      </c>
      <c r="BV697" s="221"/>
      <c r="BW697" s="89">
        <v>9</v>
      </c>
      <c r="BX697" s="88">
        <v>13</v>
      </c>
      <c r="BY697" s="89">
        <v>5</v>
      </c>
      <c r="BZ697" s="88">
        <v>1</v>
      </c>
      <c r="CA697" s="89">
        <v>8</v>
      </c>
      <c r="CB697" s="88">
        <v>10</v>
      </c>
      <c r="CC697" s="89">
        <v>6</v>
      </c>
      <c r="CD697" s="88">
        <v>14</v>
      </c>
      <c r="CE697" s="89">
        <v>4</v>
      </c>
      <c r="CF697" s="88">
        <v>2</v>
      </c>
      <c r="CG697" s="89">
        <v>3</v>
      </c>
      <c r="CH697" s="88">
        <v>11</v>
      </c>
      <c r="CI697" s="89">
        <v>12</v>
      </c>
      <c r="CJ697" s="88">
        <v>7</v>
      </c>
      <c r="CK697" s="221"/>
      <c r="CL697" s="89">
        <v>10</v>
      </c>
      <c r="CM697" s="88">
        <v>12</v>
      </c>
      <c r="CN697" s="89">
        <v>14</v>
      </c>
      <c r="CO697" s="88">
        <v>8</v>
      </c>
      <c r="CP697" s="89">
        <v>4</v>
      </c>
      <c r="CQ697" s="88">
        <v>9</v>
      </c>
      <c r="CR697" s="89">
        <v>1</v>
      </c>
      <c r="CS697" s="88">
        <v>2</v>
      </c>
      <c r="CT697" s="89">
        <v>3</v>
      </c>
      <c r="CU697" s="88">
        <v>7</v>
      </c>
      <c r="CV697" s="89">
        <v>15</v>
      </c>
      <c r="CW697" s="88">
        <v>5</v>
      </c>
      <c r="CX697" s="89">
        <v>6</v>
      </c>
      <c r="CY697" s="88">
        <v>13</v>
      </c>
      <c r="CZ697" s="89">
        <v>16</v>
      </c>
      <c r="DA697" s="88">
        <v>11</v>
      </c>
      <c r="DB697" s="221"/>
      <c r="DC697" s="89">
        <v>7</v>
      </c>
      <c r="DD697" s="88">
        <v>13</v>
      </c>
      <c r="DE697" s="89">
        <v>16</v>
      </c>
      <c r="DF697" s="88">
        <v>9</v>
      </c>
      <c r="DG697" s="89">
        <v>12</v>
      </c>
      <c r="DH697" s="88">
        <v>11</v>
      </c>
      <c r="DI697" s="89">
        <v>14</v>
      </c>
      <c r="DJ697" s="88">
        <v>4</v>
      </c>
      <c r="DK697" s="89">
        <v>5</v>
      </c>
      <c r="DL697" s="88">
        <v>2</v>
      </c>
      <c r="DM697" s="89">
        <v>6</v>
      </c>
      <c r="DN697" s="88">
        <v>15</v>
      </c>
      <c r="DO697" s="89">
        <v>8</v>
      </c>
      <c r="DP697" s="88">
        <v>18</v>
      </c>
      <c r="DQ697" s="89">
        <v>1</v>
      </c>
      <c r="DR697" s="88">
        <v>10</v>
      </c>
      <c r="DS697" s="89">
        <v>17</v>
      </c>
      <c r="DT697" s="88">
        <v>3</v>
      </c>
      <c r="DU697" s="221"/>
      <c r="DV697" s="89">
        <v>14</v>
      </c>
      <c r="DW697" s="88">
        <v>10</v>
      </c>
      <c r="DX697" s="89">
        <v>5</v>
      </c>
      <c r="DY697" s="88">
        <v>13</v>
      </c>
      <c r="DZ697" s="89">
        <v>9</v>
      </c>
      <c r="EA697" s="88">
        <v>16</v>
      </c>
      <c r="EB697" s="89">
        <v>3</v>
      </c>
      <c r="EC697" s="88">
        <v>11</v>
      </c>
      <c r="ED697" s="89">
        <v>4</v>
      </c>
      <c r="EE697" s="88">
        <v>1</v>
      </c>
      <c r="EF697" s="89">
        <v>12</v>
      </c>
      <c r="EG697" s="88">
        <v>20</v>
      </c>
      <c r="EH697" s="89">
        <v>2</v>
      </c>
      <c r="EI697" s="88">
        <v>6</v>
      </c>
      <c r="EJ697" s="89">
        <v>18</v>
      </c>
      <c r="EK697" s="88">
        <v>7</v>
      </c>
      <c r="EL697" s="89">
        <v>15</v>
      </c>
      <c r="EM697" s="88">
        <v>8</v>
      </c>
      <c r="EN697" s="89">
        <v>17</v>
      </c>
      <c r="EO697" s="88">
        <v>19</v>
      </c>
      <c r="EP697" s="221"/>
    </row>
    <row r="698" spans="28:146">
      <c r="AB698" s="74" t="s">
        <v>34</v>
      </c>
      <c r="AC698" s="72"/>
      <c r="AD698" s="89">
        <v>2</v>
      </c>
      <c r="AE698" s="88">
        <v>4</v>
      </c>
      <c r="AF698" s="89">
        <v>1</v>
      </c>
      <c r="AG698" s="88">
        <v>3</v>
      </c>
      <c r="AH698" s="90"/>
      <c r="AI698" s="75">
        <v>6</v>
      </c>
      <c r="AJ698" s="73">
        <v>2</v>
      </c>
      <c r="AK698" s="75">
        <v>5</v>
      </c>
      <c r="AL698" s="73">
        <v>3</v>
      </c>
      <c r="AM698" s="75">
        <v>4</v>
      </c>
      <c r="AN698" s="73">
        <v>1</v>
      </c>
      <c r="AO698" s="90"/>
      <c r="AP698" s="89">
        <v>4</v>
      </c>
      <c r="AQ698" s="88">
        <v>5</v>
      </c>
      <c r="AR698" s="89">
        <v>6</v>
      </c>
      <c r="AS698" s="88">
        <v>3</v>
      </c>
      <c r="AT698" s="89">
        <v>2</v>
      </c>
      <c r="AU698" s="88">
        <v>7</v>
      </c>
      <c r="AV698" s="89">
        <v>1</v>
      </c>
      <c r="AW698" s="88">
        <v>8</v>
      </c>
      <c r="AX698" s="90"/>
      <c r="AY698" s="89">
        <v>9</v>
      </c>
      <c r="AZ698" s="88">
        <v>6</v>
      </c>
      <c r="BA698" s="89">
        <v>3</v>
      </c>
      <c r="BB698" s="88">
        <v>1</v>
      </c>
      <c r="BC698" s="89">
        <v>10</v>
      </c>
      <c r="BD698" s="88">
        <v>5</v>
      </c>
      <c r="BE698" s="89">
        <v>2</v>
      </c>
      <c r="BF698" s="88">
        <v>4</v>
      </c>
      <c r="BG698" s="89">
        <v>8</v>
      </c>
      <c r="BH698" s="88">
        <v>7</v>
      </c>
      <c r="BI698" s="221"/>
      <c r="BJ698" s="89">
        <v>11</v>
      </c>
      <c r="BK698" s="88">
        <v>4</v>
      </c>
      <c r="BL698" s="89">
        <v>2</v>
      </c>
      <c r="BM698" s="88">
        <v>6</v>
      </c>
      <c r="BN698" s="89">
        <v>12</v>
      </c>
      <c r="BO698" s="88">
        <v>5</v>
      </c>
      <c r="BP698" s="89">
        <v>8</v>
      </c>
      <c r="BQ698" s="88">
        <v>1</v>
      </c>
      <c r="BR698" s="89">
        <v>10</v>
      </c>
      <c r="BS698" s="88">
        <v>7</v>
      </c>
      <c r="BT698" s="89">
        <v>3</v>
      </c>
      <c r="BU698" s="88">
        <v>9</v>
      </c>
      <c r="BV698" s="221"/>
      <c r="BW698" s="89">
        <v>9</v>
      </c>
      <c r="BX698" s="88">
        <v>4</v>
      </c>
      <c r="BY698" s="89">
        <v>10</v>
      </c>
      <c r="BZ698" s="88">
        <v>5</v>
      </c>
      <c r="CA698" s="89">
        <v>14</v>
      </c>
      <c r="CB698" s="88">
        <v>3</v>
      </c>
      <c r="CC698" s="89">
        <v>11</v>
      </c>
      <c r="CD698" s="88">
        <v>2</v>
      </c>
      <c r="CE698" s="89">
        <v>13</v>
      </c>
      <c r="CF698" s="88">
        <v>12</v>
      </c>
      <c r="CG698" s="89">
        <v>1</v>
      </c>
      <c r="CH698" s="88">
        <v>6</v>
      </c>
      <c r="CI698" s="89">
        <v>7</v>
      </c>
      <c r="CJ698" s="88">
        <v>8</v>
      </c>
      <c r="CK698" s="221"/>
      <c r="CL698" s="89">
        <v>8</v>
      </c>
      <c r="CM698" s="88">
        <v>16</v>
      </c>
      <c r="CN698" s="89">
        <v>2</v>
      </c>
      <c r="CO698" s="88">
        <v>4</v>
      </c>
      <c r="CP698" s="89">
        <v>7</v>
      </c>
      <c r="CQ698" s="88">
        <v>15</v>
      </c>
      <c r="CR698" s="89">
        <v>1</v>
      </c>
      <c r="CS698" s="88">
        <v>5</v>
      </c>
      <c r="CT698" s="89">
        <v>12</v>
      </c>
      <c r="CU698" s="88">
        <v>6</v>
      </c>
      <c r="CV698" s="89">
        <v>13</v>
      </c>
      <c r="CW698" s="88">
        <v>14</v>
      </c>
      <c r="CX698" s="89">
        <v>11</v>
      </c>
      <c r="CY698" s="88">
        <v>3</v>
      </c>
      <c r="CZ698" s="89">
        <v>9</v>
      </c>
      <c r="DA698" s="88">
        <v>10</v>
      </c>
      <c r="DB698" s="221"/>
      <c r="DC698" s="89">
        <v>4</v>
      </c>
      <c r="DD698" s="88">
        <v>5</v>
      </c>
      <c r="DE698" s="89">
        <v>9</v>
      </c>
      <c r="DF698" s="88">
        <v>12</v>
      </c>
      <c r="DG698" s="89">
        <v>3</v>
      </c>
      <c r="DH698" s="88">
        <v>7</v>
      </c>
      <c r="DI698" s="89">
        <v>18</v>
      </c>
      <c r="DJ698" s="88">
        <v>10</v>
      </c>
      <c r="DK698" s="89">
        <v>15</v>
      </c>
      <c r="DL698" s="88">
        <v>16</v>
      </c>
      <c r="DM698" s="89">
        <v>14</v>
      </c>
      <c r="DN698" s="88">
        <v>17</v>
      </c>
      <c r="DO698" s="89">
        <v>11</v>
      </c>
      <c r="DP698" s="88">
        <v>8</v>
      </c>
      <c r="DQ698" s="89">
        <v>2</v>
      </c>
      <c r="DR698" s="88">
        <v>1</v>
      </c>
      <c r="DS698" s="89">
        <v>13</v>
      </c>
      <c r="DT698" s="88">
        <v>6</v>
      </c>
      <c r="DU698" s="221"/>
      <c r="DV698" s="89">
        <v>7</v>
      </c>
      <c r="DW698" s="88">
        <v>9</v>
      </c>
      <c r="DX698" s="89">
        <v>20</v>
      </c>
      <c r="DY698" s="88">
        <v>3</v>
      </c>
      <c r="DZ698" s="89">
        <v>4</v>
      </c>
      <c r="EA698" s="88">
        <v>15</v>
      </c>
      <c r="EB698" s="89">
        <v>16</v>
      </c>
      <c r="EC698" s="88">
        <v>5</v>
      </c>
      <c r="ED698" s="89">
        <v>14</v>
      </c>
      <c r="EE698" s="88">
        <v>17</v>
      </c>
      <c r="EF698" s="89">
        <v>6</v>
      </c>
      <c r="EG698" s="88">
        <v>18</v>
      </c>
      <c r="EH698" s="89">
        <v>8</v>
      </c>
      <c r="EI698" s="88">
        <v>2</v>
      </c>
      <c r="EJ698" s="89">
        <v>13</v>
      </c>
      <c r="EK698" s="88">
        <v>12</v>
      </c>
      <c r="EL698" s="89">
        <v>11</v>
      </c>
      <c r="EM698" s="88">
        <v>10</v>
      </c>
      <c r="EN698" s="89">
        <v>1</v>
      </c>
      <c r="EO698" s="88">
        <v>19</v>
      </c>
      <c r="EP698" s="221"/>
    </row>
    <row r="699" spans="28:146">
      <c r="AB699" s="74" t="s">
        <v>35</v>
      </c>
      <c r="AC699" s="72"/>
      <c r="AD699" s="89">
        <v>1</v>
      </c>
      <c r="AE699" s="88">
        <v>2</v>
      </c>
      <c r="AF699" s="89">
        <v>3</v>
      </c>
      <c r="AG699" s="88">
        <v>4</v>
      </c>
      <c r="AH699" s="90"/>
      <c r="AI699" s="75">
        <v>5</v>
      </c>
      <c r="AJ699" s="73">
        <v>6</v>
      </c>
      <c r="AK699" s="75">
        <v>2</v>
      </c>
      <c r="AL699" s="73">
        <v>4</v>
      </c>
      <c r="AM699" s="75">
        <v>3</v>
      </c>
      <c r="AN699" s="73">
        <v>1</v>
      </c>
      <c r="AO699" s="90"/>
      <c r="AP699" s="89">
        <v>1</v>
      </c>
      <c r="AQ699" s="88">
        <v>7</v>
      </c>
      <c r="AR699" s="89">
        <v>5</v>
      </c>
      <c r="AS699" s="88">
        <v>2</v>
      </c>
      <c r="AT699" s="89">
        <v>3</v>
      </c>
      <c r="AU699" s="88">
        <v>4</v>
      </c>
      <c r="AV699" s="89">
        <v>8</v>
      </c>
      <c r="AW699" s="88">
        <v>6</v>
      </c>
      <c r="AX699" s="90"/>
      <c r="AY699" s="89">
        <v>1</v>
      </c>
      <c r="AZ699" s="88">
        <v>2</v>
      </c>
      <c r="BA699" s="89">
        <v>4</v>
      </c>
      <c r="BB699" s="88">
        <v>9</v>
      </c>
      <c r="BC699" s="89">
        <v>5</v>
      </c>
      <c r="BD699" s="88">
        <v>8</v>
      </c>
      <c r="BE699" s="89">
        <v>6</v>
      </c>
      <c r="BF699" s="88">
        <v>7</v>
      </c>
      <c r="BG699" s="89">
        <v>10</v>
      </c>
      <c r="BH699" s="88">
        <v>3</v>
      </c>
      <c r="BI699" s="221"/>
      <c r="BJ699" s="89">
        <v>6</v>
      </c>
      <c r="BK699" s="88">
        <v>9</v>
      </c>
      <c r="BL699" s="89">
        <v>1</v>
      </c>
      <c r="BM699" s="88">
        <v>7</v>
      </c>
      <c r="BN699" s="89">
        <v>11</v>
      </c>
      <c r="BO699" s="88">
        <v>2</v>
      </c>
      <c r="BP699" s="89">
        <v>12</v>
      </c>
      <c r="BQ699" s="88">
        <v>4</v>
      </c>
      <c r="BR699" s="89">
        <v>3</v>
      </c>
      <c r="BS699" s="88">
        <v>8</v>
      </c>
      <c r="BT699" s="89">
        <v>5</v>
      </c>
      <c r="BU699" s="88">
        <v>10</v>
      </c>
      <c r="BV699" s="221"/>
      <c r="BW699" s="89">
        <v>3</v>
      </c>
      <c r="BX699" s="88">
        <v>1</v>
      </c>
      <c r="BY699" s="89">
        <v>4</v>
      </c>
      <c r="BZ699" s="88">
        <v>11</v>
      </c>
      <c r="CA699" s="89">
        <v>8</v>
      </c>
      <c r="CB699" s="88">
        <v>13</v>
      </c>
      <c r="CC699" s="89">
        <v>6</v>
      </c>
      <c r="CD699" s="88">
        <v>10</v>
      </c>
      <c r="CE699" s="89">
        <v>2</v>
      </c>
      <c r="CF699" s="88">
        <v>14</v>
      </c>
      <c r="CG699" s="89">
        <v>5</v>
      </c>
      <c r="CH699" s="88">
        <v>7</v>
      </c>
      <c r="CI699" s="89">
        <v>12</v>
      </c>
      <c r="CJ699" s="88">
        <v>9</v>
      </c>
      <c r="CK699" s="221"/>
      <c r="CL699" s="89">
        <v>14</v>
      </c>
      <c r="CM699" s="88">
        <v>12</v>
      </c>
      <c r="CN699" s="89">
        <v>16</v>
      </c>
      <c r="CO699" s="88">
        <v>13</v>
      </c>
      <c r="CP699" s="89">
        <v>6</v>
      </c>
      <c r="CQ699" s="88">
        <v>9</v>
      </c>
      <c r="CR699" s="89">
        <v>15</v>
      </c>
      <c r="CS699" s="88">
        <v>11</v>
      </c>
      <c r="CT699" s="89">
        <v>4</v>
      </c>
      <c r="CU699" s="88">
        <v>1</v>
      </c>
      <c r="CV699" s="89">
        <v>3</v>
      </c>
      <c r="CW699" s="88">
        <v>8</v>
      </c>
      <c r="CX699" s="89">
        <v>5</v>
      </c>
      <c r="CY699" s="88">
        <v>7</v>
      </c>
      <c r="CZ699" s="89">
        <v>10</v>
      </c>
      <c r="DA699" s="88">
        <v>2</v>
      </c>
      <c r="DB699" s="221"/>
      <c r="DC699" s="89">
        <v>12</v>
      </c>
      <c r="DD699" s="88">
        <v>15</v>
      </c>
      <c r="DE699" s="89">
        <v>6</v>
      </c>
      <c r="DF699" s="88">
        <v>3</v>
      </c>
      <c r="DG699" s="89">
        <v>4</v>
      </c>
      <c r="DH699" s="88">
        <v>2</v>
      </c>
      <c r="DI699" s="89">
        <v>16</v>
      </c>
      <c r="DJ699" s="88">
        <v>13</v>
      </c>
      <c r="DK699" s="89">
        <v>10</v>
      </c>
      <c r="DL699" s="88">
        <v>11</v>
      </c>
      <c r="DM699" s="89">
        <v>8</v>
      </c>
      <c r="DN699" s="88">
        <v>9</v>
      </c>
      <c r="DO699" s="89">
        <v>17</v>
      </c>
      <c r="DP699" s="88">
        <v>5</v>
      </c>
      <c r="DQ699" s="89">
        <v>7</v>
      </c>
      <c r="DR699" s="88">
        <v>14</v>
      </c>
      <c r="DS699" s="89">
        <v>1</v>
      </c>
      <c r="DT699" s="88">
        <v>18</v>
      </c>
      <c r="DU699" s="221"/>
      <c r="DV699" s="89">
        <v>2</v>
      </c>
      <c r="DW699" s="88">
        <v>4</v>
      </c>
      <c r="DX699" s="89">
        <v>14</v>
      </c>
      <c r="DY699" s="88">
        <v>11</v>
      </c>
      <c r="DZ699" s="89">
        <v>17</v>
      </c>
      <c r="EA699" s="88">
        <v>1</v>
      </c>
      <c r="EB699" s="89">
        <v>9</v>
      </c>
      <c r="EC699" s="88">
        <v>6</v>
      </c>
      <c r="ED699" s="89">
        <v>5</v>
      </c>
      <c r="EE699" s="88">
        <v>7</v>
      </c>
      <c r="EF699" s="89">
        <v>12</v>
      </c>
      <c r="EG699" s="88">
        <v>16</v>
      </c>
      <c r="EH699" s="89">
        <v>15</v>
      </c>
      <c r="EI699" s="88">
        <v>19</v>
      </c>
      <c r="EJ699" s="89">
        <v>18</v>
      </c>
      <c r="EK699" s="88">
        <v>8</v>
      </c>
      <c r="EL699" s="89">
        <v>10</v>
      </c>
      <c r="EM699" s="88">
        <v>20</v>
      </c>
      <c r="EN699" s="89">
        <v>3</v>
      </c>
      <c r="EO699" s="88">
        <v>13</v>
      </c>
      <c r="EP699" s="221"/>
    </row>
    <row r="700" spans="28:146">
      <c r="AB700" s="74" t="s">
        <v>36</v>
      </c>
      <c r="AC700" s="72"/>
      <c r="AD700" s="89">
        <v>1</v>
      </c>
      <c r="AE700" s="88">
        <v>4</v>
      </c>
      <c r="AF700" s="89">
        <v>2</v>
      </c>
      <c r="AG700" s="88">
        <v>3</v>
      </c>
      <c r="AH700" s="90"/>
      <c r="AI700" s="75">
        <v>2</v>
      </c>
      <c r="AJ700" s="73">
        <v>1</v>
      </c>
      <c r="AK700" s="75">
        <v>4</v>
      </c>
      <c r="AL700" s="73">
        <v>5</v>
      </c>
      <c r="AM700" s="75">
        <v>6</v>
      </c>
      <c r="AN700" s="73">
        <v>3</v>
      </c>
      <c r="AO700" s="90"/>
      <c r="AP700" s="89">
        <v>2</v>
      </c>
      <c r="AQ700" s="88">
        <v>3</v>
      </c>
      <c r="AR700" s="89">
        <v>4</v>
      </c>
      <c r="AS700" s="88">
        <v>8</v>
      </c>
      <c r="AT700" s="89">
        <v>6</v>
      </c>
      <c r="AU700" s="88">
        <v>1</v>
      </c>
      <c r="AV700" s="89">
        <v>5</v>
      </c>
      <c r="AW700" s="88">
        <v>7</v>
      </c>
      <c r="AX700" s="90"/>
      <c r="AY700" s="89">
        <v>2</v>
      </c>
      <c r="AZ700" s="88">
        <v>9</v>
      </c>
      <c r="BA700" s="89">
        <v>4</v>
      </c>
      <c r="BB700" s="88">
        <v>7</v>
      </c>
      <c r="BC700" s="89">
        <v>10</v>
      </c>
      <c r="BD700" s="88">
        <v>1</v>
      </c>
      <c r="BE700" s="89">
        <v>6</v>
      </c>
      <c r="BF700" s="88">
        <v>5</v>
      </c>
      <c r="BG700" s="89">
        <v>8</v>
      </c>
      <c r="BH700" s="88">
        <v>3</v>
      </c>
      <c r="BI700" s="221"/>
      <c r="BJ700" s="89">
        <v>8</v>
      </c>
      <c r="BK700" s="88">
        <v>12</v>
      </c>
      <c r="BL700" s="89">
        <v>11</v>
      </c>
      <c r="BM700" s="88">
        <v>5</v>
      </c>
      <c r="BN700" s="89">
        <v>10</v>
      </c>
      <c r="BO700" s="88">
        <v>4</v>
      </c>
      <c r="BP700" s="89">
        <v>3</v>
      </c>
      <c r="BQ700" s="88">
        <v>7</v>
      </c>
      <c r="BR700" s="89">
        <v>6</v>
      </c>
      <c r="BS700" s="88">
        <v>1</v>
      </c>
      <c r="BT700" s="89">
        <v>9</v>
      </c>
      <c r="BU700" s="88">
        <v>2</v>
      </c>
      <c r="BV700" s="221"/>
      <c r="BW700" s="89">
        <v>12</v>
      </c>
      <c r="BX700" s="88">
        <v>4</v>
      </c>
      <c r="BY700" s="89">
        <v>9</v>
      </c>
      <c r="BZ700" s="88">
        <v>8</v>
      </c>
      <c r="CA700" s="89">
        <v>12</v>
      </c>
      <c r="CB700" s="88">
        <v>5</v>
      </c>
      <c r="CC700" s="89">
        <v>7</v>
      </c>
      <c r="CD700" s="88">
        <v>6</v>
      </c>
      <c r="CE700" s="89">
        <v>10</v>
      </c>
      <c r="CF700" s="88">
        <v>3</v>
      </c>
      <c r="CG700" s="89">
        <v>14</v>
      </c>
      <c r="CH700" s="88">
        <v>11</v>
      </c>
      <c r="CI700" s="89">
        <v>1</v>
      </c>
      <c r="CJ700" s="88">
        <v>2</v>
      </c>
      <c r="CK700" s="221"/>
      <c r="CL700" s="89">
        <v>1</v>
      </c>
      <c r="CM700" s="88">
        <v>7</v>
      </c>
      <c r="CN700" s="89">
        <v>11</v>
      </c>
      <c r="CO700" s="88">
        <v>5</v>
      </c>
      <c r="CP700" s="89">
        <v>4</v>
      </c>
      <c r="CQ700" s="88">
        <v>10</v>
      </c>
      <c r="CR700" s="89">
        <v>2</v>
      </c>
      <c r="CS700" s="88">
        <v>6</v>
      </c>
      <c r="CT700" s="89">
        <v>12</v>
      </c>
      <c r="CU700" s="88">
        <v>16</v>
      </c>
      <c r="CV700" s="89">
        <v>13</v>
      </c>
      <c r="CW700" s="88">
        <v>3</v>
      </c>
      <c r="CX700" s="89">
        <v>8</v>
      </c>
      <c r="CY700" s="88">
        <v>15</v>
      </c>
      <c r="CZ700" s="89">
        <v>9</v>
      </c>
      <c r="DA700" s="88">
        <v>14</v>
      </c>
      <c r="DB700" s="221"/>
      <c r="DC700" s="89">
        <v>9</v>
      </c>
      <c r="DD700" s="88">
        <v>10</v>
      </c>
      <c r="DE700" s="89">
        <v>11</v>
      </c>
      <c r="DF700" s="88">
        <v>18</v>
      </c>
      <c r="DG700" s="89">
        <v>3</v>
      </c>
      <c r="DH700" s="88">
        <v>16</v>
      </c>
      <c r="DI700" s="89">
        <v>2</v>
      </c>
      <c r="DJ700" s="88">
        <v>17</v>
      </c>
      <c r="DK700" s="89">
        <v>14</v>
      </c>
      <c r="DL700" s="88">
        <v>6</v>
      </c>
      <c r="DM700" s="89">
        <v>13</v>
      </c>
      <c r="DN700" s="88">
        <v>12</v>
      </c>
      <c r="DO700" s="89">
        <v>15</v>
      </c>
      <c r="DP700" s="88">
        <v>8</v>
      </c>
      <c r="DQ700" s="89">
        <v>4</v>
      </c>
      <c r="DR700" s="88">
        <v>1</v>
      </c>
      <c r="DS700" s="89">
        <v>5</v>
      </c>
      <c r="DT700" s="88">
        <v>7</v>
      </c>
      <c r="DU700" s="221"/>
      <c r="DV700" s="89">
        <v>1</v>
      </c>
      <c r="DW700" s="88">
        <v>15</v>
      </c>
      <c r="DX700" s="89">
        <v>20</v>
      </c>
      <c r="DY700" s="88">
        <v>14</v>
      </c>
      <c r="DZ700" s="89">
        <v>4</v>
      </c>
      <c r="EA700" s="88">
        <v>18</v>
      </c>
      <c r="EB700" s="89">
        <v>7</v>
      </c>
      <c r="EC700" s="88">
        <v>12</v>
      </c>
      <c r="ED700" s="89">
        <v>8</v>
      </c>
      <c r="EE700" s="88">
        <v>9</v>
      </c>
      <c r="EF700" s="89">
        <v>16</v>
      </c>
      <c r="EG700" s="88">
        <v>3</v>
      </c>
      <c r="EH700" s="89">
        <v>19</v>
      </c>
      <c r="EI700" s="88">
        <v>2</v>
      </c>
      <c r="EJ700" s="89">
        <v>13</v>
      </c>
      <c r="EK700" s="88">
        <v>10</v>
      </c>
      <c r="EL700" s="89">
        <v>11</v>
      </c>
      <c r="EM700" s="88">
        <v>17</v>
      </c>
      <c r="EN700" s="89">
        <v>6</v>
      </c>
      <c r="EO700" s="88">
        <v>5</v>
      </c>
      <c r="EP700" s="221"/>
    </row>
    <row r="701" spans="28:146">
      <c r="AB701" s="74" t="s">
        <v>37</v>
      </c>
      <c r="AC701" s="72"/>
      <c r="AD701" s="89">
        <v>3</v>
      </c>
      <c r="AE701" s="88">
        <v>1</v>
      </c>
      <c r="AF701" s="89">
        <v>4</v>
      </c>
      <c r="AG701" s="88">
        <v>2</v>
      </c>
      <c r="AH701" s="90"/>
      <c r="AI701" s="75">
        <v>5</v>
      </c>
      <c r="AJ701" s="73">
        <v>2</v>
      </c>
      <c r="AK701" s="75">
        <v>3</v>
      </c>
      <c r="AL701" s="73">
        <v>4</v>
      </c>
      <c r="AM701" s="75">
        <v>6</v>
      </c>
      <c r="AN701" s="73">
        <v>1</v>
      </c>
      <c r="AO701" s="90"/>
      <c r="AP701" s="89">
        <v>2</v>
      </c>
      <c r="AQ701" s="88">
        <v>8</v>
      </c>
      <c r="AR701" s="89">
        <v>6</v>
      </c>
      <c r="AS701" s="88">
        <v>4</v>
      </c>
      <c r="AT701" s="89">
        <v>5</v>
      </c>
      <c r="AU701" s="88">
        <v>1</v>
      </c>
      <c r="AV701" s="89">
        <v>3</v>
      </c>
      <c r="AW701" s="88">
        <v>7</v>
      </c>
      <c r="AX701" s="90"/>
      <c r="AY701" s="89">
        <v>1</v>
      </c>
      <c r="AZ701" s="88">
        <v>9</v>
      </c>
      <c r="BA701" s="89">
        <v>5</v>
      </c>
      <c r="BB701" s="88">
        <v>4</v>
      </c>
      <c r="BC701" s="89">
        <v>7</v>
      </c>
      <c r="BD701" s="88">
        <v>2</v>
      </c>
      <c r="BE701" s="89">
        <v>3</v>
      </c>
      <c r="BF701" s="88">
        <v>6</v>
      </c>
      <c r="BG701" s="89">
        <v>10</v>
      </c>
      <c r="BH701" s="88">
        <v>8</v>
      </c>
      <c r="BI701" s="221"/>
      <c r="BJ701" s="89">
        <v>6</v>
      </c>
      <c r="BK701" s="88">
        <v>5</v>
      </c>
      <c r="BL701" s="89">
        <v>10</v>
      </c>
      <c r="BM701" s="88">
        <v>9</v>
      </c>
      <c r="BN701" s="89">
        <v>8</v>
      </c>
      <c r="BO701" s="88">
        <v>7</v>
      </c>
      <c r="BP701" s="89">
        <v>1</v>
      </c>
      <c r="BQ701" s="88">
        <v>2</v>
      </c>
      <c r="BR701" s="89">
        <v>12</v>
      </c>
      <c r="BS701" s="88">
        <v>11</v>
      </c>
      <c r="BT701" s="89">
        <v>4</v>
      </c>
      <c r="BU701" s="88">
        <v>3</v>
      </c>
      <c r="BV701" s="221"/>
      <c r="BW701" s="89">
        <v>6</v>
      </c>
      <c r="BX701" s="88">
        <v>13</v>
      </c>
      <c r="BY701" s="89">
        <v>3</v>
      </c>
      <c r="BZ701" s="88">
        <v>7</v>
      </c>
      <c r="CA701" s="89">
        <v>2</v>
      </c>
      <c r="CB701" s="88">
        <v>10</v>
      </c>
      <c r="CC701" s="89">
        <v>4</v>
      </c>
      <c r="CD701" s="88">
        <v>14</v>
      </c>
      <c r="CE701" s="89">
        <v>11</v>
      </c>
      <c r="CF701" s="88">
        <v>1</v>
      </c>
      <c r="CG701" s="89">
        <v>5</v>
      </c>
      <c r="CH701" s="88">
        <v>9</v>
      </c>
      <c r="CI701" s="89">
        <v>8</v>
      </c>
      <c r="CJ701" s="88">
        <v>12</v>
      </c>
      <c r="CK701" s="221"/>
      <c r="CL701" s="89">
        <v>15</v>
      </c>
      <c r="CM701" s="88">
        <v>13</v>
      </c>
      <c r="CN701" s="89">
        <v>16</v>
      </c>
      <c r="CO701" s="88">
        <v>9</v>
      </c>
      <c r="CP701" s="89">
        <v>5</v>
      </c>
      <c r="CQ701" s="88">
        <v>8</v>
      </c>
      <c r="CR701" s="89">
        <v>7</v>
      </c>
      <c r="CS701" s="88">
        <v>11</v>
      </c>
      <c r="CT701" s="89">
        <v>6</v>
      </c>
      <c r="CU701" s="88">
        <v>4</v>
      </c>
      <c r="CV701" s="89">
        <v>14</v>
      </c>
      <c r="CW701" s="88">
        <v>2</v>
      </c>
      <c r="CX701" s="89">
        <v>10</v>
      </c>
      <c r="CY701" s="88">
        <v>1</v>
      </c>
      <c r="CZ701" s="89">
        <v>3</v>
      </c>
      <c r="DA701" s="88">
        <v>12</v>
      </c>
      <c r="DB701" s="221"/>
      <c r="DC701" s="89">
        <v>18</v>
      </c>
      <c r="DD701" s="88">
        <v>9</v>
      </c>
      <c r="DE701" s="89">
        <v>6</v>
      </c>
      <c r="DF701" s="88">
        <v>5</v>
      </c>
      <c r="DG701" s="89">
        <v>7</v>
      </c>
      <c r="DH701" s="88">
        <v>2</v>
      </c>
      <c r="DI701" s="89">
        <v>17</v>
      </c>
      <c r="DJ701" s="88">
        <v>4</v>
      </c>
      <c r="DK701" s="89">
        <v>16</v>
      </c>
      <c r="DL701" s="88">
        <v>14</v>
      </c>
      <c r="DM701" s="89">
        <v>10</v>
      </c>
      <c r="DN701" s="88">
        <v>15</v>
      </c>
      <c r="DO701" s="89">
        <v>8</v>
      </c>
      <c r="DP701" s="88">
        <v>13</v>
      </c>
      <c r="DQ701" s="89">
        <v>12</v>
      </c>
      <c r="DR701" s="88">
        <v>3</v>
      </c>
      <c r="DS701" s="89">
        <v>1</v>
      </c>
      <c r="DT701" s="88">
        <v>11</v>
      </c>
      <c r="DU701" s="221"/>
      <c r="DV701" s="89">
        <v>11</v>
      </c>
      <c r="DW701" s="88">
        <v>20</v>
      </c>
      <c r="DX701" s="89">
        <v>14</v>
      </c>
      <c r="DY701" s="88">
        <v>13</v>
      </c>
      <c r="DZ701" s="89">
        <v>15</v>
      </c>
      <c r="EA701" s="88">
        <v>17</v>
      </c>
      <c r="EB701" s="89">
        <v>5</v>
      </c>
      <c r="EC701" s="88">
        <v>8</v>
      </c>
      <c r="ED701" s="89">
        <v>7</v>
      </c>
      <c r="EE701" s="88">
        <v>3</v>
      </c>
      <c r="EF701" s="89">
        <v>18</v>
      </c>
      <c r="EG701" s="88">
        <v>19</v>
      </c>
      <c r="EH701" s="89">
        <v>10</v>
      </c>
      <c r="EI701" s="88">
        <v>16</v>
      </c>
      <c r="EJ701" s="89">
        <v>2</v>
      </c>
      <c r="EK701" s="88">
        <v>1</v>
      </c>
      <c r="EL701" s="89">
        <v>9</v>
      </c>
      <c r="EM701" s="88">
        <v>4</v>
      </c>
      <c r="EN701" s="89">
        <v>12</v>
      </c>
      <c r="EO701" s="88">
        <v>6</v>
      </c>
      <c r="EP701" s="221"/>
    </row>
    <row r="702" spans="28:146">
      <c r="AB702" s="74" t="s">
        <v>38</v>
      </c>
      <c r="AC702" s="72"/>
      <c r="AD702" s="89">
        <v>4</v>
      </c>
      <c r="AE702" s="88">
        <v>3</v>
      </c>
      <c r="AF702" s="89">
        <v>2</v>
      </c>
      <c r="AG702" s="88">
        <v>1</v>
      </c>
      <c r="AH702" s="90"/>
      <c r="AI702" s="75">
        <v>4</v>
      </c>
      <c r="AJ702" s="73">
        <v>6</v>
      </c>
      <c r="AK702" s="75">
        <v>5</v>
      </c>
      <c r="AL702" s="73">
        <v>1</v>
      </c>
      <c r="AM702" s="75">
        <v>2</v>
      </c>
      <c r="AN702" s="73">
        <v>3</v>
      </c>
      <c r="AO702" s="90"/>
      <c r="AP702" s="89">
        <v>1</v>
      </c>
      <c r="AQ702" s="88">
        <v>4</v>
      </c>
      <c r="AR702" s="89">
        <v>7</v>
      </c>
      <c r="AS702" s="88">
        <v>8</v>
      </c>
      <c r="AT702" s="89">
        <v>2</v>
      </c>
      <c r="AU702" s="88">
        <v>6</v>
      </c>
      <c r="AV702" s="89">
        <v>5</v>
      </c>
      <c r="AW702" s="88">
        <v>3</v>
      </c>
      <c r="AX702" s="90"/>
      <c r="AY702" s="89">
        <v>6</v>
      </c>
      <c r="AZ702" s="88">
        <v>10</v>
      </c>
      <c r="BA702" s="89">
        <v>8</v>
      </c>
      <c r="BB702" s="88">
        <v>1</v>
      </c>
      <c r="BC702" s="89">
        <v>2</v>
      </c>
      <c r="BD702" s="88">
        <v>5</v>
      </c>
      <c r="BE702" s="89">
        <v>9</v>
      </c>
      <c r="BF702" s="88">
        <v>7</v>
      </c>
      <c r="BG702" s="89">
        <v>4</v>
      </c>
      <c r="BH702" s="88">
        <v>3</v>
      </c>
      <c r="BI702" s="221"/>
      <c r="BJ702" s="89">
        <v>12</v>
      </c>
      <c r="BK702" s="88">
        <v>1</v>
      </c>
      <c r="BL702" s="89">
        <v>6</v>
      </c>
      <c r="BM702" s="88">
        <v>7</v>
      </c>
      <c r="BN702" s="89">
        <v>5</v>
      </c>
      <c r="BO702" s="88">
        <v>4</v>
      </c>
      <c r="BP702" s="89">
        <v>10</v>
      </c>
      <c r="BQ702" s="88">
        <v>11</v>
      </c>
      <c r="BR702" s="89">
        <v>3</v>
      </c>
      <c r="BS702" s="88">
        <v>2</v>
      </c>
      <c r="BT702" s="89">
        <v>8</v>
      </c>
      <c r="BU702" s="88">
        <v>9</v>
      </c>
      <c r="BV702" s="221"/>
      <c r="BW702" s="89">
        <v>7</v>
      </c>
      <c r="BX702" s="88">
        <v>2</v>
      </c>
      <c r="BY702" s="89">
        <v>12</v>
      </c>
      <c r="BZ702" s="88">
        <v>5</v>
      </c>
      <c r="CA702" s="89">
        <v>9</v>
      </c>
      <c r="CB702" s="88">
        <v>6</v>
      </c>
      <c r="CC702" s="89">
        <v>8</v>
      </c>
      <c r="CD702" s="88">
        <v>4</v>
      </c>
      <c r="CE702" s="89">
        <v>1</v>
      </c>
      <c r="CF702" s="88">
        <v>14</v>
      </c>
      <c r="CG702" s="89">
        <v>12</v>
      </c>
      <c r="CH702" s="88">
        <v>3</v>
      </c>
      <c r="CI702" s="89">
        <v>10</v>
      </c>
      <c r="CJ702" s="88">
        <v>11</v>
      </c>
      <c r="CK702" s="221"/>
      <c r="CL702" s="89">
        <v>10</v>
      </c>
      <c r="CM702" s="88">
        <v>6</v>
      </c>
      <c r="CN702" s="89">
        <v>9</v>
      </c>
      <c r="CO702" s="88">
        <v>3</v>
      </c>
      <c r="CP702" s="89">
        <v>4</v>
      </c>
      <c r="CQ702" s="88">
        <v>14</v>
      </c>
      <c r="CR702" s="89">
        <v>12</v>
      </c>
      <c r="CS702" s="88">
        <v>15</v>
      </c>
      <c r="CT702" s="89">
        <v>1</v>
      </c>
      <c r="CU702" s="88">
        <v>11</v>
      </c>
      <c r="CV702" s="89">
        <v>13</v>
      </c>
      <c r="CW702" s="88">
        <v>5</v>
      </c>
      <c r="CX702" s="89">
        <v>8</v>
      </c>
      <c r="CY702" s="88">
        <v>7</v>
      </c>
      <c r="CZ702" s="89">
        <v>2</v>
      </c>
      <c r="DA702" s="88">
        <v>16</v>
      </c>
      <c r="DB702" s="221"/>
      <c r="DC702" s="89">
        <v>4</v>
      </c>
      <c r="DD702" s="88">
        <v>7</v>
      </c>
      <c r="DE702" s="89">
        <v>13</v>
      </c>
      <c r="DF702" s="88">
        <v>10</v>
      </c>
      <c r="DG702" s="89">
        <v>14</v>
      </c>
      <c r="DH702" s="88">
        <v>12</v>
      </c>
      <c r="DI702" s="89">
        <v>15</v>
      </c>
      <c r="DJ702" s="88">
        <v>18</v>
      </c>
      <c r="DK702" s="89">
        <v>5</v>
      </c>
      <c r="DL702" s="88">
        <v>16</v>
      </c>
      <c r="DM702" s="89">
        <v>3</v>
      </c>
      <c r="DN702" s="88">
        <v>8</v>
      </c>
      <c r="DO702" s="89">
        <v>17</v>
      </c>
      <c r="DP702" s="88">
        <v>1</v>
      </c>
      <c r="DQ702" s="89">
        <v>9</v>
      </c>
      <c r="DR702" s="88">
        <v>11</v>
      </c>
      <c r="DS702" s="89">
        <v>2</v>
      </c>
      <c r="DT702" s="88">
        <v>6</v>
      </c>
      <c r="DU702" s="221"/>
      <c r="DV702" s="89">
        <v>1</v>
      </c>
      <c r="DW702" s="88">
        <v>18</v>
      </c>
      <c r="DX702" s="89">
        <v>16</v>
      </c>
      <c r="DY702" s="88">
        <v>14</v>
      </c>
      <c r="DZ702" s="89">
        <v>7</v>
      </c>
      <c r="EA702" s="88">
        <v>10</v>
      </c>
      <c r="EB702" s="89">
        <v>4</v>
      </c>
      <c r="EC702" s="88">
        <v>5</v>
      </c>
      <c r="ED702" s="89">
        <v>17</v>
      </c>
      <c r="EE702" s="88">
        <v>20</v>
      </c>
      <c r="EF702" s="89">
        <v>13</v>
      </c>
      <c r="EG702" s="88">
        <v>11</v>
      </c>
      <c r="EH702" s="89">
        <v>15</v>
      </c>
      <c r="EI702" s="88">
        <v>2</v>
      </c>
      <c r="EJ702" s="89">
        <v>8</v>
      </c>
      <c r="EK702" s="88">
        <v>12</v>
      </c>
      <c r="EL702" s="89">
        <v>19</v>
      </c>
      <c r="EM702" s="88">
        <v>9</v>
      </c>
      <c r="EN702" s="89">
        <v>6</v>
      </c>
      <c r="EO702" s="88">
        <v>3</v>
      </c>
      <c r="EP702" s="221"/>
    </row>
    <row r="703" spans="28:146">
      <c r="AB703" s="74" t="s">
        <v>39</v>
      </c>
      <c r="AC703" s="72"/>
      <c r="AD703" s="89">
        <v>4</v>
      </c>
      <c r="AE703" s="88">
        <v>1</v>
      </c>
      <c r="AF703" s="89">
        <v>3</v>
      </c>
      <c r="AG703" s="88">
        <v>2</v>
      </c>
      <c r="AH703" s="90"/>
      <c r="AI703" s="75">
        <v>1</v>
      </c>
      <c r="AJ703" s="73">
        <v>4</v>
      </c>
      <c r="AK703" s="75">
        <v>2</v>
      </c>
      <c r="AL703" s="73">
        <v>6</v>
      </c>
      <c r="AM703" s="75">
        <v>3</v>
      </c>
      <c r="AN703" s="73">
        <v>5</v>
      </c>
      <c r="AO703" s="90"/>
      <c r="AP703" s="89">
        <v>7</v>
      </c>
      <c r="AQ703" s="88">
        <v>6</v>
      </c>
      <c r="AR703" s="89">
        <v>3</v>
      </c>
      <c r="AS703" s="88">
        <v>1</v>
      </c>
      <c r="AT703" s="89">
        <v>8</v>
      </c>
      <c r="AU703" s="88">
        <v>5</v>
      </c>
      <c r="AV703" s="89">
        <v>4</v>
      </c>
      <c r="AW703" s="88">
        <v>2</v>
      </c>
      <c r="AX703" s="90"/>
      <c r="AY703" s="89">
        <v>1</v>
      </c>
      <c r="AZ703" s="88">
        <v>7</v>
      </c>
      <c r="BA703" s="89">
        <v>3</v>
      </c>
      <c r="BB703" s="88">
        <v>2</v>
      </c>
      <c r="BC703" s="89">
        <v>8</v>
      </c>
      <c r="BD703" s="88">
        <v>6</v>
      </c>
      <c r="BE703" s="89">
        <v>10</v>
      </c>
      <c r="BF703" s="88">
        <v>4</v>
      </c>
      <c r="BG703" s="89">
        <v>5</v>
      </c>
      <c r="BH703" s="88">
        <v>9</v>
      </c>
      <c r="BI703" s="221"/>
      <c r="BJ703" s="89">
        <v>10</v>
      </c>
      <c r="BK703" s="88">
        <v>8</v>
      </c>
      <c r="BL703" s="89">
        <v>11</v>
      </c>
      <c r="BM703" s="88">
        <v>1</v>
      </c>
      <c r="BN703" s="89">
        <v>7</v>
      </c>
      <c r="BO703" s="88">
        <v>9</v>
      </c>
      <c r="BP703" s="89">
        <v>3</v>
      </c>
      <c r="BQ703" s="88">
        <v>5</v>
      </c>
      <c r="BR703" s="89">
        <v>4</v>
      </c>
      <c r="BS703" s="88">
        <v>6</v>
      </c>
      <c r="BT703" s="89">
        <v>2</v>
      </c>
      <c r="BU703" s="88">
        <v>12</v>
      </c>
      <c r="BV703" s="221"/>
      <c r="BW703" s="89">
        <v>14</v>
      </c>
      <c r="BX703" s="88">
        <v>10</v>
      </c>
      <c r="BY703" s="89">
        <v>6</v>
      </c>
      <c r="BZ703" s="88">
        <v>12</v>
      </c>
      <c r="CA703" s="89">
        <v>3</v>
      </c>
      <c r="CB703" s="88">
        <v>9</v>
      </c>
      <c r="CC703" s="89">
        <v>2</v>
      </c>
      <c r="CD703" s="88">
        <v>13</v>
      </c>
      <c r="CE703" s="89">
        <v>4</v>
      </c>
      <c r="CF703" s="88">
        <v>1</v>
      </c>
      <c r="CG703" s="89">
        <v>11</v>
      </c>
      <c r="CH703" s="88">
        <v>7</v>
      </c>
      <c r="CI703" s="89">
        <v>5</v>
      </c>
      <c r="CJ703" s="88">
        <v>8</v>
      </c>
      <c r="CK703" s="221"/>
      <c r="CL703" s="89">
        <v>16</v>
      </c>
      <c r="CM703" s="88">
        <v>4</v>
      </c>
      <c r="CN703" s="89">
        <v>15</v>
      </c>
      <c r="CO703" s="88">
        <v>9</v>
      </c>
      <c r="CP703" s="89">
        <v>5</v>
      </c>
      <c r="CQ703" s="88">
        <v>12</v>
      </c>
      <c r="CR703" s="89">
        <v>3</v>
      </c>
      <c r="CS703" s="88">
        <v>2</v>
      </c>
      <c r="CT703" s="89">
        <v>7</v>
      </c>
      <c r="CU703" s="88">
        <v>13</v>
      </c>
      <c r="CV703" s="89">
        <v>11</v>
      </c>
      <c r="CW703" s="88">
        <v>8</v>
      </c>
      <c r="CX703" s="89">
        <v>14</v>
      </c>
      <c r="CY703" s="88">
        <v>10</v>
      </c>
      <c r="CZ703" s="89">
        <v>6</v>
      </c>
      <c r="DA703" s="88">
        <v>1</v>
      </c>
      <c r="DB703" s="221"/>
      <c r="DC703" s="89">
        <v>18</v>
      </c>
      <c r="DD703" s="88">
        <v>13</v>
      </c>
      <c r="DE703" s="89">
        <v>12</v>
      </c>
      <c r="DF703" s="88">
        <v>5</v>
      </c>
      <c r="DG703" s="89">
        <v>16</v>
      </c>
      <c r="DH703" s="88">
        <v>2</v>
      </c>
      <c r="DI703" s="89">
        <v>8</v>
      </c>
      <c r="DJ703" s="88">
        <v>14</v>
      </c>
      <c r="DK703" s="89">
        <v>1</v>
      </c>
      <c r="DL703" s="88">
        <v>9</v>
      </c>
      <c r="DM703" s="89">
        <v>11</v>
      </c>
      <c r="DN703" s="88">
        <v>15</v>
      </c>
      <c r="DO703" s="89">
        <v>6</v>
      </c>
      <c r="DP703" s="88">
        <v>4</v>
      </c>
      <c r="DQ703" s="89">
        <v>10</v>
      </c>
      <c r="DR703" s="88">
        <v>3</v>
      </c>
      <c r="DS703" s="89">
        <v>7</v>
      </c>
      <c r="DT703" s="88">
        <v>17</v>
      </c>
      <c r="DU703" s="221"/>
      <c r="DV703" s="89">
        <v>3</v>
      </c>
      <c r="DW703" s="88">
        <v>8</v>
      </c>
      <c r="DX703" s="89">
        <v>9</v>
      </c>
      <c r="DY703" s="88">
        <v>1</v>
      </c>
      <c r="DZ703" s="89">
        <v>16</v>
      </c>
      <c r="EA703" s="88">
        <v>11</v>
      </c>
      <c r="EB703" s="89">
        <v>12</v>
      </c>
      <c r="EC703" s="88">
        <v>4</v>
      </c>
      <c r="ED703" s="89">
        <v>2</v>
      </c>
      <c r="EE703" s="88">
        <v>17</v>
      </c>
      <c r="EF703" s="89">
        <v>5</v>
      </c>
      <c r="EG703" s="88">
        <v>19</v>
      </c>
      <c r="EH703" s="89">
        <v>10</v>
      </c>
      <c r="EI703" s="88">
        <v>6</v>
      </c>
      <c r="EJ703" s="89">
        <v>18</v>
      </c>
      <c r="EK703" s="88">
        <v>15</v>
      </c>
      <c r="EL703" s="89">
        <v>20</v>
      </c>
      <c r="EM703" s="88">
        <v>13</v>
      </c>
      <c r="EN703" s="89">
        <v>14</v>
      </c>
      <c r="EO703" s="88">
        <v>7</v>
      </c>
      <c r="EP703" s="221"/>
    </row>
    <row r="704" spans="28:146">
      <c r="AB704" s="74" t="s">
        <v>40</v>
      </c>
      <c r="AC704" s="72"/>
      <c r="AD704" s="89">
        <v>1</v>
      </c>
      <c r="AE704" s="88">
        <v>3</v>
      </c>
      <c r="AF704" s="89">
        <v>2</v>
      </c>
      <c r="AG704" s="88">
        <v>4</v>
      </c>
      <c r="AH704" s="90"/>
      <c r="AI704" s="75">
        <v>1</v>
      </c>
      <c r="AJ704" s="73">
        <v>3</v>
      </c>
      <c r="AK704" s="75">
        <v>6</v>
      </c>
      <c r="AL704" s="73">
        <v>5</v>
      </c>
      <c r="AM704" s="75">
        <v>4</v>
      </c>
      <c r="AN704" s="73">
        <v>2</v>
      </c>
      <c r="AO704" s="90"/>
      <c r="AP704" s="89">
        <v>8</v>
      </c>
      <c r="AQ704" s="88">
        <v>3</v>
      </c>
      <c r="AR704" s="89">
        <v>6</v>
      </c>
      <c r="AS704" s="88">
        <v>5</v>
      </c>
      <c r="AT704" s="89">
        <v>4</v>
      </c>
      <c r="AU704" s="88">
        <v>7</v>
      </c>
      <c r="AV704" s="89">
        <v>2</v>
      </c>
      <c r="AW704" s="88">
        <v>1</v>
      </c>
      <c r="AX704" s="90"/>
      <c r="AY704" s="89">
        <v>7</v>
      </c>
      <c r="AZ704" s="88">
        <v>5</v>
      </c>
      <c r="BA704" s="89">
        <v>6</v>
      </c>
      <c r="BB704" s="88">
        <v>1</v>
      </c>
      <c r="BC704" s="89">
        <v>4</v>
      </c>
      <c r="BD704" s="88">
        <v>8</v>
      </c>
      <c r="BE704" s="89">
        <v>2</v>
      </c>
      <c r="BF704" s="88">
        <v>10</v>
      </c>
      <c r="BG704" s="89">
        <v>9</v>
      </c>
      <c r="BH704" s="88">
        <v>3</v>
      </c>
      <c r="BI704" s="221"/>
      <c r="BJ704" s="89">
        <v>3</v>
      </c>
      <c r="BK704" s="88">
        <v>6</v>
      </c>
      <c r="BL704" s="89">
        <v>9</v>
      </c>
      <c r="BM704" s="88">
        <v>12</v>
      </c>
      <c r="BN704" s="89">
        <v>10</v>
      </c>
      <c r="BO704" s="88">
        <v>2</v>
      </c>
      <c r="BP704" s="89">
        <v>4</v>
      </c>
      <c r="BQ704" s="88">
        <v>7</v>
      </c>
      <c r="BR704" s="89">
        <v>11</v>
      </c>
      <c r="BS704" s="88">
        <v>8</v>
      </c>
      <c r="BT704" s="89">
        <v>1</v>
      </c>
      <c r="BU704" s="88">
        <v>5</v>
      </c>
      <c r="BV704" s="221"/>
      <c r="BW704" s="89">
        <v>6</v>
      </c>
      <c r="BX704" s="88">
        <v>8</v>
      </c>
      <c r="BY704" s="89">
        <v>3</v>
      </c>
      <c r="BZ704" s="88">
        <v>12</v>
      </c>
      <c r="CA704" s="89">
        <v>7</v>
      </c>
      <c r="CB704" s="88">
        <v>14</v>
      </c>
      <c r="CC704" s="89">
        <v>10</v>
      </c>
      <c r="CD704" s="88">
        <v>1</v>
      </c>
      <c r="CE704" s="89">
        <v>5</v>
      </c>
      <c r="CF704" s="88">
        <v>4</v>
      </c>
      <c r="CG704" s="89">
        <v>13</v>
      </c>
      <c r="CH704" s="88">
        <v>11</v>
      </c>
      <c r="CI704" s="89">
        <v>2</v>
      </c>
      <c r="CJ704" s="88">
        <v>9</v>
      </c>
      <c r="CK704" s="221"/>
      <c r="CL704" s="89">
        <v>13</v>
      </c>
      <c r="CM704" s="88">
        <v>11</v>
      </c>
      <c r="CN704" s="89">
        <v>10</v>
      </c>
      <c r="CO704" s="88">
        <v>16</v>
      </c>
      <c r="CP704" s="89">
        <v>9</v>
      </c>
      <c r="CQ704" s="88">
        <v>5</v>
      </c>
      <c r="CR704" s="89">
        <v>2</v>
      </c>
      <c r="CS704" s="88">
        <v>15</v>
      </c>
      <c r="CT704" s="89">
        <v>4</v>
      </c>
      <c r="CU704" s="88">
        <v>3</v>
      </c>
      <c r="CV704" s="89">
        <v>6</v>
      </c>
      <c r="CW704" s="88">
        <v>14</v>
      </c>
      <c r="CX704" s="89">
        <v>12</v>
      </c>
      <c r="CY704" s="88">
        <v>7</v>
      </c>
      <c r="CZ704" s="89">
        <v>1</v>
      </c>
      <c r="DA704" s="88">
        <v>8</v>
      </c>
      <c r="DB704" s="221"/>
      <c r="DC704" s="89">
        <v>17</v>
      </c>
      <c r="DD704" s="88">
        <v>6</v>
      </c>
      <c r="DE704" s="89">
        <v>5</v>
      </c>
      <c r="DF704" s="88">
        <v>8</v>
      </c>
      <c r="DG704" s="89">
        <v>13</v>
      </c>
      <c r="DH704" s="88">
        <v>11</v>
      </c>
      <c r="DI704" s="89">
        <v>2</v>
      </c>
      <c r="DJ704" s="88">
        <v>12</v>
      </c>
      <c r="DK704" s="89">
        <v>14</v>
      </c>
      <c r="DL704" s="88">
        <v>10</v>
      </c>
      <c r="DM704" s="89">
        <v>4</v>
      </c>
      <c r="DN704" s="88">
        <v>16</v>
      </c>
      <c r="DO704" s="89">
        <v>7</v>
      </c>
      <c r="DP704" s="88">
        <v>1</v>
      </c>
      <c r="DQ704" s="89">
        <v>3</v>
      </c>
      <c r="DR704" s="88">
        <v>18</v>
      </c>
      <c r="DS704" s="89">
        <v>15</v>
      </c>
      <c r="DT704" s="88">
        <v>9</v>
      </c>
      <c r="DU704" s="221"/>
      <c r="DV704" s="89">
        <v>7</v>
      </c>
      <c r="DW704" s="88">
        <v>11</v>
      </c>
      <c r="DX704" s="89">
        <v>6</v>
      </c>
      <c r="DY704" s="88">
        <v>14</v>
      </c>
      <c r="DZ704" s="89">
        <v>4</v>
      </c>
      <c r="EA704" s="88">
        <v>3</v>
      </c>
      <c r="EB704" s="89">
        <v>16</v>
      </c>
      <c r="EC704" s="88">
        <v>20</v>
      </c>
      <c r="ED704" s="89">
        <v>19</v>
      </c>
      <c r="EE704" s="88">
        <v>12</v>
      </c>
      <c r="EF704" s="89">
        <v>15</v>
      </c>
      <c r="EG704" s="88">
        <v>9</v>
      </c>
      <c r="EH704" s="89">
        <v>17</v>
      </c>
      <c r="EI704" s="88">
        <v>13</v>
      </c>
      <c r="EJ704" s="89">
        <v>2</v>
      </c>
      <c r="EK704" s="88">
        <v>18</v>
      </c>
      <c r="EL704" s="89">
        <v>1</v>
      </c>
      <c r="EM704" s="88">
        <v>5</v>
      </c>
      <c r="EN704" s="89">
        <v>8</v>
      </c>
      <c r="EO704" s="88">
        <v>10</v>
      </c>
      <c r="EP704" s="221"/>
    </row>
    <row r="705" spans="1:146">
      <c r="AB705" s="74" t="s">
        <v>41</v>
      </c>
      <c r="AC705" s="72"/>
      <c r="AD705" s="89">
        <v>3</v>
      </c>
      <c r="AE705" s="88">
        <v>4</v>
      </c>
      <c r="AF705" s="89">
        <v>1</v>
      </c>
      <c r="AG705" s="88">
        <v>2</v>
      </c>
      <c r="AH705" s="90"/>
      <c r="AI705" s="75">
        <v>3</v>
      </c>
      <c r="AJ705" s="73">
        <v>6</v>
      </c>
      <c r="AK705" s="75">
        <v>1</v>
      </c>
      <c r="AL705" s="73">
        <v>2</v>
      </c>
      <c r="AM705" s="75">
        <v>5</v>
      </c>
      <c r="AN705" s="73">
        <v>4</v>
      </c>
      <c r="AO705" s="90"/>
      <c r="AP705" s="89">
        <v>8</v>
      </c>
      <c r="AQ705" s="88">
        <v>1</v>
      </c>
      <c r="AR705" s="89">
        <v>5</v>
      </c>
      <c r="AS705" s="88">
        <v>4</v>
      </c>
      <c r="AT705" s="89">
        <v>3</v>
      </c>
      <c r="AU705" s="88">
        <v>6</v>
      </c>
      <c r="AV705" s="89">
        <v>7</v>
      </c>
      <c r="AW705" s="88">
        <v>2</v>
      </c>
      <c r="AX705" s="90"/>
      <c r="AY705" s="89">
        <v>6</v>
      </c>
      <c r="AZ705" s="88">
        <v>4</v>
      </c>
      <c r="BA705" s="89">
        <v>8</v>
      </c>
      <c r="BB705" s="88">
        <v>2</v>
      </c>
      <c r="BC705" s="89">
        <v>10</v>
      </c>
      <c r="BD705" s="88">
        <v>9</v>
      </c>
      <c r="BE705" s="89">
        <v>3</v>
      </c>
      <c r="BF705" s="88">
        <v>7</v>
      </c>
      <c r="BG705" s="89">
        <v>1</v>
      </c>
      <c r="BH705" s="88">
        <v>5</v>
      </c>
      <c r="BI705" s="221"/>
      <c r="BJ705" s="89">
        <v>11</v>
      </c>
      <c r="BK705" s="88">
        <v>9</v>
      </c>
      <c r="BL705" s="89">
        <v>4</v>
      </c>
      <c r="BM705" s="88">
        <v>2</v>
      </c>
      <c r="BN705" s="89">
        <v>3</v>
      </c>
      <c r="BO705" s="88">
        <v>1</v>
      </c>
      <c r="BP705" s="89">
        <v>8</v>
      </c>
      <c r="BQ705" s="88">
        <v>6</v>
      </c>
      <c r="BR705" s="89">
        <v>5</v>
      </c>
      <c r="BS705" s="88">
        <v>7</v>
      </c>
      <c r="BT705" s="89">
        <v>12</v>
      </c>
      <c r="BU705" s="88">
        <v>10</v>
      </c>
      <c r="BV705" s="221"/>
      <c r="BW705" s="89">
        <v>1</v>
      </c>
      <c r="BX705" s="88">
        <v>7</v>
      </c>
      <c r="BY705" s="89">
        <v>8</v>
      </c>
      <c r="BZ705" s="88">
        <v>3</v>
      </c>
      <c r="CA705" s="89">
        <v>5</v>
      </c>
      <c r="CB705" s="88">
        <v>6</v>
      </c>
      <c r="CC705" s="89">
        <v>12</v>
      </c>
      <c r="CD705" s="88">
        <v>2</v>
      </c>
      <c r="CE705" s="89">
        <v>4</v>
      </c>
      <c r="CF705" s="88">
        <v>10</v>
      </c>
      <c r="CG705" s="89">
        <v>14</v>
      </c>
      <c r="CH705" s="88">
        <v>13</v>
      </c>
      <c r="CI705" s="89">
        <v>9</v>
      </c>
      <c r="CJ705" s="88">
        <v>11</v>
      </c>
      <c r="CK705" s="221"/>
      <c r="CL705" s="89">
        <v>14</v>
      </c>
      <c r="CM705" s="88">
        <v>1</v>
      </c>
      <c r="CN705" s="89">
        <v>7</v>
      </c>
      <c r="CO705" s="88">
        <v>9</v>
      </c>
      <c r="CP705" s="89">
        <v>8</v>
      </c>
      <c r="CQ705" s="88">
        <v>13</v>
      </c>
      <c r="CR705" s="89">
        <v>16</v>
      </c>
      <c r="CS705" s="88">
        <v>6</v>
      </c>
      <c r="CT705" s="89">
        <v>15</v>
      </c>
      <c r="CU705" s="88">
        <v>4</v>
      </c>
      <c r="CV705" s="89">
        <v>11</v>
      </c>
      <c r="CW705" s="88">
        <v>12</v>
      </c>
      <c r="CX705" s="89">
        <v>5</v>
      </c>
      <c r="CY705" s="88">
        <v>2</v>
      </c>
      <c r="CZ705" s="89">
        <v>3</v>
      </c>
      <c r="DA705" s="88">
        <v>10</v>
      </c>
      <c r="DB705" s="221"/>
      <c r="DC705" s="89">
        <v>11</v>
      </c>
      <c r="DD705" s="88">
        <v>3</v>
      </c>
      <c r="DE705" s="89">
        <v>8</v>
      </c>
      <c r="DF705" s="88">
        <v>2</v>
      </c>
      <c r="DG705" s="89">
        <v>18</v>
      </c>
      <c r="DH705" s="88">
        <v>14</v>
      </c>
      <c r="DI705" s="89">
        <v>10</v>
      </c>
      <c r="DJ705" s="88">
        <v>5</v>
      </c>
      <c r="DK705" s="89">
        <v>1</v>
      </c>
      <c r="DL705" s="88">
        <v>15</v>
      </c>
      <c r="DM705" s="89">
        <v>16</v>
      </c>
      <c r="DN705" s="88">
        <v>17</v>
      </c>
      <c r="DO705" s="89">
        <v>12</v>
      </c>
      <c r="DP705" s="88">
        <v>4</v>
      </c>
      <c r="DQ705" s="89">
        <v>9</v>
      </c>
      <c r="DR705" s="88">
        <v>13</v>
      </c>
      <c r="DS705" s="89">
        <v>6</v>
      </c>
      <c r="DT705" s="88">
        <v>7</v>
      </c>
      <c r="DU705" s="221"/>
      <c r="DV705" s="89">
        <v>13</v>
      </c>
      <c r="DW705" s="88">
        <v>16</v>
      </c>
      <c r="DX705" s="89">
        <v>3</v>
      </c>
      <c r="DY705" s="88">
        <v>19</v>
      </c>
      <c r="DZ705" s="89">
        <v>14</v>
      </c>
      <c r="EA705" s="88">
        <v>8</v>
      </c>
      <c r="EB705" s="89">
        <v>10</v>
      </c>
      <c r="EC705" s="88">
        <v>4</v>
      </c>
      <c r="ED705" s="89">
        <v>20</v>
      </c>
      <c r="EE705" s="88">
        <v>7</v>
      </c>
      <c r="EF705" s="89">
        <v>9</v>
      </c>
      <c r="EG705" s="88">
        <v>2</v>
      </c>
      <c r="EH705" s="89">
        <v>18</v>
      </c>
      <c r="EI705" s="88">
        <v>17</v>
      </c>
      <c r="EJ705" s="89">
        <v>11</v>
      </c>
      <c r="EK705" s="88">
        <v>6</v>
      </c>
      <c r="EL705" s="89">
        <v>5</v>
      </c>
      <c r="EM705" s="88">
        <v>15</v>
      </c>
      <c r="EN705" s="89">
        <v>12</v>
      </c>
      <c r="EO705" s="88">
        <v>1</v>
      </c>
      <c r="EP705" s="221"/>
    </row>
    <row r="706" spans="1:146">
      <c r="A706" s="87" t="s">
        <v>153</v>
      </c>
      <c r="AB706" s="74" t="s">
        <v>42</v>
      </c>
      <c r="AD706" s="89">
        <v>2</v>
      </c>
      <c r="AE706" s="88">
        <v>3</v>
      </c>
      <c r="AF706" s="89">
        <v>1</v>
      </c>
      <c r="AG706" s="88">
        <v>4</v>
      </c>
      <c r="AH706" s="90"/>
      <c r="AI706" s="75">
        <v>6</v>
      </c>
      <c r="AJ706" s="73">
        <v>1</v>
      </c>
      <c r="AK706" s="75">
        <v>5</v>
      </c>
      <c r="AL706" s="73">
        <v>2</v>
      </c>
      <c r="AM706" s="75">
        <v>3</v>
      </c>
      <c r="AN706" s="73">
        <v>4</v>
      </c>
      <c r="AO706" s="90"/>
      <c r="AP706" s="89">
        <v>6</v>
      </c>
      <c r="AQ706" s="88">
        <v>8</v>
      </c>
      <c r="AR706" s="89">
        <v>7</v>
      </c>
      <c r="AS706" s="88">
        <v>1</v>
      </c>
      <c r="AT706" s="89">
        <v>2</v>
      </c>
      <c r="AU706" s="88">
        <v>5</v>
      </c>
      <c r="AV706" s="89">
        <v>4</v>
      </c>
      <c r="AW706" s="88">
        <v>3</v>
      </c>
      <c r="AX706" s="90"/>
      <c r="AY706" s="89">
        <v>5</v>
      </c>
      <c r="AZ706" s="88">
        <v>3</v>
      </c>
      <c r="BA706" s="89">
        <v>10</v>
      </c>
      <c r="BB706" s="88">
        <v>7</v>
      </c>
      <c r="BC706" s="89">
        <v>9</v>
      </c>
      <c r="BD706" s="88">
        <v>8</v>
      </c>
      <c r="BE706" s="89">
        <v>4</v>
      </c>
      <c r="BF706" s="88">
        <v>1</v>
      </c>
      <c r="BG706" s="89">
        <v>2</v>
      </c>
      <c r="BH706" s="88">
        <v>6</v>
      </c>
      <c r="BI706" s="221"/>
      <c r="BJ706" s="89">
        <v>7</v>
      </c>
      <c r="BK706" s="88">
        <v>2</v>
      </c>
      <c r="BL706" s="89">
        <v>5</v>
      </c>
      <c r="BM706" s="88">
        <v>8</v>
      </c>
      <c r="BN706" s="89">
        <v>6</v>
      </c>
      <c r="BO706" s="88">
        <v>11</v>
      </c>
      <c r="BP706" s="89">
        <v>12</v>
      </c>
      <c r="BQ706" s="88">
        <v>3</v>
      </c>
      <c r="BR706" s="89">
        <v>1</v>
      </c>
      <c r="BS706" s="88">
        <v>10</v>
      </c>
      <c r="BT706" s="89">
        <v>9</v>
      </c>
      <c r="BU706" s="88">
        <v>4</v>
      </c>
      <c r="BV706" s="221"/>
      <c r="BW706" s="89">
        <v>7</v>
      </c>
      <c r="BX706" s="88">
        <v>10</v>
      </c>
      <c r="BY706" s="89">
        <v>14</v>
      </c>
      <c r="BZ706" s="88">
        <v>9</v>
      </c>
      <c r="CA706" s="89">
        <v>2</v>
      </c>
      <c r="CB706" s="88">
        <v>8</v>
      </c>
      <c r="CC706" s="89">
        <v>6</v>
      </c>
      <c r="CD706" s="88">
        <v>4</v>
      </c>
      <c r="CE706" s="89">
        <v>13</v>
      </c>
      <c r="CF706" s="88">
        <v>1</v>
      </c>
      <c r="CG706" s="89">
        <v>11</v>
      </c>
      <c r="CH706" s="88">
        <v>12</v>
      </c>
      <c r="CI706" s="89">
        <v>3</v>
      </c>
      <c r="CJ706" s="88">
        <v>5</v>
      </c>
      <c r="CK706" s="221"/>
      <c r="CL706" s="89">
        <v>15</v>
      </c>
      <c r="CM706" s="88">
        <v>10</v>
      </c>
      <c r="CN706" s="89">
        <v>16</v>
      </c>
      <c r="CO706" s="88">
        <v>14</v>
      </c>
      <c r="CP706" s="89">
        <v>13</v>
      </c>
      <c r="CQ706" s="88">
        <v>1</v>
      </c>
      <c r="CR706" s="89">
        <v>12</v>
      </c>
      <c r="CS706" s="88">
        <v>8</v>
      </c>
      <c r="CT706" s="89">
        <v>2</v>
      </c>
      <c r="CU706" s="88">
        <v>7</v>
      </c>
      <c r="CV706" s="89">
        <v>3</v>
      </c>
      <c r="CW706" s="88">
        <v>6</v>
      </c>
      <c r="CX706" s="89">
        <v>9</v>
      </c>
      <c r="CY706" s="88">
        <v>11</v>
      </c>
      <c r="CZ706" s="89">
        <v>5</v>
      </c>
      <c r="DA706" s="88">
        <v>4</v>
      </c>
      <c r="DB706" s="221"/>
      <c r="DC706" s="89">
        <v>13</v>
      </c>
      <c r="DD706" s="88">
        <v>15</v>
      </c>
      <c r="DE706" s="89">
        <v>6</v>
      </c>
      <c r="DF706" s="88">
        <v>1</v>
      </c>
      <c r="DG706" s="89">
        <v>4</v>
      </c>
      <c r="DH706" s="88">
        <v>8</v>
      </c>
      <c r="DI706" s="89">
        <v>7</v>
      </c>
      <c r="DJ706" s="88">
        <v>16</v>
      </c>
      <c r="DK706" s="89">
        <v>3</v>
      </c>
      <c r="DL706" s="88">
        <v>9</v>
      </c>
      <c r="DM706" s="89">
        <v>2</v>
      </c>
      <c r="DN706" s="88">
        <v>10</v>
      </c>
      <c r="DO706" s="89">
        <v>5</v>
      </c>
      <c r="DP706" s="88">
        <v>18</v>
      </c>
      <c r="DQ706" s="89">
        <v>17</v>
      </c>
      <c r="DR706" s="88">
        <v>12</v>
      </c>
      <c r="DS706" s="89">
        <v>14</v>
      </c>
      <c r="DT706" s="88">
        <v>11</v>
      </c>
      <c r="DU706" s="221"/>
      <c r="DV706" s="89">
        <v>6</v>
      </c>
      <c r="DW706" s="88">
        <v>20</v>
      </c>
      <c r="DX706" s="89">
        <v>4</v>
      </c>
      <c r="DY706" s="88">
        <v>14</v>
      </c>
      <c r="DZ706" s="89">
        <v>15</v>
      </c>
      <c r="EA706" s="88">
        <v>12</v>
      </c>
      <c r="EB706" s="89">
        <v>19</v>
      </c>
      <c r="EC706" s="88">
        <v>10</v>
      </c>
      <c r="ED706" s="89">
        <v>7</v>
      </c>
      <c r="EE706" s="88">
        <v>13</v>
      </c>
      <c r="EF706" s="89">
        <v>17</v>
      </c>
      <c r="EG706" s="88">
        <v>16</v>
      </c>
      <c r="EH706" s="89">
        <v>2</v>
      </c>
      <c r="EI706" s="88">
        <v>5</v>
      </c>
      <c r="EJ706" s="89">
        <v>1</v>
      </c>
      <c r="EK706" s="88">
        <v>3</v>
      </c>
      <c r="EL706" s="89">
        <v>8</v>
      </c>
      <c r="EM706" s="88">
        <v>11</v>
      </c>
      <c r="EN706" s="89">
        <v>18</v>
      </c>
      <c r="EO706" s="88">
        <v>9</v>
      </c>
      <c r="EP706" s="221"/>
    </row>
    <row r="707" spans="1:146">
      <c r="A707" t="str">
        <f>$B$18</f>
        <v>JASON</v>
      </c>
      <c r="AB707" s="74" t="s">
        <v>43</v>
      </c>
      <c r="AD707" s="89">
        <v>4</v>
      </c>
      <c r="AE707" s="88">
        <v>2</v>
      </c>
      <c r="AF707" s="89">
        <v>3</v>
      </c>
      <c r="AG707" s="88">
        <v>1</v>
      </c>
      <c r="AH707" s="90"/>
      <c r="AI707" s="75">
        <v>2</v>
      </c>
      <c r="AJ707" s="73">
        <v>3</v>
      </c>
      <c r="AK707" s="75">
        <v>4</v>
      </c>
      <c r="AL707" s="73">
        <v>6</v>
      </c>
      <c r="AM707" s="75">
        <v>5</v>
      </c>
      <c r="AN707" s="73">
        <v>1</v>
      </c>
      <c r="AO707" s="90"/>
      <c r="AP707" s="89">
        <v>7</v>
      </c>
      <c r="AQ707" s="88">
        <v>5</v>
      </c>
      <c r="AR707" s="89">
        <v>3</v>
      </c>
      <c r="AS707" s="88">
        <v>2</v>
      </c>
      <c r="AT707" s="89">
        <v>8</v>
      </c>
      <c r="AU707" s="88">
        <v>4</v>
      </c>
      <c r="AV707" s="89">
        <v>1</v>
      </c>
      <c r="AW707" s="88">
        <v>6</v>
      </c>
      <c r="AX707" s="90"/>
      <c r="AY707" s="89">
        <v>7</v>
      </c>
      <c r="AZ707" s="88">
        <v>8</v>
      </c>
      <c r="BA707" s="89">
        <v>6</v>
      </c>
      <c r="BB707" s="88">
        <v>9</v>
      </c>
      <c r="BC707" s="89">
        <v>1</v>
      </c>
      <c r="BD707" s="88">
        <v>3</v>
      </c>
      <c r="BE707" s="89">
        <v>5</v>
      </c>
      <c r="BF707" s="88">
        <v>10</v>
      </c>
      <c r="BG707" s="89">
        <v>4</v>
      </c>
      <c r="BH707" s="88">
        <v>2</v>
      </c>
      <c r="BI707" s="221"/>
      <c r="BJ707" s="89">
        <v>1</v>
      </c>
      <c r="BK707" s="88">
        <v>4</v>
      </c>
      <c r="BL707" s="89">
        <v>3</v>
      </c>
      <c r="BM707" s="88">
        <v>11</v>
      </c>
      <c r="BN707" s="89">
        <v>9</v>
      </c>
      <c r="BO707" s="88">
        <v>5</v>
      </c>
      <c r="BP707" s="89">
        <v>2</v>
      </c>
      <c r="BQ707" s="88">
        <v>8</v>
      </c>
      <c r="BR707" s="89">
        <v>7</v>
      </c>
      <c r="BS707" s="88">
        <v>12</v>
      </c>
      <c r="BT707" s="89">
        <v>10</v>
      </c>
      <c r="BU707" s="88">
        <v>6</v>
      </c>
      <c r="BV707" s="221"/>
      <c r="BW707" s="89">
        <v>4</v>
      </c>
      <c r="BX707" s="88">
        <v>7</v>
      </c>
      <c r="BY707" s="89">
        <v>6</v>
      </c>
      <c r="BZ707" s="88">
        <v>3</v>
      </c>
      <c r="CA707" s="89">
        <v>12</v>
      </c>
      <c r="CB707" s="88">
        <v>14</v>
      </c>
      <c r="CC707" s="89">
        <v>10</v>
      </c>
      <c r="CD707" s="88">
        <v>13</v>
      </c>
      <c r="CE707" s="89">
        <v>8</v>
      </c>
      <c r="CF707" s="88">
        <v>11</v>
      </c>
      <c r="CG707" s="89">
        <v>5</v>
      </c>
      <c r="CH707" s="88">
        <v>2</v>
      </c>
      <c r="CI707" s="89">
        <v>9</v>
      </c>
      <c r="CJ707" s="88">
        <v>1</v>
      </c>
      <c r="CK707" s="221"/>
      <c r="CL707" s="89">
        <v>1</v>
      </c>
      <c r="CM707" s="88">
        <v>16</v>
      </c>
      <c r="CN707" s="89">
        <v>13</v>
      </c>
      <c r="CO707" s="88">
        <v>12</v>
      </c>
      <c r="CP707" s="89">
        <v>14</v>
      </c>
      <c r="CQ707" s="88">
        <v>3</v>
      </c>
      <c r="CR707" s="89">
        <v>11</v>
      </c>
      <c r="CS707" s="88">
        <v>2</v>
      </c>
      <c r="CT707" s="89">
        <v>4</v>
      </c>
      <c r="CU707" s="88">
        <v>7</v>
      </c>
      <c r="CV707" s="89">
        <v>8</v>
      </c>
      <c r="CW707" s="88">
        <v>9</v>
      </c>
      <c r="CX707" s="89">
        <v>6</v>
      </c>
      <c r="CY707" s="88">
        <v>15</v>
      </c>
      <c r="CZ707" s="89">
        <v>10</v>
      </c>
      <c r="DA707" s="88">
        <v>5</v>
      </c>
      <c r="DB707" s="221"/>
      <c r="DC707" s="89">
        <v>15</v>
      </c>
      <c r="DD707" s="88">
        <v>3</v>
      </c>
      <c r="DE707" s="89">
        <v>16</v>
      </c>
      <c r="DF707" s="88">
        <v>6</v>
      </c>
      <c r="DG707" s="89">
        <v>10</v>
      </c>
      <c r="DH707" s="88">
        <v>4</v>
      </c>
      <c r="DI707" s="89">
        <v>12</v>
      </c>
      <c r="DJ707" s="88">
        <v>7</v>
      </c>
      <c r="DK707" s="89">
        <v>1</v>
      </c>
      <c r="DL707" s="88">
        <v>13</v>
      </c>
      <c r="DM707" s="89">
        <v>18</v>
      </c>
      <c r="DN707" s="88">
        <v>2</v>
      </c>
      <c r="DO707" s="89">
        <v>8</v>
      </c>
      <c r="DP707" s="88">
        <v>17</v>
      </c>
      <c r="DQ707" s="89">
        <v>11</v>
      </c>
      <c r="DR707" s="88">
        <v>5</v>
      </c>
      <c r="DS707" s="89">
        <v>9</v>
      </c>
      <c r="DT707" s="88">
        <v>14</v>
      </c>
      <c r="DU707" s="221"/>
      <c r="DV707" s="89">
        <v>16</v>
      </c>
      <c r="DW707" s="88">
        <v>7</v>
      </c>
      <c r="DX707" s="89">
        <v>13</v>
      </c>
      <c r="DY707" s="88">
        <v>6</v>
      </c>
      <c r="DZ707" s="89">
        <v>3</v>
      </c>
      <c r="EA707" s="88">
        <v>15</v>
      </c>
      <c r="EB707" s="89">
        <v>12</v>
      </c>
      <c r="EC707" s="88">
        <v>2</v>
      </c>
      <c r="ED707" s="89">
        <v>5</v>
      </c>
      <c r="EE707" s="88">
        <v>18</v>
      </c>
      <c r="EF707" s="89">
        <v>10</v>
      </c>
      <c r="EG707" s="88">
        <v>1</v>
      </c>
      <c r="EH707" s="89">
        <v>9</v>
      </c>
      <c r="EI707" s="88">
        <v>17</v>
      </c>
      <c r="EJ707" s="89">
        <v>19</v>
      </c>
      <c r="EK707" s="88">
        <v>14</v>
      </c>
      <c r="EL707" s="89">
        <v>20</v>
      </c>
      <c r="EM707" s="88">
        <v>8</v>
      </c>
      <c r="EN707" s="89">
        <v>11</v>
      </c>
      <c r="EO707" s="88">
        <v>4</v>
      </c>
      <c r="EP707" s="221"/>
    </row>
    <row r="708" spans="1:146">
      <c r="A708" t="str">
        <f>$B$23</f>
        <v>TRAYE</v>
      </c>
      <c r="AB708" s="74" t="s">
        <v>44</v>
      </c>
      <c r="AD708" s="89">
        <v>2</v>
      </c>
      <c r="AE708" s="88">
        <v>1</v>
      </c>
      <c r="AF708" s="89">
        <v>4</v>
      </c>
      <c r="AG708" s="88">
        <v>3</v>
      </c>
      <c r="AH708" s="90"/>
      <c r="AI708" s="75">
        <v>3</v>
      </c>
      <c r="AJ708" s="73">
        <v>5</v>
      </c>
      <c r="AK708" s="75">
        <v>1</v>
      </c>
      <c r="AL708" s="73">
        <v>4</v>
      </c>
      <c r="AM708" s="75">
        <v>2</v>
      </c>
      <c r="AN708" s="73">
        <v>6</v>
      </c>
      <c r="AO708" s="90"/>
      <c r="AP708" s="89">
        <v>7</v>
      </c>
      <c r="AQ708" s="88">
        <v>3</v>
      </c>
      <c r="AR708" s="89">
        <v>8</v>
      </c>
      <c r="AS708" s="88">
        <v>2</v>
      </c>
      <c r="AT708" s="89">
        <v>4</v>
      </c>
      <c r="AU708" s="88">
        <v>6</v>
      </c>
      <c r="AV708" s="89">
        <v>1</v>
      </c>
      <c r="AW708" s="88">
        <v>5</v>
      </c>
      <c r="AX708" s="90"/>
      <c r="AY708" s="89">
        <v>3</v>
      </c>
      <c r="AZ708" s="88">
        <v>10</v>
      </c>
      <c r="BA708" s="89">
        <v>2</v>
      </c>
      <c r="BB708" s="88">
        <v>1</v>
      </c>
      <c r="BC708" s="89">
        <v>9</v>
      </c>
      <c r="BD708" s="88">
        <v>4</v>
      </c>
      <c r="BE708" s="89">
        <v>8</v>
      </c>
      <c r="BF708" s="88">
        <v>5</v>
      </c>
      <c r="BG708" s="89">
        <v>7</v>
      </c>
      <c r="BH708" s="88">
        <v>6</v>
      </c>
      <c r="BI708" s="221"/>
      <c r="BJ708" s="89">
        <v>10</v>
      </c>
      <c r="BK708" s="88">
        <v>3</v>
      </c>
      <c r="BL708" s="89">
        <v>2</v>
      </c>
      <c r="BM708" s="88">
        <v>5</v>
      </c>
      <c r="BN708" s="89">
        <v>12</v>
      </c>
      <c r="BO708" s="88">
        <v>6</v>
      </c>
      <c r="BP708" s="89">
        <v>9</v>
      </c>
      <c r="BQ708" s="88">
        <v>1</v>
      </c>
      <c r="BR708" s="89">
        <v>8</v>
      </c>
      <c r="BS708" s="88">
        <v>4</v>
      </c>
      <c r="BT708" s="89">
        <v>11</v>
      </c>
      <c r="BU708" s="88">
        <v>7</v>
      </c>
      <c r="BV708" s="221"/>
      <c r="BW708" s="89">
        <v>10</v>
      </c>
      <c r="BX708" s="88">
        <v>9</v>
      </c>
      <c r="BY708" s="89">
        <v>13</v>
      </c>
      <c r="BZ708" s="88">
        <v>7</v>
      </c>
      <c r="CA708" s="89">
        <v>11</v>
      </c>
      <c r="CB708" s="88">
        <v>5</v>
      </c>
      <c r="CC708" s="89">
        <v>1</v>
      </c>
      <c r="CD708" s="88">
        <v>12</v>
      </c>
      <c r="CE708" s="89">
        <v>3</v>
      </c>
      <c r="CF708" s="88">
        <v>4</v>
      </c>
      <c r="CG708" s="89">
        <v>14</v>
      </c>
      <c r="CH708" s="88">
        <v>8</v>
      </c>
      <c r="CI708" s="89">
        <v>2</v>
      </c>
      <c r="CJ708" s="88">
        <v>6</v>
      </c>
      <c r="CK708" s="221"/>
      <c r="CL708" s="89">
        <v>12</v>
      </c>
      <c r="CM708" s="88">
        <v>1</v>
      </c>
      <c r="CN708" s="89">
        <v>9</v>
      </c>
      <c r="CO708" s="88">
        <v>13</v>
      </c>
      <c r="CP708" s="89">
        <v>11</v>
      </c>
      <c r="CQ708" s="88">
        <v>4</v>
      </c>
      <c r="CR708" s="89">
        <v>3</v>
      </c>
      <c r="CS708" s="88">
        <v>16</v>
      </c>
      <c r="CT708" s="89">
        <v>5</v>
      </c>
      <c r="CU708" s="88">
        <v>6</v>
      </c>
      <c r="CV708" s="89">
        <v>15</v>
      </c>
      <c r="CW708" s="88">
        <v>14</v>
      </c>
      <c r="CX708" s="89">
        <v>2</v>
      </c>
      <c r="CY708" s="88">
        <v>8</v>
      </c>
      <c r="CZ708" s="89">
        <v>7</v>
      </c>
      <c r="DA708" s="88">
        <v>10</v>
      </c>
      <c r="DB708" s="221"/>
      <c r="DC708" s="89">
        <v>16</v>
      </c>
      <c r="DD708" s="88">
        <v>1</v>
      </c>
      <c r="DE708" s="89">
        <v>3</v>
      </c>
      <c r="DF708" s="88">
        <v>13</v>
      </c>
      <c r="DG708" s="89">
        <v>10</v>
      </c>
      <c r="DH708" s="88">
        <v>17</v>
      </c>
      <c r="DI708" s="89">
        <v>12</v>
      </c>
      <c r="DJ708" s="88">
        <v>6</v>
      </c>
      <c r="DK708" s="89">
        <v>18</v>
      </c>
      <c r="DL708" s="88">
        <v>4</v>
      </c>
      <c r="DM708" s="89">
        <v>14</v>
      </c>
      <c r="DN708" s="88">
        <v>15</v>
      </c>
      <c r="DO708" s="89">
        <v>5</v>
      </c>
      <c r="DP708" s="88">
        <v>9</v>
      </c>
      <c r="DQ708" s="89">
        <v>8</v>
      </c>
      <c r="DR708" s="88">
        <v>7</v>
      </c>
      <c r="DS708" s="89">
        <v>2</v>
      </c>
      <c r="DT708" s="88">
        <v>11</v>
      </c>
      <c r="DU708" s="221"/>
      <c r="DV708" s="89">
        <v>2</v>
      </c>
      <c r="DW708" s="88">
        <v>3</v>
      </c>
      <c r="DX708" s="89">
        <v>18</v>
      </c>
      <c r="DY708" s="88">
        <v>12</v>
      </c>
      <c r="DZ708" s="89">
        <v>15</v>
      </c>
      <c r="EA708" s="88">
        <v>10</v>
      </c>
      <c r="EB708" s="89">
        <v>8</v>
      </c>
      <c r="EC708" s="88">
        <v>13</v>
      </c>
      <c r="ED708" s="89">
        <v>6</v>
      </c>
      <c r="EE708" s="88">
        <v>16</v>
      </c>
      <c r="EF708" s="89">
        <v>9</v>
      </c>
      <c r="EG708" s="88">
        <v>5</v>
      </c>
      <c r="EH708" s="89">
        <v>19</v>
      </c>
      <c r="EI708" s="88">
        <v>11</v>
      </c>
      <c r="EJ708" s="89">
        <v>17</v>
      </c>
      <c r="EK708" s="88">
        <v>7</v>
      </c>
      <c r="EL708" s="89">
        <v>1</v>
      </c>
      <c r="EM708" s="88">
        <v>14</v>
      </c>
      <c r="EN708" s="89">
        <v>4</v>
      </c>
      <c r="EO708" s="88">
        <v>20</v>
      </c>
      <c r="EP708" s="221"/>
    </row>
    <row r="709" spans="1:146">
      <c r="A709" t="str">
        <f>$B$28</f>
        <v>WC</v>
      </c>
      <c r="AB709" s="74" t="s">
        <v>45</v>
      </c>
      <c r="AD709" s="89">
        <v>3</v>
      </c>
      <c r="AE709" s="88">
        <v>2</v>
      </c>
      <c r="AF709" s="89">
        <v>4</v>
      </c>
      <c r="AG709" s="88">
        <v>1</v>
      </c>
      <c r="AH709" s="90"/>
      <c r="AI709" s="75">
        <v>4</v>
      </c>
      <c r="AJ709" s="73">
        <v>2</v>
      </c>
      <c r="AK709" s="75">
        <v>1</v>
      </c>
      <c r="AL709" s="73">
        <v>3</v>
      </c>
      <c r="AM709" s="75">
        <v>6</v>
      </c>
      <c r="AN709" s="73">
        <v>5</v>
      </c>
      <c r="AO709" s="90"/>
      <c r="AP709" s="89">
        <v>3</v>
      </c>
      <c r="AQ709" s="88">
        <v>5</v>
      </c>
      <c r="AR709" s="89">
        <v>4</v>
      </c>
      <c r="AS709" s="88">
        <v>1</v>
      </c>
      <c r="AT709" s="89">
        <v>8</v>
      </c>
      <c r="AU709" s="88">
        <v>7</v>
      </c>
      <c r="AV709" s="89">
        <v>6</v>
      </c>
      <c r="AW709" s="88">
        <v>2</v>
      </c>
      <c r="AX709" s="90"/>
      <c r="AY709" s="89">
        <v>3</v>
      </c>
      <c r="AZ709" s="88">
        <v>8</v>
      </c>
      <c r="BA709" s="89">
        <v>9</v>
      </c>
      <c r="BB709" s="88">
        <v>2</v>
      </c>
      <c r="BC709" s="89">
        <v>7</v>
      </c>
      <c r="BD709" s="88">
        <v>4</v>
      </c>
      <c r="BE709" s="89">
        <v>1</v>
      </c>
      <c r="BF709" s="88">
        <v>10</v>
      </c>
      <c r="BG709" s="89">
        <v>5</v>
      </c>
      <c r="BH709" s="88">
        <v>6</v>
      </c>
      <c r="BI709" s="221"/>
      <c r="BJ709" s="89">
        <v>5</v>
      </c>
      <c r="BK709" s="88">
        <v>12</v>
      </c>
      <c r="BL709" s="89">
        <v>7</v>
      </c>
      <c r="BM709" s="88">
        <v>10</v>
      </c>
      <c r="BN709" s="89">
        <v>1</v>
      </c>
      <c r="BO709" s="88">
        <v>8</v>
      </c>
      <c r="BP709" s="89">
        <v>11</v>
      </c>
      <c r="BQ709" s="88">
        <v>4</v>
      </c>
      <c r="BR709" s="89">
        <v>9</v>
      </c>
      <c r="BS709" s="88">
        <v>3</v>
      </c>
      <c r="BT709" s="89">
        <v>6</v>
      </c>
      <c r="BU709" s="88">
        <v>2</v>
      </c>
      <c r="BV709" s="221"/>
      <c r="BW709" s="89">
        <v>5</v>
      </c>
      <c r="BX709" s="88">
        <v>14</v>
      </c>
      <c r="BY709" s="89">
        <v>9</v>
      </c>
      <c r="BZ709" s="88">
        <v>7</v>
      </c>
      <c r="CA709" s="89">
        <v>4</v>
      </c>
      <c r="CB709" s="88">
        <v>13</v>
      </c>
      <c r="CC709" s="89">
        <v>6</v>
      </c>
      <c r="CD709" s="88">
        <v>11</v>
      </c>
      <c r="CE709" s="89">
        <v>8</v>
      </c>
      <c r="CF709" s="88">
        <v>1</v>
      </c>
      <c r="CG709" s="89">
        <v>3</v>
      </c>
      <c r="CH709" s="88">
        <v>2</v>
      </c>
      <c r="CI709" s="89">
        <v>12</v>
      </c>
      <c r="CJ709" s="88">
        <v>10</v>
      </c>
      <c r="CK709" s="221"/>
      <c r="CL709" s="89">
        <v>4</v>
      </c>
      <c r="CM709" s="88">
        <v>8</v>
      </c>
      <c r="CN709" s="89">
        <v>6</v>
      </c>
      <c r="CO709" s="88">
        <v>7</v>
      </c>
      <c r="CP709" s="89">
        <v>14</v>
      </c>
      <c r="CQ709" s="88">
        <v>5</v>
      </c>
      <c r="CR709" s="89">
        <v>12</v>
      </c>
      <c r="CS709" s="88">
        <v>9</v>
      </c>
      <c r="CT709" s="89">
        <v>10</v>
      </c>
      <c r="CU709" s="88">
        <v>11</v>
      </c>
      <c r="CV709" s="89">
        <v>16</v>
      </c>
      <c r="CW709" s="88">
        <v>15</v>
      </c>
      <c r="CX709" s="89">
        <v>1</v>
      </c>
      <c r="CY709" s="88">
        <v>3</v>
      </c>
      <c r="CZ709" s="89">
        <v>13</v>
      </c>
      <c r="DA709" s="88">
        <v>2</v>
      </c>
      <c r="DB709" s="221"/>
      <c r="DC709" s="89">
        <v>4</v>
      </c>
      <c r="DD709" s="88">
        <v>11</v>
      </c>
      <c r="DE709" s="89">
        <v>6</v>
      </c>
      <c r="DF709" s="88">
        <v>8</v>
      </c>
      <c r="DG709" s="89">
        <v>15</v>
      </c>
      <c r="DH709" s="88">
        <v>5</v>
      </c>
      <c r="DI709" s="89">
        <v>16</v>
      </c>
      <c r="DJ709" s="88">
        <v>12</v>
      </c>
      <c r="DK709" s="89">
        <v>17</v>
      </c>
      <c r="DL709" s="88">
        <v>18</v>
      </c>
      <c r="DM709" s="89">
        <v>1</v>
      </c>
      <c r="DN709" s="88">
        <v>3</v>
      </c>
      <c r="DO709" s="89">
        <v>13</v>
      </c>
      <c r="DP709" s="88">
        <v>14</v>
      </c>
      <c r="DQ709" s="89">
        <v>9</v>
      </c>
      <c r="DR709" s="88">
        <v>2</v>
      </c>
      <c r="DS709" s="89">
        <v>7</v>
      </c>
      <c r="DT709" s="88">
        <v>10</v>
      </c>
      <c r="DU709" s="221"/>
      <c r="DV709" s="89">
        <v>3</v>
      </c>
      <c r="DW709" s="88">
        <v>18</v>
      </c>
      <c r="DX709" s="89">
        <v>14</v>
      </c>
      <c r="DY709" s="88">
        <v>15</v>
      </c>
      <c r="DZ709" s="89">
        <v>13</v>
      </c>
      <c r="EA709" s="88">
        <v>4</v>
      </c>
      <c r="EB709" s="89">
        <v>10</v>
      </c>
      <c r="EC709" s="88">
        <v>2</v>
      </c>
      <c r="ED709" s="89">
        <v>11</v>
      </c>
      <c r="EE709" s="88">
        <v>1</v>
      </c>
      <c r="EF709" s="89">
        <v>12</v>
      </c>
      <c r="EG709" s="88">
        <v>9</v>
      </c>
      <c r="EH709" s="89">
        <v>5</v>
      </c>
      <c r="EI709" s="88">
        <v>17</v>
      </c>
      <c r="EJ709" s="89">
        <v>7</v>
      </c>
      <c r="EK709" s="88">
        <v>6</v>
      </c>
      <c r="EL709" s="89">
        <v>20</v>
      </c>
      <c r="EM709" s="88">
        <v>19</v>
      </c>
      <c r="EN709" s="89">
        <v>8</v>
      </c>
      <c r="EO709" s="88">
        <v>16</v>
      </c>
      <c r="EP709" s="221"/>
    </row>
    <row r="710" spans="1:146">
      <c r="A710" t="str">
        <f>$B$33</f>
        <v>DON</v>
      </c>
      <c r="AB710" s="74" t="s">
        <v>46</v>
      </c>
      <c r="AD710" s="89">
        <v>2</v>
      </c>
      <c r="AE710" s="88">
        <v>4</v>
      </c>
      <c r="AF710" s="89">
        <v>1</v>
      </c>
      <c r="AG710" s="88">
        <v>3</v>
      </c>
      <c r="AH710" s="90"/>
      <c r="AI710" s="75">
        <v>5</v>
      </c>
      <c r="AJ710" s="73">
        <v>4</v>
      </c>
      <c r="AK710" s="75">
        <v>3</v>
      </c>
      <c r="AL710" s="73">
        <v>6</v>
      </c>
      <c r="AM710" s="75">
        <v>1</v>
      </c>
      <c r="AN710" s="73">
        <v>2</v>
      </c>
      <c r="AO710" s="90"/>
      <c r="AP710" s="89">
        <v>2</v>
      </c>
      <c r="AQ710" s="88">
        <v>4</v>
      </c>
      <c r="AR710" s="89">
        <v>6</v>
      </c>
      <c r="AS710" s="88">
        <v>7</v>
      </c>
      <c r="AT710" s="89">
        <v>1</v>
      </c>
      <c r="AU710" s="88">
        <v>3</v>
      </c>
      <c r="AV710" s="89">
        <v>5</v>
      </c>
      <c r="AW710" s="88">
        <v>8</v>
      </c>
      <c r="AX710" s="90"/>
      <c r="AY710" s="89">
        <v>8</v>
      </c>
      <c r="AZ710" s="88">
        <v>10</v>
      </c>
      <c r="BA710" s="89">
        <v>9</v>
      </c>
      <c r="BB710" s="88">
        <v>1</v>
      </c>
      <c r="BC710" s="89">
        <v>4</v>
      </c>
      <c r="BD710" s="88">
        <v>5</v>
      </c>
      <c r="BE710" s="89">
        <v>2</v>
      </c>
      <c r="BF710" s="88">
        <v>7</v>
      </c>
      <c r="BG710" s="89">
        <v>6</v>
      </c>
      <c r="BH710" s="88">
        <v>3</v>
      </c>
      <c r="BI710" s="221"/>
      <c r="BJ710" s="89">
        <v>2</v>
      </c>
      <c r="BK710" s="88">
        <v>11</v>
      </c>
      <c r="BL710" s="89">
        <v>8</v>
      </c>
      <c r="BM710" s="88">
        <v>3</v>
      </c>
      <c r="BN710" s="89">
        <v>4</v>
      </c>
      <c r="BO710" s="88">
        <v>12</v>
      </c>
      <c r="BP710" s="89">
        <v>6</v>
      </c>
      <c r="BQ710" s="88">
        <v>9</v>
      </c>
      <c r="BR710" s="89">
        <v>10</v>
      </c>
      <c r="BS710" s="88">
        <v>5</v>
      </c>
      <c r="BT710" s="89">
        <v>7</v>
      </c>
      <c r="BU710" s="88">
        <v>1</v>
      </c>
      <c r="BV710" s="221"/>
      <c r="BW710" s="89">
        <v>14</v>
      </c>
      <c r="BX710" s="88">
        <v>6</v>
      </c>
      <c r="BY710" s="89">
        <v>13</v>
      </c>
      <c r="BZ710" s="88">
        <v>9</v>
      </c>
      <c r="CA710" s="89">
        <v>7</v>
      </c>
      <c r="CB710" s="88">
        <v>12</v>
      </c>
      <c r="CC710" s="89">
        <v>1</v>
      </c>
      <c r="CD710" s="88">
        <v>5</v>
      </c>
      <c r="CE710" s="89">
        <v>2</v>
      </c>
      <c r="CF710" s="88">
        <v>4</v>
      </c>
      <c r="CG710" s="89">
        <v>11</v>
      </c>
      <c r="CH710" s="88">
        <v>3</v>
      </c>
      <c r="CI710" s="89">
        <v>10</v>
      </c>
      <c r="CJ710" s="88">
        <v>8</v>
      </c>
      <c r="CK710" s="221"/>
      <c r="CL710" s="89">
        <v>2</v>
      </c>
      <c r="CM710" s="88">
        <v>12</v>
      </c>
      <c r="CN710" s="89">
        <v>8</v>
      </c>
      <c r="CO710" s="88">
        <v>10</v>
      </c>
      <c r="CP710" s="89">
        <v>11</v>
      </c>
      <c r="CQ710" s="88">
        <v>6</v>
      </c>
      <c r="CR710" s="89">
        <v>5</v>
      </c>
      <c r="CS710" s="88">
        <v>16</v>
      </c>
      <c r="CT710" s="89">
        <v>15</v>
      </c>
      <c r="CU710" s="88">
        <v>3</v>
      </c>
      <c r="CV710" s="89">
        <v>9</v>
      </c>
      <c r="CW710" s="88">
        <v>1</v>
      </c>
      <c r="CX710" s="89">
        <v>13</v>
      </c>
      <c r="CY710" s="88">
        <v>4</v>
      </c>
      <c r="CZ710" s="89">
        <v>7</v>
      </c>
      <c r="DA710" s="88">
        <v>14</v>
      </c>
      <c r="DB710" s="221"/>
      <c r="DC710" s="89">
        <v>18</v>
      </c>
      <c r="DD710" s="88">
        <v>7</v>
      </c>
      <c r="DE710" s="89">
        <v>2</v>
      </c>
      <c r="DF710" s="88">
        <v>15</v>
      </c>
      <c r="DG710" s="89">
        <v>10</v>
      </c>
      <c r="DH710" s="88">
        <v>6</v>
      </c>
      <c r="DI710" s="89">
        <v>9</v>
      </c>
      <c r="DJ710" s="88">
        <v>4</v>
      </c>
      <c r="DK710" s="89">
        <v>14</v>
      </c>
      <c r="DL710" s="88">
        <v>3</v>
      </c>
      <c r="DM710" s="89">
        <v>12</v>
      </c>
      <c r="DN710" s="88">
        <v>1</v>
      </c>
      <c r="DO710" s="89">
        <v>11</v>
      </c>
      <c r="DP710" s="88">
        <v>17</v>
      </c>
      <c r="DQ710" s="89">
        <v>8</v>
      </c>
      <c r="DR710" s="88">
        <v>16</v>
      </c>
      <c r="DS710" s="89">
        <v>5</v>
      </c>
      <c r="DT710" s="88">
        <v>13</v>
      </c>
      <c r="DU710" s="221"/>
      <c r="DV710" s="89">
        <v>12</v>
      </c>
      <c r="DW710" s="88">
        <v>5</v>
      </c>
      <c r="DX710" s="89">
        <v>1</v>
      </c>
      <c r="DY710" s="88">
        <v>20</v>
      </c>
      <c r="DZ710" s="89">
        <v>19</v>
      </c>
      <c r="EA710" s="88">
        <v>13</v>
      </c>
      <c r="EB710" s="89">
        <v>10</v>
      </c>
      <c r="EC710" s="88">
        <v>18</v>
      </c>
      <c r="ED710" s="89">
        <v>4</v>
      </c>
      <c r="EE710" s="88">
        <v>16</v>
      </c>
      <c r="EF710" s="89">
        <v>11</v>
      </c>
      <c r="EG710" s="88">
        <v>15</v>
      </c>
      <c r="EH710" s="89">
        <v>3</v>
      </c>
      <c r="EI710" s="88">
        <v>9</v>
      </c>
      <c r="EJ710" s="89">
        <v>6</v>
      </c>
      <c r="EK710" s="88">
        <v>17</v>
      </c>
      <c r="EL710" s="89">
        <v>14</v>
      </c>
      <c r="EM710" s="88">
        <v>2</v>
      </c>
      <c r="EN710" s="89">
        <v>8</v>
      </c>
      <c r="EO710" s="88">
        <v>7</v>
      </c>
      <c r="EP710" s="221"/>
    </row>
    <row r="711" spans="1:146">
      <c r="A711" t="str">
        <f>$B$38</f>
        <v>SAM</v>
      </c>
      <c r="AB711" s="74" t="s">
        <v>47</v>
      </c>
      <c r="AD711" s="89">
        <v>1</v>
      </c>
      <c r="AE711" s="88">
        <v>2</v>
      </c>
      <c r="AF711" s="89">
        <v>3</v>
      </c>
      <c r="AG711" s="88">
        <v>4</v>
      </c>
      <c r="AH711" s="90"/>
      <c r="AI711" s="75">
        <v>4</v>
      </c>
      <c r="AJ711" s="73">
        <v>3</v>
      </c>
      <c r="AK711" s="75">
        <v>1</v>
      </c>
      <c r="AL711" s="73">
        <v>6</v>
      </c>
      <c r="AM711" s="75">
        <v>2</v>
      </c>
      <c r="AN711" s="73">
        <v>5</v>
      </c>
      <c r="AO711" s="90"/>
      <c r="AP711" s="89">
        <v>1</v>
      </c>
      <c r="AQ711" s="88">
        <v>2</v>
      </c>
      <c r="AR711" s="89">
        <v>3</v>
      </c>
      <c r="AS711" s="88">
        <v>8</v>
      </c>
      <c r="AT711" s="89">
        <v>5</v>
      </c>
      <c r="AU711" s="88">
        <v>6</v>
      </c>
      <c r="AV711" s="89">
        <v>7</v>
      </c>
      <c r="AW711" s="88">
        <v>4</v>
      </c>
      <c r="AX711" s="90"/>
      <c r="AY711" s="89">
        <v>3</v>
      </c>
      <c r="AZ711" s="88">
        <v>4</v>
      </c>
      <c r="BA711" s="89">
        <v>10</v>
      </c>
      <c r="BB711" s="88">
        <v>6</v>
      </c>
      <c r="BC711" s="89">
        <v>1</v>
      </c>
      <c r="BD711" s="88">
        <v>8</v>
      </c>
      <c r="BE711" s="89">
        <v>5</v>
      </c>
      <c r="BF711" s="88">
        <v>2</v>
      </c>
      <c r="BG711" s="89">
        <v>7</v>
      </c>
      <c r="BH711" s="88">
        <v>9</v>
      </c>
      <c r="BI711" s="221"/>
      <c r="BJ711" s="89">
        <v>4</v>
      </c>
      <c r="BK711" s="88">
        <v>10</v>
      </c>
      <c r="BL711" s="89">
        <v>1</v>
      </c>
      <c r="BM711" s="88">
        <v>6</v>
      </c>
      <c r="BN711" s="89">
        <v>7</v>
      </c>
      <c r="BO711" s="88">
        <v>3</v>
      </c>
      <c r="BP711" s="89">
        <v>8</v>
      </c>
      <c r="BQ711" s="88">
        <v>12</v>
      </c>
      <c r="BR711" s="89">
        <v>2</v>
      </c>
      <c r="BS711" s="88">
        <v>9</v>
      </c>
      <c r="BT711" s="89">
        <v>5</v>
      </c>
      <c r="BU711" s="88">
        <v>11</v>
      </c>
      <c r="BV711" s="221"/>
      <c r="BW711" s="89">
        <v>6</v>
      </c>
      <c r="BX711" s="88">
        <v>1</v>
      </c>
      <c r="BY711" s="89">
        <v>2</v>
      </c>
      <c r="BZ711" s="88">
        <v>11</v>
      </c>
      <c r="CA711" s="89">
        <v>3</v>
      </c>
      <c r="CB711" s="88">
        <v>14</v>
      </c>
      <c r="CC711" s="89">
        <v>8</v>
      </c>
      <c r="CD711" s="88">
        <v>7</v>
      </c>
      <c r="CE711" s="89">
        <v>4</v>
      </c>
      <c r="CF711" s="88">
        <v>9</v>
      </c>
      <c r="CG711" s="89">
        <v>12</v>
      </c>
      <c r="CH711" s="88">
        <v>13</v>
      </c>
      <c r="CI711" s="89">
        <v>5</v>
      </c>
      <c r="CJ711" s="88">
        <v>10</v>
      </c>
      <c r="CK711" s="221"/>
      <c r="CL711" s="89">
        <v>6</v>
      </c>
      <c r="CM711" s="88">
        <v>8</v>
      </c>
      <c r="CN711" s="89">
        <v>3</v>
      </c>
      <c r="CO711" s="88">
        <v>5</v>
      </c>
      <c r="CP711" s="89">
        <v>9</v>
      </c>
      <c r="CQ711" s="88">
        <v>2</v>
      </c>
      <c r="CR711" s="89">
        <v>4</v>
      </c>
      <c r="CS711" s="88">
        <v>12</v>
      </c>
      <c r="CT711" s="89">
        <v>14</v>
      </c>
      <c r="CU711" s="88">
        <v>11</v>
      </c>
      <c r="CV711" s="89">
        <v>1</v>
      </c>
      <c r="CW711" s="88">
        <v>15</v>
      </c>
      <c r="CX711" s="89">
        <v>16</v>
      </c>
      <c r="CY711" s="88">
        <v>7</v>
      </c>
      <c r="CZ711" s="89">
        <v>10</v>
      </c>
      <c r="DA711" s="88">
        <v>13</v>
      </c>
      <c r="DB711" s="221"/>
      <c r="DC711" s="89">
        <v>17</v>
      </c>
      <c r="DD711" s="88">
        <v>9</v>
      </c>
      <c r="DE711" s="89">
        <v>7</v>
      </c>
      <c r="DF711" s="88">
        <v>11</v>
      </c>
      <c r="DG711" s="89">
        <v>3</v>
      </c>
      <c r="DH711" s="88">
        <v>5</v>
      </c>
      <c r="DI711" s="89">
        <v>13</v>
      </c>
      <c r="DJ711" s="88">
        <v>2</v>
      </c>
      <c r="DK711" s="89">
        <v>4</v>
      </c>
      <c r="DL711" s="88">
        <v>15</v>
      </c>
      <c r="DM711" s="89">
        <v>1</v>
      </c>
      <c r="DN711" s="88">
        <v>14</v>
      </c>
      <c r="DO711" s="89">
        <v>16</v>
      </c>
      <c r="DP711" s="88">
        <v>10</v>
      </c>
      <c r="DQ711" s="89">
        <v>6</v>
      </c>
      <c r="DR711" s="88">
        <v>18</v>
      </c>
      <c r="DS711" s="89">
        <v>12</v>
      </c>
      <c r="DT711" s="88">
        <v>8</v>
      </c>
      <c r="DU711" s="221"/>
      <c r="DV711" s="89">
        <v>5</v>
      </c>
      <c r="DW711" s="88">
        <v>3</v>
      </c>
      <c r="DX711" s="89">
        <v>16</v>
      </c>
      <c r="DY711" s="88">
        <v>19</v>
      </c>
      <c r="DZ711" s="89">
        <v>7</v>
      </c>
      <c r="EA711" s="88">
        <v>4</v>
      </c>
      <c r="EB711" s="89">
        <v>15</v>
      </c>
      <c r="EC711" s="88">
        <v>20</v>
      </c>
      <c r="ED711" s="89">
        <v>2</v>
      </c>
      <c r="EE711" s="88">
        <v>11</v>
      </c>
      <c r="EF711" s="89">
        <v>6</v>
      </c>
      <c r="EG711" s="88">
        <v>8</v>
      </c>
      <c r="EH711" s="89">
        <v>13</v>
      </c>
      <c r="EI711" s="88">
        <v>1</v>
      </c>
      <c r="EJ711" s="89">
        <v>9</v>
      </c>
      <c r="EK711" s="88">
        <v>10</v>
      </c>
      <c r="EL711" s="89">
        <v>18</v>
      </c>
      <c r="EM711" s="88">
        <v>14</v>
      </c>
      <c r="EN711" s="89">
        <v>17</v>
      </c>
      <c r="EO711" s="88">
        <v>12</v>
      </c>
      <c r="EP711" s="221"/>
    </row>
    <row r="712" spans="1:146">
      <c r="A712" s="87" t="s">
        <v>154</v>
      </c>
      <c r="AB712" s="74" t="s">
        <v>48</v>
      </c>
      <c r="AD712" s="89">
        <v>1</v>
      </c>
      <c r="AE712" s="88">
        <v>4</v>
      </c>
      <c r="AF712" s="89">
        <v>2</v>
      </c>
      <c r="AG712" s="88">
        <v>3</v>
      </c>
      <c r="AH712" s="90"/>
      <c r="AI712" s="75">
        <v>1</v>
      </c>
      <c r="AJ712" s="73">
        <v>5</v>
      </c>
      <c r="AK712" s="75">
        <v>3</v>
      </c>
      <c r="AL712" s="73">
        <v>2</v>
      </c>
      <c r="AM712" s="75">
        <v>6</v>
      </c>
      <c r="AN712" s="73">
        <v>4</v>
      </c>
      <c r="AO712" s="90"/>
      <c r="AP712" s="89">
        <v>2</v>
      </c>
      <c r="AQ712" s="88">
        <v>7</v>
      </c>
      <c r="AR712" s="89">
        <v>1</v>
      </c>
      <c r="AS712" s="88">
        <v>8</v>
      </c>
      <c r="AT712" s="89">
        <v>4</v>
      </c>
      <c r="AU712" s="88">
        <v>5</v>
      </c>
      <c r="AV712" s="89">
        <v>6</v>
      </c>
      <c r="AW712" s="88">
        <v>3</v>
      </c>
      <c r="AX712" s="90"/>
      <c r="AY712" s="89">
        <v>9</v>
      </c>
      <c r="AZ712" s="88">
        <v>5</v>
      </c>
      <c r="BA712" s="89">
        <v>7</v>
      </c>
      <c r="BB712" s="88">
        <v>1</v>
      </c>
      <c r="BC712" s="89">
        <v>2</v>
      </c>
      <c r="BD712" s="88">
        <v>3</v>
      </c>
      <c r="BE712" s="89">
        <v>6</v>
      </c>
      <c r="BF712" s="88">
        <v>8</v>
      </c>
      <c r="BG712" s="89">
        <v>4</v>
      </c>
      <c r="BH712" s="88">
        <v>10</v>
      </c>
      <c r="BI712" s="221"/>
      <c r="BJ712" s="89">
        <v>7</v>
      </c>
      <c r="BK712" s="88">
        <v>8</v>
      </c>
      <c r="BL712" s="89">
        <v>11</v>
      </c>
      <c r="BM712" s="88">
        <v>12</v>
      </c>
      <c r="BN712" s="89">
        <v>2</v>
      </c>
      <c r="BO712" s="88">
        <v>1</v>
      </c>
      <c r="BP712" s="89">
        <v>6</v>
      </c>
      <c r="BQ712" s="88">
        <v>5</v>
      </c>
      <c r="BR712" s="89">
        <v>4</v>
      </c>
      <c r="BS712" s="88">
        <v>3</v>
      </c>
      <c r="BT712" s="89">
        <v>10</v>
      </c>
      <c r="BU712" s="88">
        <v>9</v>
      </c>
      <c r="BV712" s="221"/>
      <c r="BW712" s="89">
        <v>9</v>
      </c>
      <c r="BX712" s="88">
        <v>12</v>
      </c>
      <c r="BY712" s="89">
        <v>11</v>
      </c>
      <c r="BZ712" s="88">
        <v>4</v>
      </c>
      <c r="CA712" s="89">
        <v>14</v>
      </c>
      <c r="CB712" s="88">
        <v>2</v>
      </c>
      <c r="CC712" s="89">
        <v>13</v>
      </c>
      <c r="CD712" s="88">
        <v>8</v>
      </c>
      <c r="CE712" s="89">
        <v>1</v>
      </c>
      <c r="CF712" s="88">
        <v>3</v>
      </c>
      <c r="CG712" s="89">
        <v>10</v>
      </c>
      <c r="CH712" s="88">
        <v>6</v>
      </c>
      <c r="CI712" s="89">
        <v>7</v>
      </c>
      <c r="CJ712" s="88">
        <v>5</v>
      </c>
      <c r="CK712" s="221"/>
      <c r="CL712" s="89">
        <v>2</v>
      </c>
      <c r="CM712" s="88">
        <v>1</v>
      </c>
      <c r="CN712" s="89">
        <v>9</v>
      </c>
      <c r="CO712" s="88">
        <v>4</v>
      </c>
      <c r="CP712" s="89">
        <v>7</v>
      </c>
      <c r="CQ712" s="88">
        <v>3</v>
      </c>
      <c r="CR712" s="89">
        <v>8</v>
      </c>
      <c r="CS712" s="88">
        <v>14</v>
      </c>
      <c r="CT712" s="89">
        <v>13</v>
      </c>
      <c r="CU712" s="88">
        <v>6</v>
      </c>
      <c r="CV712" s="89">
        <v>12</v>
      </c>
      <c r="CW712" s="88">
        <v>10</v>
      </c>
      <c r="CX712" s="89">
        <v>5</v>
      </c>
      <c r="CY712" s="88">
        <v>15</v>
      </c>
      <c r="CZ712" s="89">
        <v>11</v>
      </c>
      <c r="DA712" s="88">
        <v>16</v>
      </c>
      <c r="DB712" s="221"/>
      <c r="DC712" s="89">
        <v>9</v>
      </c>
      <c r="DD712" s="88">
        <v>7</v>
      </c>
      <c r="DE712" s="89">
        <v>18</v>
      </c>
      <c r="DF712" s="88">
        <v>16</v>
      </c>
      <c r="DG712" s="89">
        <v>10</v>
      </c>
      <c r="DH712" s="88">
        <v>12</v>
      </c>
      <c r="DI712" s="89">
        <v>13</v>
      </c>
      <c r="DJ712" s="88">
        <v>4</v>
      </c>
      <c r="DK712" s="89">
        <v>8</v>
      </c>
      <c r="DL712" s="88">
        <v>1</v>
      </c>
      <c r="DM712" s="89">
        <v>11</v>
      </c>
      <c r="DN712" s="88">
        <v>6</v>
      </c>
      <c r="DO712" s="89">
        <v>15</v>
      </c>
      <c r="DP712" s="88">
        <v>17</v>
      </c>
      <c r="DQ712" s="89">
        <v>2</v>
      </c>
      <c r="DR712" s="88">
        <v>3</v>
      </c>
      <c r="DS712" s="89">
        <v>5</v>
      </c>
      <c r="DT712" s="88">
        <v>14</v>
      </c>
      <c r="DU712" s="221"/>
      <c r="DV712" s="89">
        <v>3</v>
      </c>
      <c r="DW712" s="88">
        <v>12</v>
      </c>
      <c r="DX712" s="89">
        <v>19</v>
      </c>
      <c r="DY712" s="88">
        <v>7</v>
      </c>
      <c r="DZ712" s="89">
        <v>4</v>
      </c>
      <c r="EA712" s="88">
        <v>6</v>
      </c>
      <c r="EB712" s="89">
        <v>13</v>
      </c>
      <c r="EC712" s="88">
        <v>15</v>
      </c>
      <c r="ED712" s="89">
        <v>1</v>
      </c>
      <c r="EE712" s="88">
        <v>16</v>
      </c>
      <c r="EF712" s="89">
        <v>20</v>
      </c>
      <c r="EG712" s="88">
        <v>2</v>
      </c>
      <c r="EH712" s="89">
        <v>14</v>
      </c>
      <c r="EI712" s="88">
        <v>9</v>
      </c>
      <c r="EJ712" s="89">
        <v>8</v>
      </c>
      <c r="EK712" s="88">
        <v>17</v>
      </c>
      <c r="EL712" s="89">
        <v>10</v>
      </c>
      <c r="EM712" s="88">
        <v>5</v>
      </c>
      <c r="EN712" s="89">
        <v>11</v>
      </c>
      <c r="EO712" s="88">
        <v>18</v>
      </c>
      <c r="EP712" s="221"/>
    </row>
    <row r="713" spans="1:146">
      <c r="A713" t="str">
        <f>$B$61</f>
        <v>LEIGH</v>
      </c>
    </row>
    <row r="714" spans="1:146">
      <c r="A714" t="str">
        <f>$B$66</f>
        <v>IAN</v>
      </c>
    </row>
    <row r="715" spans="1:146">
      <c r="A715" t="str">
        <f>$B$71</f>
        <v>ELI</v>
      </c>
    </row>
    <row r="716" spans="1:146">
      <c r="A716" t="str">
        <f>$B$76</f>
        <v>COLE</v>
      </c>
      <c r="BY716" t="s">
        <v>278</v>
      </c>
    </row>
    <row r="717" spans="1:146">
      <c r="A717" t="str">
        <f>$B$81</f>
        <v>JAMES</v>
      </c>
      <c r="BJ717" s="62" t="s">
        <v>279</v>
      </c>
    </row>
    <row r="718" spans="1:146">
      <c r="A718" s="87" t="s">
        <v>155</v>
      </c>
      <c r="BI718" t="s">
        <v>278</v>
      </c>
    </row>
    <row r="719" spans="1:146">
      <c r="A719" t="str">
        <f>$B$104</f>
        <v>BRENNEN</v>
      </c>
    </row>
    <row r="720" spans="1:146">
      <c r="A720" t="str">
        <f>$B$109</f>
        <v>NICK</v>
      </c>
    </row>
    <row r="721" spans="1:1">
      <c r="A721" t="str">
        <f>$B$114</f>
        <v>IAN</v>
      </c>
    </row>
    <row r="722" spans="1:1">
      <c r="A722" t="str">
        <f>$B$119</f>
        <v>SCOTT</v>
      </c>
    </row>
    <row r="723" spans="1:1">
      <c r="A723" t="str">
        <f>$B$124</f>
        <v>TIM</v>
      </c>
    </row>
    <row r="724" spans="1:1">
      <c r="A724" s="87" t="s">
        <v>156</v>
      </c>
    </row>
    <row r="725" spans="1:1">
      <c r="A725" t="str">
        <f>$B$147</f>
        <v>PATRICK</v>
      </c>
    </row>
    <row r="726" spans="1:1">
      <c r="A726" t="str">
        <f>$B$152</f>
        <v>BRANDY</v>
      </c>
    </row>
    <row r="727" spans="1:1">
      <c r="A727" t="str">
        <f>$B$157</f>
        <v>PJ</v>
      </c>
    </row>
    <row r="728" spans="1:1">
      <c r="A728" t="str">
        <f>$B$162</f>
        <v>CARA</v>
      </c>
    </row>
    <row r="729" spans="1:1">
      <c r="A729">
        <f>$B$167</f>
        <v>0</v>
      </c>
    </row>
    <row r="730" spans="1:1">
      <c r="A730" s="87" t="s">
        <v>157</v>
      </c>
    </row>
    <row r="731" spans="1:1">
      <c r="A731" t="str">
        <f>$B$190</f>
        <v>MIKE</v>
      </c>
    </row>
    <row r="732" spans="1:1">
      <c r="A732" t="str">
        <f>$B$195</f>
        <v>OLGA</v>
      </c>
    </row>
    <row r="733" spans="1:1">
      <c r="A733" t="str">
        <f>$B$200</f>
        <v>DAN</v>
      </c>
    </row>
    <row r="734" spans="1:1">
      <c r="A734" t="str">
        <f>$B$205</f>
        <v>MIKE MO</v>
      </c>
    </row>
    <row r="735" spans="1:1">
      <c r="A735" t="str">
        <f>$B$210</f>
        <v>VICKIE</v>
      </c>
    </row>
    <row r="736" spans="1:1">
      <c r="A736" s="87" t="s">
        <v>158</v>
      </c>
    </row>
    <row r="737" spans="1:1">
      <c r="A737" t="str">
        <f>$B$233</f>
        <v>RICHARD</v>
      </c>
    </row>
    <row r="738" spans="1:1">
      <c r="A738" t="str">
        <f>$B$238</f>
        <v>JUSTIN</v>
      </c>
    </row>
    <row r="739" spans="1:1">
      <c r="A739" t="str">
        <f>$B$243</f>
        <v>SANDY</v>
      </c>
    </row>
    <row r="740" spans="1:1">
      <c r="A740" t="str">
        <f>$B$248</f>
        <v>DENNIS</v>
      </c>
    </row>
    <row r="741" spans="1:1">
      <c r="A741" t="str">
        <f>$B$253</f>
        <v>VE</v>
      </c>
    </row>
    <row r="742" spans="1:1">
      <c r="A742" s="87" t="s">
        <v>159</v>
      </c>
    </row>
    <row r="743" spans="1:1">
      <c r="A743" t="str">
        <f>$B$276</f>
        <v>GARY</v>
      </c>
    </row>
    <row r="744" spans="1:1">
      <c r="A744" t="str">
        <f>$B$281</f>
        <v>RICH</v>
      </c>
    </row>
    <row r="745" spans="1:1">
      <c r="A745" t="str">
        <f>$B$286</f>
        <v>VIC</v>
      </c>
    </row>
    <row r="746" spans="1:1">
      <c r="A746" t="str">
        <f>$B$291</f>
        <v>JIM</v>
      </c>
    </row>
    <row r="747" spans="1:1">
      <c r="A747" t="str">
        <f>$B$296</f>
        <v>PAM</v>
      </c>
    </row>
    <row r="748" spans="1:1">
      <c r="A748" s="87" t="s">
        <v>160</v>
      </c>
    </row>
    <row r="749" spans="1:1">
      <c r="A749" t="str">
        <f>$B$319</f>
        <v>JOHN A</v>
      </c>
    </row>
    <row r="750" spans="1:1">
      <c r="A750" t="str">
        <f>$B$324</f>
        <v>BOBBY</v>
      </c>
    </row>
    <row r="751" spans="1:1">
      <c r="A751" t="str">
        <f>$B$329</f>
        <v>MIKE</v>
      </c>
    </row>
    <row r="752" spans="1:1">
      <c r="A752" t="str">
        <f>$B$334</f>
        <v>ROGER</v>
      </c>
    </row>
    <row r="753" spans="1:1">
      <c r="A753" t="str">
        <f>$B$339</f>
        <v>JOHN B.</v>
      </c>
    </row>
    <row r="754" spans="1:1">
      <c r="A754" s="87" t="s">
        <v>161</v>
      </c>
    </row>
    <row r="755" spans="1:1">
      <c r="A755" t="str">
        <f>$B$362</f>
        <v>MICHAEL</v>
      </c>
    </row>
    <row r="756" spans="1:1">
      <c r="A756" t="str">
        <f>$B$367</f>
        <v>JIM</v>
      </c>
    </row>
    <row r="757" spans="1:1">
      <c r="A757" t="str">
        <f>$B$372</f>
        <v>DOUG</v>
      </c>
    </row>
    <row r="758" spans="1:1">
      <c r="A758" t="str">
        <f>$B$377</f>
        <v>SARAH</v>
      </c>
    </row>
    <row r="759" spans="1:1">
      <c r="A759" t="str">
        <f>$B$382</f>
        <v>KASH</v>
      </c>
    </row>
    <row r="760" spans="1:1">
      <c r="A760" s="87" t="s">
        <v>162</v>
      </c>
    </row>
    <row r="761" spans="1:1">
      <c r="A761" t="str">
        <f>$B$405</f>
        <v>DARRIC</v>
      </c>
    </row>
    <row r="762" spans="1:1">
      <c r="A762" t="str">
        <f>$B$410</f>
        <v>CHRIS</v>
      </c>
    </row>
    <row r="763" spans="1:1">
      <c r="A763" t="str">
        <f>$B$415</f>
        <v>MIKE R.</v>
      </c>
    </row>
    <row r="764" spans="1:1">
      <c r="A764" t="str">
        <f>$B$420</f>
        <v>SERGEI</v>
      </c>
    </row>
    <row r="765" spans="1:1">
      <c r="A765" t="str">
        <f>$B$425</f>
        <v>JORDAN</v>
      </c>
    </row>
    <row r="766" spans="1:1">
      <c r="A766" s="87" t="s">
        <v>163</v>
      </c>
    </row>
    <row r="767" spans="1:1">
      <c r="A767" t="str">
        <f>$E$18</f>
        <v>PABLO</v>
      </c>
    </row>
    <row r="768" spans="1:1">
      <c r="A768" t="str">
        <f>$E$23</f>
        <v>ERIC</v>
      </c>
    </row>
    <row r="769" spans="1:1">
      <c r="A769" t="str">
        <f>$E$28</f>
        <v>SABRINA</v>
      </c>
    </row>
    <row r="770" spans="1:1">
      <c r="A770" t="str">
        <f>$E$33</f>
        <v>NICK</v>
      </c>
    </row>
    <row r="771" spans="1:1">
      <c r="A771" t="str">
        <f>$E$38</f>
        <v>LON</v>
      </c>
    </row>
    <row r="772" spans="1:1">
      <c r="A772" s="87" t="s">
        <v>164</v>
      </c>
    </row>
    <row r="773" spans="1:1">
      <c r="A773">
        <f>$E$61</f>
        <v>1</v>
      </c>
    </row>
    <row r="774" spans="1:1">
      <c r="A774">
        <f>$E$66</f>
        <v>2</v>
      </c>
    </row>
    <row r="775" spans="1:1">
      <c r="A775">
        <f>$E$71</f>
        <v>3</v>
      </c>
    </row>
    <row r="776" spans="1:1">
      <c r="A776">
        <f>$E$76</f>
        <v>4</v>
      </c>
    </row>
    <row r="777" spans="1:1">
      <c r="A777">
        <f>$E$81</f>
        <v>5</v>
      </c>
    </row>
    <row r="778" spans="1:1">
      <c r="A778" s="87" t="s">
        <v>165</v>
      </c>
    </row>
    <row r="779" spans="1:1">
      <c r="A779">
        <f>$E$104</f>
        <v>0</v>
      </c>
    </row>
    <row r="780" spans="1:1">
      <c r="A780">
        <f>$E$109</f>
        <v>0</v>
      </c>
    </row>
    <row r="781" spans="1:1">
      <c r="A781">
        <f>$E$114</f>
        <v>0</v>
      </c>
    </row>
    <row r="782" spans="1:1">
      <c r="A782">
        <f>$E$119</f>
        <v>0</v>
      </c>
    </row>
    <row r="783" spans="1:1">
      <c r="A783">
        <f>$E$124</f>
        <v>0</v>
      </c>
    </row>
    <row r="784" spans="1:1">
      <c r="A784" s="87" t="s">
        <v>166</v>
      </c>
    </row>
    <row r="785" spans="1:1">
      <c r="A785">
        <f>$E$147</f>
        <v>0</v>
      </c>
    </row>
    <row r="786" spans="1:1">
      <c r="A786">
        <f>$E$152</f>
        <v>0</v>
      </c>
    </row>
    <row r="787" spans="1:1">
      <c r="A787">
        <f>$E$157</f>
        <v>0</v>
      </c>
    </row>
    <row r="788" spans="1:1">
      <c r="A788">
        <f>$E$162</f>
        <v>0</v>
      </c>
    </row>
    <row r="789" spans="1:1">
      <c r="A789">
        <f>$E$167</f>
        <v>0</v>
      </c>
    </row>
    <row r="790" spans="1:1">
      <c r="A790" s="87" t="s">
        <v>167</v>
      </c>
    </row>
    <row r="791" spans="1:1">
      <c r="A791">
        <f>$E$190</f>
        <v>0</v>
      </c>
    </row>
    <row r="792" spans="1:1">
      <c r="A792">
        <f>$E$195</f>
        <v>0</v>
      </c>
    </row>
    <row r="793" spans="1:1">
      <c r="A793">
        <f>$E$200</f>
        <v>0</v>
      </c>
    </row>
    <row r="794" spans="1:1">
      <c r="A794">
        <f>$E$205</f>
        <v>0</v>
      </c>
    </row>
    <row r="795" spans="1:1">
      <c r="A795">
        <f>$E$210</f>
        <v>0</v>
      </c>
    </row>
    <row r="796" spans="1:1">
      <c r="A796" s="87" t="s">
        <v>168</v>
      </c>
    </row>
    <row r="797" spans="1:1">
      <c r="A797">
        <f>$E$233</f>
        <v>0</v>
      </c>
    </row>
    <row r="798" spans="1:1">
      <c r="A798">
        <f>$E$238</f>
        <v>0</v>
      </c>
    </row>
    <row r="799" spans="1:1">
      <c r="A799">
        <f>$E$243</f>
        <v>0</v>
      </c>
    </row>
    <row r="800" spans="1:1">
      <c r="A800">
        <f>$E$248</f>
        <v>0</v>
      </c>
    </row>
    <row r="801" spans="1:1">
      <c r="A801">
        <f>$E$253</f>
        <v>0</v>
      </c>
    </row>
    <row r="802" spans="1:1">
      <c r="A802" s="87" t="s">
        <v>169</v>
      </c>
    </row>
    <row r="803" spans="1:1">
      <c r="A803">
        <f>$E$276</f>
        <v>0</v>
      </c>
    </row>
    <row r="804" spans="1:1">
      <c r="A804">
        <f>$E$281</f>
        <v>0</v>
      </c>
    </row>
    <row r="805" spans="1:1">
      <c r="A805">
        <f>$E$286</f>
        <v>0</v>
      </c>
    </row>
    <row r="806" spans="1:1">
      <c r="A806">
        <f>$E$291</f>
        <v>0</v>
      </c>
    </row>
    <row r="807" spans="1:1">
      <c r="A807">
        <f>$E$296</f>
        <v>0</v>
      </c>
    </row>
    <row r="808" spans="1:1">
      <c r="A808" s="87" t="s">
        <v>170</v>
      </c>
    </row>
    <row r="809" spans="1:1">
      <c r="A809">
        <f>$E$319</f>
        <v>0</v>
      </c>
    </row>
    <row r="810" spans="1:1">
      <c r="A810">
        <f>$E$324</f>
        <v>0</v>
      </c>
    </row>
    <row r="811" spans="1:1">
      <c r="A811">
        <f>$E$329</f>
        <v>0</v>
      </c>
    </row>
    <row r="812" spans="1:1">
      <c r="A812">
        <f>$E$334</f>
        <v>0</v>
      </c>
    </row>
    <row r="813" spans="1:1">
      <c r="A813">
        <f>$E$339</f>
        <v>0</v>
      </c>
    </row>
    <row r="814" spans="1:1">
      <c r="A814" s="87" t="s">
        <v>171</v>
      </c>
    </row>
    <row r="815" spans="1:1">
      <c r="A815">
        <f>$E$362</f>
        <v>0</v>
      </c>
    </row>
    <row r="816" spans="1:1">
      <c r="A816">
        <f>$E$367</f>
        <v>0</v>
      </c>
    </row>
    <row r="817" spans="1:1">
      <c r="A817">
        <f>$E$372</f>
        <v>0</v>
      </c>
    </row>
    <row r="818" spans="1:1">
      <c r="A818">
        <f>$E$377</f>
        <v>0</v>
      </c>
    </row>
    <row r="819" spans="1:1">
      <c r="A819">
        <f>$E$382</f>
        <v>0</v>
      </c>
    </row>
    <row r="820" spans="1:1">
      <c r="A820" s="87" t="s">
        <v>172</v>
      </c>
    </row>
    <row r="821" spans="1:1">
      <c r="A821">
        <f>$E$405</f>
        <v>0</v>
      </c>
    </row>
    <row r="822" spans="1:1">
      <c r="A822">
        <f>$E$410</f>
        <v>0</v>
      </c>
    </row>
    <row r="823" spans="1:1">
      <c r="A823">
        <f>$E$415</f>
        <v>0</v>
      </c>
    </row>
    <row r="824" spans="1:1">
      <c r="A824">
        <f>$E$420</f>
        <v>0</v>
      </c>
    </row>
    <row r="825" spans="1:1">
      <c r="A825">
        <f>$E$425</f>
        <v>0</v>
      </c>
    </row>
  </sheetData>
  <mergeCells count="102">
    <mergeCell ref="J665:N665"/>
    <mergeCell ref="U665:Y665"/>
    <mergeCell ref="J641:N641"/>
    <mergeCell ref="U641:Y641"/>
    <mergeCell ref="G663:H663"/>
    <mergeCell ref="Y663:Z663"/>
    <mergeCell ref="G495:H495"/>
    <mergeCell ref="Y495:Z495"/>
    <mergeCell ref="J497:N497"/>
    <mergeCell ref="U497:Y497"/>
    <mergeCell ref="J617:N617"/>
    <mergeCell ref="U617:Y617"/>
    <mergeCell ref="G639:H639"/>
    <mergeCell ref="Y639:Z639"/>
    <mergeCell ref="G543:H543"/>
    <mergeCell ref="Y543:Z543"/>
    <mergeCell ref="G615:H615"/>
    <mergeCell ref="Y615:Z615"/>
    <mergeCell ref="AP687:AW687"/>
    <mergeCell ref="AI689:AJ689"/>
    <mergeCell ref="AK689:AL689"/>
    <mergeCell ref="AM689:AN689"/>
    <mergeCell ref="AI687:AN687"/>
    <mergeCell ref="AR689:AS689"/>
    <mergeCell ref="AV689:AW689"/>
    <mergeCell ref="AP689:AQ689"/>
    <mergeCell ref="AT689:AU689"/>
    <mergeCell ref="G447:H447"/>
    <mergeCell ref="AF689:AG689"/>
    <mergeCell ref="G471:H471"/>
    <mergeCell ref="G567:H567"/>
    <mergeCell ref="G591:H591"/>
    <mergeCell ref="Y591:Z591"/>
    <mergeCell ref="J593:N593"/>
    <mergeCell ref="U593:Y593"/>
    <mergeCell ref="Y447:Z447"/>
    <mergeCell ref="J449:N449"/>
    <mergeCell ref="U449:Y449"/>
    <mergeCell ref="AD689:AE689"/>
    <mergeCell ref="Y471:Z471"/>
    <mergeCell ref="J545:N545"/>
    <mergeCell ref="U545:Y545"/>
    <mergeCell ref="Y567:Z567"/>
    <mergeCell ref="J569:N569"/>
    <mergeCell ref="U569:Y569"/>
    <mergeCell ref="J473:N473"/>
    <mergeCell ref="U473:Y473"/>
    <mergeCell ref="G519:H519"/>
    <mergeCell ref="Y519:Z519"/>
    <mergeCell ref="J521:N521"/>
    <mergeCell ref="U521:Y521"/>
    <mergeCell ref="BJ689:BK689"/>
    <mergeCell ref="BL689:BM689"/>
    <mergeCell ref="BN689:BO689"/>
    <mergeCell ref="BP689:BQ689"/>
    <mergeCell ref="BR689:BS689"/>
    <mergeCell ref="BJ687:BS687"/>
    <mergeCell ref="AY687:BH687"/>
    <mergeCell ref="AY689:AZ689"/>
    <mergeCell ref="BA689:BB689"/>
    <mergeCell ref="BC689:BD689"/>
    <mergeCell ref="BE689:BF689"/>
    <mergeCell ref="BG689:BH689"/>
    <mergeCell ref="CG689:CH689"/>
    <mergeCell ref="CI689:CJ689"/>
    <mergeCell ref="CL687:CU687"/>
    <mergeCell ref="CL689:CM689"/>
    <mergeCell ref="CN689:CO689"/>
    <mergeCell ref="CP689:CQ689"/>
    <mergeCell ref="CR689:CS689"/>
    <mergeCell ref="CT689:CU689"/>
    <mergeCell ref="BT689:BU689"/>
    <mergeCell ref="BW687:CF687"/>
    <mergeCell ref="BW689:BX689"/>
    <mergeCell ref="BY689:BZ689"/>
    <mergeCell ref="CA689:CB689"/>
    <mergeCell ref="CC689:CD689"/>
    <mergeCell ref="CE689:CF689"/>
    <mergeCell ref="DV687:EE687"/>
    <mergeCell ref="DV689:DW689"/>
    <mergeCell ref="DX689:DY689"/>
    <mergeCell ref="DZ689:EA689"/>
    <mergeCell ref="EB689:EC689"/>
    <mergeCell ref="ED689:EE689"/>
    <mergeCell ref="CV689:CW689"/>
    <mergeCell ref="CX689:CY689"/>
    <mergeCell ref="CZ689:DA689"/>
    <mergeCell ref="DC687:DL687"/>
    <mergeCell ref="DC689:DD689"/>
    <mergeCell ref="DE689:DF689"/>
    <mergeCell ref="DG689:DH689"/>
    <mergeCell ref="DI689:DJ689"/>
    <mergeCell ref="DK689:DL689"/>
    <mergeCell ref="EF689:EG689"/>
    <mergeCell ref="EH689:EI689"/>
    <mergeCell ref="EJ689:EK689"/>
    <mergeCell ref="DS689:DT689"/>
    <mergeCell ref="EL689:EM689"/>
    <mergeCell ref="EN689:EO689"/>
    <mergeCell ref="DM689:DN689"/>
    <mergeCell ref="DO689:DP689"/>
    <mergeCell ref="DQ689:DR689"/>
  </mergeCells>
  <phoneticPr fontId="15" type="noConversion"/>
  <hyperlinks>
    <hyperlink ref="BW687:CF687" r:id="rId1" display="14 Team Schedule" xr:uid="{A5B467FC-0572-415C-85E8-4766CE551575}"/>
  </hyperlinks>
  <printOptions horizontalCentered="1" verticalCentered="1"/>
  <pageMargins left="0.2" right="0.25" top="0.6" bottom="0.6" header="0.5" footer="0.5"/>
  <pageSetup orientation="landscape" r:id="rId2"/>
  <headerFooter alignWithMargins="0"/>
  <rowBreaks count="9" manualBreakCount="9">
    <brk id="58" max="16383" man="1"/>
    <brk id="101" max="16383" man="1"/>
    <brk id="144" max="16383" man="1"/>
    <brk id="187" max="16383" man="1"/>
    <brk id="230" max="16383" man="1"/>
    <brk id="273" max="16383" man="1"/>
    <brk id="316" max="16383" man="1"/>
    <brk id="359" max="16383" man="1"/>
    <brk id="402" max="16383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0</xdr:rowOff>
                  </from>
                  <to>
                    <xdr:col>3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60</xdr:row>
                    <xdr:rowOff>0</xdr:rowOff>
                  </from>
                  <to>
                    <xdr:col>3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65</xdr:row>
                    <xdr:rowOff>0</xdr:rowOff>
                  </from>
                  <to>
                    <xdr:col>3</xdr:col>
                    <xdr:colOff>0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 Box 16">
              <controlPr defaultSize="0" autoFill="0" autoLine="0" autoPict="0">
                <anchor moveWithCells="1">
                  <from>
                    <xdr:col>2</xdr:col>
                    <xdr:colOff>9525</xdr:colOff>
                    <xdr:row>70</xdr:row>
                    <xdr:rowOff>0</xdr:rowOff>
                  </from>
                  <to>
                    <xdr:col>3</xdr:col>
                    <xdr:colOff>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2</xdr:col>
                    <xdr:colOff>9525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Check Box 20">
              <controlPr defaultSize="0" autoFill="0" autoLine="0" autoPict="0">
                <anchor moveWithCells="1">
                  <from>
                    <xdr:col>2</xdr:col>
                    <xdr:colOff>9525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5" name="Check Box 22">
              <controlPr defaultSize="0" autoFill="0" autoLine="0" autoPict="0">
                <anchor moveWithCells="1">
                  <from>
                    <xdr:col>2</xdr:col>
                    <xdr:colOff>9525</xdr:colOff>
                    <xdr:row>103</xdr:row>
                    <xdr:rowOff>0</xdr:rowOff>
                  </from>
                  <to>
                    <xdr:col>3</xdr:col>
                    <xdr:colOff>0</xdr:colOff>
                    <xdr:row>104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Check Box 24">
              <controlPr defaultSize="0" autoFill="0" autoLine="0" autoPict="0">
                <anchor moveWithCells="1">
                  <from>
                    <xdr:col>2</xdr:col>
                    <xdr:colOff>9525</xdr:colOff>
                    <xdr:row>108</xdr:row>
                    <xdr:rowOff>0</xdr:rowOff>
                  </from>
                  <to>
                    <xdr:col>3</xdr:col>
                    <xdr:colOff>0</xdr:colOff>
                    <xdr:row>109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Check Box 26">
              <controlPr defaultSize="0" autoFill="0" autoLine="0" autoPict="0">
                <anchor moveWithCells="1">
                  <from>
                    <xdr:col>2</xdr:col>
                    <xdr:colOff>9525</xdr:colOff>
                    <xdr:row>113</xdr:row>
                    <xdr:rowOff>0</xdr:rowOff>
                  </from>
                  <to>
                    <xdr:col>3</xdr:col>
                    <xdr:colOff>0</xdr:colOff>
                    <xdr:row>114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Check Box 28">
              <controlPr defaultSize="0" autoFill="0" autoLine="0" autoPict="0">
                <anchor moveWithCells="1">
                  <from>
                    <xdr:col>2</xdr:col>
                    <xdr:colOff>9525</xdr:colOff>
                    <xdr:row>118</xdr:row>
                    <xdr:rowOff>0</xdr:rowOff>
                  </from>
                  <to>
                    <xdr:col>3</xdr:col>
                    <xdr:colOff>0</xdr:colOff>
                    <xdr:row>119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Box 30">
              <controlPr defaultSize="0" autoFill="0" autoLine="0" autoPict="0">
                <anchor moveWithCells="1">
                  <from>
                    <xdr:col>2</xdr:col>
                    <xdr:colOff>9525</xdr:colOff>
                    <xdr:row>123</xdr:row>
                    <xdr:rowOff>0</xdr:rowOff>
                  </from>
                  <to>
                    <xdr:col>3</xdr:col>
                    <xdr:colOff>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0" name="Check Box 32">
              <controlPr defaultSize="0" autoFill="0" autoLine="0" autoPict="0">
                <anchor moveWithCells="1">
                  <from>
                    <xdr:col>2</xdr:col>
                    <xdr:colOff>9525</xdr:colOff>
                    <xdr:row>146</xdr:row>
                    <xdr:rowOff>0</xdr:rowOff>
                  </from>
                  <to>
                    <xdr:col>3</xdr:col>
                    <xdr:colOff>0</xdr:colOff>
                    <xdr:row>147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1" name="Check Box 34">
              <controlPr defaultSize="0" autoFill="0" autoLine="0" autoPict="0">
                <anchor moveWithCells="1">
                  <from>
                    <xdr:col>2</xdr:col>
                    <xdr:colOff>9525</xdr:colOff>
                    <xdr:row>151</xdr:row>
                    <xdr:rowOff>0</xdr:rowOff>
                  </from>
                  <to>
                    <xdr:col>3</xdr:col>
                    <xdr:colOff>0</xdr:colOff>
                    <xdr:row>152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2" name="Check Box 36">
              <controlPr defaultSize="0" autoFill="0" autoLine="0" autoPict="0">
                <anchor moveWithCells="1">
                  <from>
                    <xdr:col>2</xdr:col>
                    <xdr:colOff>9525</xdr:colOff>
                    <xdr:row>156</xdr:row>
                    <xdr:rowOff>0</xdr:rowOff>
                  </from>
                  <to>
                    <xdr:col>3</xdr:col>
                    <xdr:colOff>0</xdr:colOff>
                    <xdr:row>157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3" name="Check Box 38">
              <controlPr defaultSize="0" autoFill="0" autoLine="0" autoPict="0">
                <anchor moveWithCells="1">
                  <from>
                    <xdr:col>2</xdr:col>
                    <xdr:colOff>9525</xdr:colOff>
                    <xdr:row>161</xdr:row>
                    <xdr:rowOff>0</xdr:rowOff>
                  </from>
                  <to>
                    <xdr:col>3</xdr:col>
                    <xdr:colOff>0</xdr:colOff>
                    <xdr:row>162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4" name="Check Box 40">
              <controlPr defaultSize="0" autoFill="0" autoLine="0" autoPict="0">
                <anchor moveWithCells="1">
                  <from>
                    <xdr:col>2</xdr:col>
                    <xdr:colOff>9525</xdr:colOff>
                    <xdr:row>166</xdr:row>
                    <xdr:rowOff>0</xdr:rowOff>
                  </from>
                  <to>
                    <xdr:col>3</xdr:col>
                    <xdr:colOff>0</xdr:colOff>
                    <xdr:row>167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5" name="Check Box 42">
              <controlPr defaultSize="0" autoFill="0" autoLine="0" autoPict="0">
                <anchor moveWithCells="1">
                  <from>
                    <xdr:col>2</xdr:col>
                    <xdr:colOff>9525</xdr:colOff>
                    <xdr:row>189</xdr:row>
                    <xdr:rowOff>0</xdr:rowOff>
                  </from>
                  <to>
                    <xdr:col>3</xdr:col>
                    <xdr:colOff>0</xdr:colOff>
                    <xdr:row>190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6" name="Check Box 44">
              <controlPr defaultSize="0" autoFill="0" autoLine="0" autoPict="0">
                <anchor moveWithCells="1">
                  <from>
                    <xdr:col>2</xdr:col>
                    <xdr:colOff>9525</xdr:colOff>
                    <xdr:row>194</xdr:row>
                    <xdr:rowOff>0</xdr:rowOff>
                  </from>
                  <to>
                    <xdr:col>3</xdr:col>
                    <xdr:colOff>0</xdr:colOff>
                    <xdr:row>195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Check Box 46">
              <controlPr defaultSize="0" autoFill="0" autoLine="0" autoPict="0">
                <anchor moveWithCells="1">
                  <from>
                    <xdr:col>2</xdr:col>
                    <xdr:colOff>9525</xdr:colOff>
                    <xdr:row>199</xdr:row>
                    <xdr:rowOff>0</xdr:rowOff>
                  </from>
                  <to>
                    <xdr:col>3</xdr:col>
                    <xdr:colOff>0</xdr:colOff>
                    <xdr:row>200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Check Box 48">
              <controlPr defaultSize="0" autoFill="0" autoLine="0" autoPict="0">
                <anchor moveWithCells="1">
                  <from>
                    <xdr:col>2</xdr:col>
                    <xdr:colOff>9525</xdr:colOff>
                    <xdr:row>204</xdr:row>
                    <xdr:rowOff>0</xdr:rowOff>
                  </from>
                  <to>
                    <xdr:col>3</xdr:col>
                    <xdr:colOff>0</xdr:colOff>
                    <xdr:row>205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Check Box 50">
              <controlPr defaultSize="0" autoFill="0" autoLine="0" autoPict="0">
                <anchor moveWithCells="1">
                  <from>
                    <xdr:col>2</xdr:col>
                    <xdr:colOff>9525</xdr:colOff>
                    <xdr:row>209</xdr:row>
                    <xdr:rowOff>0</xdr:rowOff>
                  </from>
                  <to>
                    <xdr:col>3</xdr:col>
                    <xdr:colOff>0</xdr:colOff>
                    <xdr:row>210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0" name="Check Box 52">
              <controlPr defaultSize="0" autoFill="0" autoLine="0" autoPict="0">
                <anchor moveWithCells="1">
                  <from>
                    <xdr:col>2</xdr:col>
                    <xdr:colOff>9525</xdr:colOff>
                    <xdr:row>232</xdr:row>
                    <xdr:rowOff>0</xdr:rowOff>
                  </from>
                  <to>
                    <xdr:col>3</xdr:col>
                    <xdr:colOff>0</xdr:colOff>
                    <xdr:row>233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1" name="Check Box 54">
              <controlPr defaultSize="0" autoFill="0" autoLine="0" autoPict="0">
                <anchor moveWithCells="1">
                  <from>
                    <xdr:col>2</xdr:col>
                    <xdr:colOff>9525</xdr:colOff>
                    <xdr:row>237</xdr:row>
                    <xdr:rowOff>0</xdr:rowOff>
                  </from>
                  <to>
                    <xdr:col>3</xdr:col>
                    <xdr:colOff>0</xdr:colOff>
                    <xdr:row>238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2" name="Check Box 56">
              <controlPr defaultSize="0" autoFill="0" autoLine="0" autoPict="0">
                <anchor moveWithCells="1">
                  <from>
                    <xdr:col>2</xdr:col>
                    <xdr:colOff>9525</xdr:colOff>
                    <xdr:row>242</xdr:row>
                    <xdr:rowOff>0</xdr:rowOff>
                  </from>
                  <to>
                    <xdr:col>3</xdr:col>
                    <xdr:colOff>0</xdr:colOff>
                    <xdr:row>243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3" name="Check Box 58">
              <controlPr defaultSize="0" autoFill="0" autoLine="0" autoPict="0">
                <anchor moveWithCells="1">
                  <from>
                    <xdr:col>2</xdr:col>
                    <xdr:colOff>9525</xdr:colOff>
                    <xdr:row>247</xdr:row>
                    <xdr:rowOff>0</xdr:rowOff>
                  </from>
                  <to>
                    <xdr:col>3</xdr:col>
                    <xdr:colOff>0</xdr:colOff>
                    <xdr:row>248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4" name="Check Box 60">
              <controlPr defaultSize="0" autoFill="0" autoLine="0" autoPict="0">
                <anchor moveWithCells="1">
                  <from>
                    <xdr:col>2</xdr:col>
                    <xdr:colOff>9525</xdr:colOff>
                    <xdr:row>252</xdr:row>
                    <xdr:rowOff>0</xdr:rowOff>
                  </from>
                  <to>
                    <xdr:col>3</xdr:col>
                    <xdr:colOff>0</xdr:colOff>
                    <xdr:row>253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5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275</xdr:row>
                    <xdr:rowOff>0</xdr:rowOff>
                  </from>
                  <to>
                    <xdr:col>3</xdr:col>
                    <xdr:colOff>0</xdr:colOff>
                    <xdr:row>276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36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280</xdr:row>
                    <xdr:rowOff>0</xdr:rowOff>
                  </from>
                  <to>
                    <xdr:col>3</xdr:col>
                    <xdr:colOff>0</xdr:colOff>
                    <xdr:row>281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37" name="Check Box 66">
              <controlPr defaultSize="0" autoFill="0" autoLine="0" autoPict="0">
                <anchor moveWithCells="1">
                  <from>
                    <xdr:col>2</xdr:col>
                    <xdr:colOff>9525</xdr:colOff>
                    <xdr:row>285</xdr:row>
                    <xdr:rowOff>0</xdr:rowOff>
                  </from>
                  <to>
                    <xdr:col>3</xdr:col>
                    <xdr:colOff>0</xdr:colOff>
                    <xdr:row>286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38" name="Check Box 68">
              <controlPr defaultSize="0" autoFill="0" autoLine="0" autoPict="0">
                <anchor moveWithCells="1">
                  <from>
                    <xdr:col>2</xdr:col>
                    <xdr:colOff>9525</xdr:colOff>
                    <xdr:row>290</xdr:row>
                    <xdr:rowOff>0</xdr:rowOff>
                  </from>
                  <to>
                    <xdr:col>3</xdr:col>
                    <xdr:colOff>0</xdr:colOff>
                    <xdr:row>291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39" name="Check Box 70">
              <controlPr defaultSize="0" autoFill="0" autoLine="0" autoPict="0">
                <anchor moveWithCells="1">
                  <from>
                    <xdr:col>2</xdr:col>
                    <xdr:colOff>9525</xdr:colOff>
                    <xdr:row>295</xdr:row>
                    <xdr:rowOff>0</xdr:rowOff>
                  </from>
                  <to>
                    <xdr:col>3</xdr:col>
                    <xdr:colOff>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40" name="Check Box 72">
              <controlPr defaultSize="0" autoFill="0" autoLine="0" autoPict="0">
                <anchor moveWithCells="1">
                  <from>
                    <xdr:col>2</xdr:col>
                    <xdr:colOff>9525</xdr:colOff>
                    <xdr:row>318</xdr:row>
                    <xdr:rowOff>0</xdr:rowOff>
                  </from>
                  <to>
                    <xdr:col>3</xdr:col>
                    <xdr:colOff>0</xdr:colOff>
                    <xdr:row>319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41" name="Check Box 74">
              <controlPr defaultSize="0" autoFill="0" autoLine="0" autoPict="0">
                <anchor moveWithCells="1">
                  <from>
                    <xdr:col>2</xdr:col>
                    <xdr:colOff>9525</xdr:colOff>
                    <xdr:row>323</xdr:row>
                    <xdr:rowOff>0</xdr:rowOff>
                  </from>
                  <to>
                    <xdr:col>3</xdr:col>
                    <xdr:colOff>0</xdr:colOff>
                    <xdr:row>324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2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328</xdr:row>
                    <xdr:rowOff>0</xdr:rowOff>
                  </from>
                  <to>
                    <xdr:col>3</xdr:col>
                    <xdr:colOff>0</xdr:colOff>
                    <xdr:row>329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43" name="Check Box 78">
              <controlPr defaultSize="0" autoFill="0" autoLine="0" autoPict="0">
                <anchor moveWithCells="1">
                  <from>
                    <xdr:col>2</xdr:col>
                    <xdr:colOff>9525</xdr:colOff>
                    <xdr:row>333</xdr:row>
                    <xdr:rowOff>0</xdr:rowOff>
                  </from>
                  <to>
                    <xdr:col>3</xdr:col>
                    <xdr:colOff>0</xdr:colOff>
                    <xdr:row>334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44" name="Check Box 80">
              <controlPr defaultSize="0" autoFill="0" autoLine="0" autoPict="0">
                <anchor moveWithCells="1">
                  <from>
                    <xdr:col>2</xdr:col>
                    <xdr:colOff>9525</xdr:colOff>
                    <xdr:row>338</xdr:row>
                    <xdr:rowOff>0</xdr:rowOff>
                  </from>
                  <to>
                    <xdr:col>3</xdr:col>
                    <xdr:colOff>0</xdr:colOff>
                    <xdr:row>339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5" name="Check Box 82">
              <controlPr defaultSize="0" autoFill="0" autoLine="0" autoPict="0">
                <anchor moveWithCells="1">
                  <from>
                    <xdr:col>2</xdr:col>
                    <xdr:colOff>9525</xdr:colOff>
                    <xdr:row>361</xdr:row>
                    <xdr:rowOff>0</xdr:rowOff>
                  </from>
                  <to>
                    <xdr:col>3</xdr:col>
                    <xdr:colOff>0</xdr:colOff>
                    <xdr:row>362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6" name="Check Box 84">
              <controlPr defaultSize="0" autoFill="0" autoLine="0" autoPict="0">
                <anchor moveWithCells="1">
                  <from>
                    <xdr:col>2</xdr:col>
                    <xdr:colOff>9525</xdr:colOff>
                    <xdr:row>366</xdr:row>
                    <xdr:rowOff>0</xdr:rowOff>
                  </from>
                  <to>
                    <xdr:col>3</xdr:col>
                    <xdr:colOff>0</xdr:colOff>
                    <xdr:row>367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47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371</xdr:row>
                    <xdr:rowOff>0</xdr:rowOff>
                  </from>
                  <to>
                    <xdr:col>3</xdr:col>
                    <xdr:colOff>0</xdr:colOff>
                    <xdr:row>372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48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376</xdr:row>
                    <xdr:rowOff>0</xdr:rowOff>
                  </from>
                  <to>
                    <xdr:col>3</xdr:col>
                    <xdr:colOff>0</xdr:colOff>
                    <xdr:row>377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9" name="Check Box 90">
              <controlPr defaultSize="0" autoFill="0" autoLine="0" autoPict="0">
                <anchor moveWithCells="1">
                  <from>
                    <xdr:col>2</xdr:col>
                    <xdr:colOff>9525</xdr:colOff>
                    <xdr:row>381</xdr:row>
                    <xdr:rowOff>0</xdr:rowOff>
                  </from>
                  <to>
                    <xdr:col>3</xdr:col>
                    <xdr:colOff>0</xdr:colOff>
                    <xdr:row>382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50" name="Check Box 92">
              <controlPr defaultSize="0" autoFill="0" autoLine="0" autoPict="0">
                <anchor moveWithCells="1">
                  <from>
                    <xdr:col>2</xdr:col>
                    <xdr:colOff>9525</xdr:colOff>
                    <xdr:row>404</xdr:row>
                    <xdr:rowOff>0</xdr:rowOff>
                  </from>
                  <to>
                    <xdr:col>3</xdr:col>
                    <xdr:colOff>0</xdr:colOff>
                    <xdr:row>405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51" name="Check Box 94">
              <controlPr defaultSize="0" autoFill="0" autoLine="0" autoPict="0">
                <anchor moveWithCells="1">
                  <from>
                    <xdr:col>2</xdr:col>
                    <xdr:colOff>9525</xdr:colOff>
                    <xdr:row>409</xdr:row>
                    <xdr:rowOff>0</xdr:rowOff>
                  </from>
                  <to>
                    <xdr:col>3</xdr:col>
                    <xdr:colOff>0</xdr:colOff>
                    <xdr:row>410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52" name="Check Box 96">
              <controlPr defaultSize="0" autoFill="0" autoLine="0" autoPict="0">
                <anchor moveWithCells="1">
                  <from>
                    <xdr:col>2</xdr:col>
                    <xdr:colOff>9525</xdr:colOff>
                    <xdr:row>414</xdr:row>
                    <xdr:rowOff>0</xdr:rowOff>
                  </from>
                  <to>
                    <xdr:col>3</xdr:col>
                    <xdr:colOff>0</xdr:colOff>
                    <xdr:row>415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53" name="Check Box 98">
              <controlPr defaultSize="0" autoFill="0" autoLine="0" autoPict="0">
                <anchor moveWithCells="1">
                  <from>
                    <xdr:col>2</xdr:col>
                    <xdr:colOff>9525</xdr:colOff>
                    <xdr:row>419</xdr:row>
                    <xdr:rowOff>0</xdr:rowOff>
                  </from>
                  <to>
                    <xdr:col>3</xdr:col>
                    <xdr:colOff>0</xdr:colOff>
                    <xdr:row>420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54" name="Check Box 100">
              <controlPr defaultSize="0" autoFill="0" autoLine="0" autoPict="0">
                <anchor moveWithCells="1">
                  <from>
                    <xdr:col>2</xdr:col>
                    <xdr:colOff>9525</xdr:colOff>
                    <xdr:row>424</xdr:row>
                    <xdr:rowOff>0</xdr:rowOff>
                  </from>
                  <to>
                    <xdr:col>3</xdr:col>
                    <xdr:colOff>0</xdr:colOff>
                    <xdr:row>425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55" name="Check Box 102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56" name="Check Box 104">
              <controlPr defaultSize="0" autoFill="0" autoLine="0" autoPict="0">
                <anchor moveWithCells="1">
                  <from>
                    <xdr:col>5</xdr:col>
                    <xdr:colOff>9525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57" name="Check Box 106">
              <controlPr defaultSize="0" autoFill="0" autoLine="0" autoPict="0">
                <anchor moveWithCells="1">
                  <from>
                    <xdr:col>5</xdr:col>
                    <xdr:colOff>9525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58" name="Check Box 108">
              <controlPr defaultSize="0" autoFill="0" autoLine="0" autoPict="0">
                <anchor moveWithCells="1">
                  <from>
                    <xdr:col>5</xdr:col>
                    <xdr:colOff>9525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59" name="Check Box 110">
              <controlPr defaultSize="0" autoFill="0" autoLine="0" autoPict="0">
                <anchor moveWithCells="1">
                  <from>
                    <xdr:col>5</xdr:col>
                    <xdr:colOff>9525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0" name="Check Box 112">
              <controlPr defaultSize="0" autoFill="0" autoLine="0" autoPict="0">
                <anchor moveWithCells="1">
                  <from>
                    <xdr:col>5</xdr:col>
                    <xdr:colOff>9525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61" name="Check Box 114">
              <controlPr defaultSize="0" autoFill="0" autoLine="0" autoPict="0">
                <anchor moveWithCells="1">
                  <from>
                    <xdr:col>5</xdr:col>
                    <xdr:colOff>9525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62" name="Check Box 116">
              <controlPr defaultSize="0" autoFill="0" autoLine="0" autoPict="0">
                <anchor moveWithCells="1">
                  <from>
                    <xdr:col>5</xdr:col>
                    <xdr:colOff>9525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63" name="Check Box 118">
              <controlPr defaultSize="0" autoFill="0" autoLine="0" autoPict="0">
                <anchor moveWithCells="1">
                  <from>
                    <xdr:col>5</xdr:col>
                    <xdr:colOff>9525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64" name="Check Box 120">
              <controlPr defaultSize="0" autoFill="0" autoLine="0" autoPict="0">
                <anchor moveWithCells="1">
                  <from>
                    <xdr:col>5</xdr:col>
                    <xdr:colOff>9525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65" name="Check Box 122">
              <controlPr defaultSize="0" autoFill="0" autoLine="0" autoPict="0">
                <anchor moveWithCells="1">
                  <from>
                    <xdr:col>5</xdr:col>
                    <xdr:colOff>9525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66" name="Check Box 124">
              <controlPr defaultSize="0" autoFill="0" autoLine="0" autoPict="0">
                <anchor moveWithCells="1">
                  <from>
                    <xdr:col>5</xdr:col>
                    <xdr:colOff>9525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67" name="Check Box 126">
              <controlPr defaultSize="0" autoFill="0" autoLine="0" autoPict="0">
                <anchor moveWithCells="1">
                  <from>
                    <xdr:col>5</xdr:col>
                    <xdr:colOff>9525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8" name="Check Box 128">
              <controlPr defaultSize="0" autoFill="0" autoLine="0" autoPict="0">
                <anchor moveWithCells="1">
                  <from>
                    <xdr:col>5</xdr:col>
                    <xdr:colOff>9525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9" name="Check Box 130">
              <controlPr defaultSize="0" autoFill="0" autoLine="0" autoPict="0">
                <anchor moveWithCells="1">
                  <from>
                    <xdr:col>5</xdr:col>
                    <xdr:colOff>9525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70" name="Check Box 132">
              <controlPr defaultSize="0" autoFill="0" autoLine="0" autoPict="0">
                <anchor moveWithCells="1">
                  <from>
                    <xdr:col>5</xdr:col>
                    <xdr:colOff>9525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71" name="Check Box 134">
              <controlPr defaultSize="0" autoFill="0" autoLine="0" autoPict="0">
                <anchor moveWithCells="1">
                  <from>
                    <xdr:col>5</xdr:col>
                    <xdr:colOff>9525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72" name="Check Box 136">
              <controlPr defaultSize="0" autoFill="0" autoLine="0" autoPict="0">
                <anchor moveWithCells="1">
                  <from>
                    <xdr:col>5</xdr:col>
                    <xdr:colOff>9525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3" name="Check Box 138">
              <controlPr defaultSize="0" autoFill="0" autoLine="0" autoPict="0">
                <anchor moveWithCells="1">
                  <from>
                    <xdr:col>5</xdr:col>
                    <xdr:colOff>9525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4" name="Check Box 140">
              <controlPr defaultSize="0" autoFill="0" autoLine="0" autoPict="0">
                <anchor moveWithCells="1">
                  <from>
                    <xdr:col>5</xdr:col>
                    <xdr:colOff>9525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5" name="Check Box 142">
              <controlPr defaultSize="0" autoFill="0" autoLine="0" autoPict="0">
                <anchor moveWithCells="1">
                  <from>
                    <xdr:col>5</xdr:col>
                    <xdr:colOff>9525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Check Box 144">
              <controlPr defaultSize="0" autoFill="0" autoLine="0" autoPict="0">
                <anchor moveWithCells="1">
                  <from>
                    <xdr:col>5</xdr:col>
                    <xdr:colOff>9525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Check Box 146">
              <controlPr defaultSize="0" autoFill="0" autoLine="0" autoPict="0">
                <anchor moveWithCells="1">
                  <from>
                    <xdr:col>5</xdr:col>
                    <xdr:colOff>9525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8" name="Check Box 148">
              <controlPr defaultSize="0" autoFill="0" autoLine="0" autoPict="0">
                <anchor moveWithCells="1">
                  <from>
                    <xdr:col>5</xdr:col>
                    <xdr:colOff>9525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79" name="Check Box 150">
              <controlPr defaultSize="0" autoFill="0" autoLine="0" autoPict="0">
                <anchor moveWithCells="1">
                  <from>
                    <xdr:col>5</xdr:col>
                    <xdr:colOff>9525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0" name="Check Box 152">
              <controlPr defaultSize="0" autoFill="0" autoLine="0" autoPict="0">
                <anchor moveWithCells="1">
                  <from>
                    <xdr:col>5</xdr:col>
                    <xdr:colOff>9525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1" name="Check Box 154">
              <controlPr defaultSize="0" autoFill="0" autoLine="0" autoPict="0">
                <anchor moveWithCells="1">
                  <from>
                    <xdr:col>5</xdr:col>
                    <xdr:colOff>9525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2" name="Check Box 156">
              <controlPr defaultSize="0" autoFill="0" autoLine="0" autoPict="0">
                <anchor moveWithCells="1">
                  <from>
                    <xdr:col>5</xdr:col>
                    <xdr:colOff>9525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3" name="Check Box 158">
              <controlPr defaultSize="0" autoFill="0" autoLine="0" autoPict="0">
                <anchor moveWithCells="1">
                  <from>
                    <xdr:col>5</xdr:col>
                    <xdr:colOff>9525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84" name="Check Box 160">
              <controlPr defaultSize="0" autoFill="0" autoLine="0" autoPict="0">
                <anchor moveWithCells="1">
                  <from>
                    <xdr:col>5</xdr:col>
                    <xdr:colOff>9525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85" name="Check Box 162">
              <controlPr defaultSize="0" autoFill="0" autoLine="0" autoPict="0">
                <anchor moveWithCells="1">
                  <from>
                    <xdr:col>5</xdr:col>
                    <xdr:colOff>9525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86" name="Check Box 164">
              <controlPr defaultSize="0" autoFill="0" autoLine="0" autoPict="0">
                <anchor moveWithCells="1">
                  <from>
                    <xdr:col>5</xdr:col>
                    <xdr:colOff>9525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87" name="Check Box 166">
              <controlPr defaultSize="0" autoFill="0" autoLine="0" autoPict="0">
                <anchor moveWithCells="1">
                  <from>
                    <xdr:col>5</xdr:col>
                    <xdr:colOff>9525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88" name="Check Box 168">
              <controlPr defaultSize="0" autoFill="0" autoLine="0" autoPict="0">
                <anchor moveWithCells="1">
                  <from>
                    <xdr:col>5</xdr:col>
                    <xdr:colOff>9525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89" name="Check Box 170">
              <controlPr defaultSize="0" autoFill="0" autoLine="0" autoPict="0">
                <anchor moveWithCells="1">
                  <from>
                    <xdr:col>5</xdr:col>
                    <xdr:colOff>9525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0" name="Check Box 172">
              <controlPr defaultSize="0" autoFill="0" autoLine="0" autoPict="0">
                <anchor moveWithCells="1">
                  <from>
                    <xdr:col>5</xdr:col>
                    <xdr:colOff>9525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91" name="Check Box 174">
              <controlPr defaultSize="0" autoFill="0" autoLine="0" autoPict="0">
                <anchor moveWithCells="1">
                  <from>
                    <xdr:col>5</xdr:col>
                    <xdr:colOff>9525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92" name="Check Box 176">
              <controlPr defaultSize="0" autoFill="0" autoLine="0" autoPict="0">
                <anchor moveWithCells="1">
                  <from>
                    <xdr:col>5</xdr:col>
                    <xdr:colOff>9525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93" name="Check Box 178">
              <controlPr defaultSize="0" autoFill="0" autoLine="0" autoPict="0">
                <anchor moveWithCells="1">
                  <from>
                    <xdr:col>5</xdr:col>
                    <xdr:colOff>9525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94" name="Check Box 180">
              <controlPr defaultSize="0" autoFill="0" autoLine="0" autoPict="0">
                <anchor moveWithCells="1">
                  <from>
                    <xdr:col>5</xdr:col>
                    <xdr:colOff>9525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95" name="Check Box 182">
              <controlPr defaultSize="0" autoFill="0" autoLine="0" autoPict="0">
                <anchor moveWithCells="1">
                  <from>
                    <xdr:col>5</xdr:col>
                    <xdr:colOff>9525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96" name="Check Box 184">
              <controlPr defaultSize="0" autoFill="0" autoLine="0" autoPict="0">
                <anchor moveWithCells="1">
                  <from>
                    <xdr:col>5</xdr:col>
                    <xdr:colOff>9525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97" name="Check Box 186">
              <controlPr defaultSize="0" autoFill="0" autoLine="0" autoPict="0">
                <anchor moveWithCells="1">
                  <from>
                    <xdr:col>5</xdr:col>
                    <xdr:colOff>9525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98" name="Check Box 188">
              <controlPr defaultSize="0" autoFill="0" autoLine="0" autoPict="0">
                <anchor moveWithCells="1">
                  <from>
                    <xdr:col>5</xdr:col>
                    <xdr:colOff>9525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99" name="Check Box 190">
              <controlPr defaultSize="0" autoFill="0" autoLine="0" autoPict="0">
                <anchor moveWithCells="1">
                  <from>
                    <xdr:col>5</xdr:col>
                    <xdr:colOff>9525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00" name="Check Box 192">
              <controlPr defaultSize="0" autoFill="0" autoLine="0" autoPict="0">
                <anchor moveWithCells="1">
                  <from>
                    <xdr:col>5</xdr:col>
                    <xdr:colOff>9525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01" name="Check Box 194">
              <controlPr defaultSize="0" autoFill="0" autoLine="0" autoPict="0">
                <anchor moveWithCells="1">
                  <from>
                    <xdr:col>5</xdr:col>
                    <xdr:colOff>9525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02" name="Check Box 196">
              <controlPr defaultSize="0" autoFill="0" autoLine="0" autoPict="0">
                <anchor moveWithCells="1">
                  <from>
                    <xdr:col>5</xdr:col>
                    <xdr:colOff>9525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03" name="Check Box 198">
              <controlPr defaultSize="0" autoFill="0" autoLine="0" autoPict="0">
                <anchor moveWithCells="1">
                  <from>
                    <xdr:col>5</xdr:col>
                    <xdr:colOff>9525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04" name="Check Box 200">
              <controlPr defaultSize="0" autoFill="0" autoLine="0" autoPict="0">
                <anchor moveWithCells="1">
                  <from>
                    <xdr:col>5</xdr:col>
                    <xdr:colOff>9525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05" name="Button 202">
              <controlPr defaultSize="0" print="0" autoFill="0" autoPict="0" macro="[0]!Return_To_Menu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06" name="Drop Down 208">
              <controlPr defaultSize="0" autoLine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07" name="Drop Down 209">
              <controlPr defaultSize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08" name="Drop Down 210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09" name="Drop Down 211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10" name="Drop Down 212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11" name="Drop Down 213">
              <controlPr defaultSize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12" name="Drop Down 214">
              <controlPr defaultSize="0" autoLine="0" autoPict="0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13" name="Drop Down 215">
              <controlPr defaultSize="0" autoLine="0" autoPict="0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14" name="Drop Down 216">
              <controlPr defaultSize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2879E-9FFF-400F-AAE1-8D183EBAEE36}">
  <sheetPr codeName="Sheet4"/>
  <dimension ref="A1:I131"/>
  <sheetViews>
    <sheetView showGridLines="0" topLeftCell="B12" workbookViewId="0">
      <selection activeCell="G13" sqref="G13"/>
    </sheetView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0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40</v>
      </c>
      <c r="C5" s="40">
        <v>0</v>
      </c>
      <c r="D5" s="39">
        <v>0</v>
      </c>
      <c r="F5" s="19" t="str">
        <f>B!$E$18</f>
        <v>PABLO</v>
      </c>
      <c r="G5" s="39">
        <v>37</v>
      </c>
      <c r="H5" s="40">
        <v>0</v>
      </c>
      <c r="I5" s="39">
        <v>0</v>
      </c>
    </row>
    <row r="6" spans="1:9">
      <c r="A6" s="19" t="str">
        <f>B!B23</f>
        <v>TRAYE</v>
      </c>
      <c r="B6" s="39">
        <v>40</v>
      </c>
      <c r="C6" s="40">
        <v>0</v>
      </c>
      <c r="D6" s="39">
        <v>0</v>
      </c>
      <c r="F6" s="19" t="str">
        <f>B!$E$23</f>
        <v>ERIC</v>
      </c>
      <c r="G6" s="39">
        <v>35</v>
      </c>
      <c r="H6" s="40">
        <v>0</v>
      </c>
      <c r="I6" s="39">
        <v>0</v>
      </c>
    </row>
    <row r="7" spans="1:9">
      <c r="A7" s="19" t="str">
        <f>B!B28</f>
        <v>WC</v>
      </c>
      <c r="B7" s="39">
        <v>40</v>
      </c>
      <c r="C7" s="40">
        <v>0</v>
      </c>
      <c r="D7" s="39">
        <v>0</v>
      </c>
      <c r="F7" s="19" t="str">
        <f>B!$E$28</f>
        <v>SABRINA</v>
      </c>
      <c r="G7" s="39">
        <v>29</v>
      </c>
      <c r="H7" s="40">
        <v>5</v>
      </c>
      <c r="I7" s="39">
        <v>0</v>
      </c>
    </row>
    <row r="8" spans="1:9">
      <c r="A8" s="19" t="str">
        <f>B!B33</f>
        <v>DON</v>
      </c>
      <c r="B8" s="39">
        <v>40</v>
      </c>
      <c r="C8" s="40">
        <v>0</v>
      </c>
      <c r="D8" s="39">
        <v>0</v>
      </c>
      <c r="F8" s="19" t="str">
        <f>B!$E$33</f>
        <v>NICK</v>
      </c>
      <c r="G8" s="39">
        <v>39</v>
      </c>
      <c r="H8" s="40">
        <v>5</v>
      </c>
      <c r="I8" s="39">
        <v>0</v>
      </c>
    </row>
    <row r="9" spans="1:9">
      <c r="A9" s="19" t="str">
        <f>B!B38</f>
        <v>SAM</v>
      </c>
      <c r="B9" s="39">
        <v>40</v>
      </c>
      <c r="C9" s="40">
        <v>0</v>
      </c>
      <c r="D9" s="39">
        <v>0</v>
      </c>
      <c r="F9" s="19" t="str">
        <f>B!$E$38</f>
        <v>LON</v>
      </c>
      <c r="G9" s="39">
        <v>37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200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177</v>
      </c>
      <c r="H14" s="104">
        <f>SUM(H5:H12)</f>
        <v>10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46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38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27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43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30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184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46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42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41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39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34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202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42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31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40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42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38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193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46</v>
      </c>
      <c r="C57" s="40">
        <v>10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33</v>
      </c>
      <c r="C58" s="40">
        <v>10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43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35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37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194</v>
      </c>
      <c r="C66" s="61">
        <f>SUM(C57:C64)</f>
        <v>20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34</v>
      </c>
      <c r="C70" s="40">
        <v>5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39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22</v>
      </c>
      <c r="C72" s="40">
        <v>10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43</v>
      </c>
      <c r="C73" s="40">
        <v>10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38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176</v>
      </c>
      <c r="C79" s="61">
        <f>SUM(C70:C77)</f>
        <v>25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50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34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46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39</v>
      </c>
      <c r="C86" s="40">
        <v>10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41</v>
      </c>
      <c r="C87" s="40">
        <v>10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210</v>
      </c>
      <c r="C92" s="61">
        <f>SUM(C83:C90)</f>
        <v>20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45</v>
      </c>
      <c r="C96" s="40">
        <v>20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40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37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39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44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205</v>
      </c>
      <c r="C105" s="61">
        <f>SUM(C96:C103)</f>
        <v>20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47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34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29</v>
      </c>
      <c r="C111" s="40">
        <v>25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34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40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184</v>
      </c>
      <c r="C118" s="61">
        <f>SUM(C109:C116)</f>
        <v>25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46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50</v>
      </c>
      <c r="C123" s="40">
        <v>25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28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40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41</v>
      </c>
      <c r="C126" s="40">
        <v>20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205</v>
      </c>
      <c r="C131" s="61">
        <f>SUM(C122:C129)</f>
        <v>45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E15C6-FC56-4547-8596-290D6B5082AB}">
  <sheetPr codeName="Sheet5"/>
  <dimension ref="A1:I131"/>
  <sheetViews>
    <sheetView showGridLines="0" topLeftCell="A83" workbookViewId="0">
      <selection activeCell="C128" sqref="C128"/>
    </sheetView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3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35</v>
      </c>
      <c r="C5" s="40">
        <v>0</v>
      </c>
      <c r="D5" s="39">
        <v>0</v>
      </c>
      <c r="F5" s="19" t="str">
        <f>B!$E$18</f>
        <v>PABLO</v>
      </c>
      <c r="G5" s="39">
        <v>46</v>
      </c>
      <c r="H5" s="40">
        <v>0</v>
      </c>
      <c r="I5" s="39">
        <v>0</v>
      </c>
    </row>
    <row r="6" spans="1:9">
      <c r="A6" s="19" t="str">
        <f>B!B23</f>
        <v>TRAYE</v>
      </c>
      <c r="B6" s="39">
        <v>25</v>
      </c>
      <c r="C6" s="40">
        <v>0</v>
      </c>
      <c r="D6" s="39">
        <v>0</v>
      </c>
      <c r="F6" s="19" t="str">
        <f>B!$E$23</f>
        <v>ERIC</v>
      </c>
      <c r="G6" s="39">
        <v>50</v>
      </c>
      <c r="H6" s="40">
        <v>0</v>
      </c>
      <c r="I6" s="39">
        <v>0</v>
      </c>
    </row>
    <row r="7" spans="1:9">
      <c r="A7" s="19" t="str">
        <f>B!B28</f>
        <v>WC</v>
      </c>
      <c r="B7" s="39">
        <v>28</v>
      </c>
      <c r="C7" s="40">
        <v>0</v>
      </c>
      <c r="D7" s="39">
        <v>0</v>
      </c>
      <c r="F7" s="19" t="str">
        <f>B!$E$28</f>
        <v>SABRINA</v>
      </c>
      <c r="G7" s="39">
        <v>46</v>
      </c>
      <c r="H7" s="40">
        <v>0</v>
      </c>
      <c r="I7" s="39">
        <v>0</v>
      </c>
    </row>
    <row r="8" spans="1:9">
      <c r="A8" s="19" t="str">
        <f>B!B33</f>
        <v>DON</v>
      </c>
      <c r="B8" s="39">
        <v>37</v>
      </c>
      <c r="C8" s="40">
        <v>0</v>
      </c>
      <c r="D8" s="39">
        <v>0</v>
      </c>
      <c r="F8" s="19" t="str">
        <f>B!$E$33</f>
        <v>NICK</v>
      </c>
      <c r="G8" s="39">
        <v>35</v>
      </c>
      <c r="H8" s="40">
        <v>0</v>
      </c>
      <c r="I8" s="39">
        <v>0</v>
      </c>
    </row>
    <row r="9" spans="1:9">
      <c r="A9" s="19" t="str">
        <f>B!B38</f>
        <v>SAM</v>
      </c>
      <c r="B9" s="39">
        <v>37</v>
      </c>
      <c r="C9" s="40">
        <v>0</v>
      </c>
      <c r="D9" s="39">
        <v>0</v>
      </c>
      <c r="F9" s="19" t="str">
        <f>B!$E$38</f>
        <v>LON</v>
      </c>
      <c r="G9" s="39">
        <v>45</v>
      </c>
      <c r="H9" s="40">
        <v>0</v>
      </c>
      <c r="I9" s="39">
        <v>0</v>
      </c>
    </row>
    <row r="10" spans="1:9">
      <c r="A10" s="19">
        <f>B!B43</f>
        <v>0</v>
      </c>
      <c r="B10" s="39">
        <v>18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20.7</v>
      </c>
      <c r="H13" s="115"/>
      <c r="I13" s="116"/>
    </row>
    <row r="14" spans="1:9" ht="15.75" thickTop="1">
      <c r="A14" s="117" t="s">
        <v>51</v>
      </c>
      <c r="B14" s="118">
        <f>SUM(B5:B13)</f>
        <v>180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242.7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40</v>
      </c>
      <c r="C18" s="40">
        <v>0</v>
      </c>
      <c r="D18" s="39">
        <v>0</v>
      </c>
      <c r="F18" s="19">
        <f>B!$E$61</f>
        <v>1</v>
      </c>
      <c r="G18" s="39">
        <v>1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40</v>
      </c>
      <c r="C19" s="40">
        <v>0</v>
      </c>
      <c r="D19" s="39">
        <v>0</v>
      </c>
      <c r="F19" s="19">
        <f>B!$E$66</f>
        <v>2</v>
      </c>
      <c r="G19" s="39">
        <v>1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40</v>
      </c>
      <c r="C20" s="40">
        <v>0</v>
      </c>
      <c r="D20" s="39">
        <v>0</v>
      </c>
      <c r="F20" s="19">
        <f>B!$E$71</f>
        <v>3</v>
      </c>
      <c r="G20" s="39">
        <v>1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40</v>
      </c>
      <c r="C21" s="40">
        <v>0</v>
      </c>
      <c r="D21" s="39">
        <v>0</v>
      </c>
      <c r="F21" s="19">
        <f>B!$E$76</f>
        <v>4</v>
      </c>
      <c r="G21" s="39">
        <v>1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40</v>
      </c>
      <c r="C22" s="40">
        <v>0</v>
      </c>
      <c r="D22" s="39">
        <v>0</v>
      </c>
      <c r="F22" s="19">
        <f>B!$E$81</f>
        <v>5</v>
      </c>
      <c r="G22" s="39">
        <v>1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200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5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40</v>
      </c>
      <c r="C31" s="40">
        <v>10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30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33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39</v>
      </c>
      <c r="C34" s="40">
        <v>10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37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179</v>
      </c>
      <c r="C40" s="61">
        <f>SUM(C31:C38)</f>
        <v>20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33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42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38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33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33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179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46</v>
      </c>
      <c r="C57" s="40">
        <v>10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41</v>
      </c>
      <c r="C58" s="40">
        <v>10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45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42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31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7.2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212.2</v>
      </c>
      <c r="C66" s="61">
        <f>SUM(C57:C64)</f>
        <v>20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43</v>
      </c>
      <c r="C70" s="40">
        <v>5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50</v>
      </c>
      <c r="C71" s="40">
        <v>5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23</v>
      </c>
      <c r="C72" s="40">
        <v>10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41</v>
      </c>
      <c r="C73" s="40">
        <v>10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39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15.3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211.3</v>
      </c>
      <c r="C79" s="61">
        <f>SUM(C70:C77)</f>
        <v>30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42</v>
      </c>
      <c r="C83" s="40">
        <v>40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19</v>
      </c>
      <c r="C84" s="40">
        <v>30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36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41</v>
      </c>
      <c r="C86" s="40">
        <v>20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38</v>
      </c>
      <c r="C87" s="40">
        <v>20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176</v>
      </c>
      <c r="C92" s="61">
        <f>SUM(C83:C90)</f>
        <v>110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34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35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47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34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33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183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27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41</v>
      </c>
      <c r="C110" s="40">
        <v>20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29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34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42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23.4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196.4</v>
      </c>
      <c r="C118" s="61">
        <f>SUM(C109:C116)</f>
        <v>20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40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42</v>
      </c>
      <c r="C123" s="40">
        <v>5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35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41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25</v>
      </c>
      <c r="C126" s="40">
        <v>5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183</v>
      </c>
      <c r="C131" s="61">
        <f>SUM(C122:C129)</f>
        <v>10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55278-2494-4918-811F-BED591F65149}">
  <sheetPr codeName="Sheet6"/>
  <dimension ref="A1:I131"/>
  <sheetViews>
    <sheetView showGridLines="0" workbookViewId="0">
      <selection activeCell="G23" sqref="G23"/>
    </sheetView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4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44</v>
      </c>
      <c r="C5" s="40">
        <v>0</v>
      </c>
      <c r="D5" s="39">
        <v>0</v>
      </c>
      <c r="F5" s="19" t="str">
        <f>B!$E$18</f>
        <v>PABLO</v>
      </c>
      <c r="G5" s="39">
        <v>39</v>
      </c>
      <c r="H5" s="40">
        <v>0</v>
      </c>
      <c r="I5" s="39">
        <v>0</v>
      </c>
    </row>
    <row r="6" spans="1:9">
      <c r="A6" s="19" t="str">
        <f>B!B23</f>
        <v>TRAYE</v>
      </c>
      <c r="B6" s="39">
        <v>22</v>
      </c>
      <c r="C6" s="40">
        <v>10</v>
      </c>
      <c r="D6" s="39">
        <v>0</v>
      </c>
      <c r="F6" s="19" t="str">
        <f>B!$E$23</f>
        <v>ERIC</v>
      </c>
      <c r="G6" s="39">
        <v>45</v>
      </c>
      <c r="H6" s="40">
        <v>0</v>
      </c>
      <c r="I6" s="39">
        <v>0</v>
      </c>
    </row>
    <row r="7" spans="1:9">
      <c r="A7" s="19" t="str">
        <f>B!B28</f>
        <v>WC</v>
      </c>
      <c r="B7" s="39">
        <v>26</v>
      </c>
      <c r="C7" s="40">
        <v>0</v>
      </c>
      <c r="D7" s="39">
        <v>0</v>
      </c>
      <c r="F7" s="19" t="str">
        <f>B!$E$28</f>
        <v>SABRINA</v>
      </c>
      <c r="G7" s="39">
        <v>39</v>
      </c>
      <c r="H7" s="40">
        <v>0</v>
      </c>
      <c r="I7" s="39">
        <v>0</v>
      </c>
    </row>
    <row r="8" spans="1:9">
      <c r="A8" s="19" t="str">
        <f>B!B33</f>
        <v>DON</v>
      </c>
      <c r="B8" s="39">
        <v>38</v>
      </c>
      <c r="C8" s="40">
        <v>0</v>
      </c>
      <c r="D8" s="39">
        <v>0</v>
      </c>
      <c r="F8" s="19" t="str">
        <f>B!$E$33</f>
        <v>NICK</v>
      </c>
      <c r="G8" s="39">
        <v>33</v>
      </c>
      <c r="H8" s="40">
        <v>0</v>
      </c>
      <c r="I8" s="39">
        <v>0</v>
      </c>
    </row>
    <row r="9" spans="1:9">
      <c r="A9" s="19" t="str">
        <f>B!B38</f>
        <v>SAM</v>
      </c>
      <c r="B9" s="39">
        <v>30</v>
      </c>
      <c r="C9" s="40">
        <v>60</v>
      </c>
      <c r="D9" s="39">
        <v>0</v>
      </c>
      <c r="F9" s="19" t="str">
        <f>B!$E$38</f>
        <v>LON</v>
      </c>
      <c r="G9" s="39">
        <v>41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8.5500000000000007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168.55</v>
      </c>
      <c r="C14" s="61">
        <f>SUM(C5:C12)</f>
        <v>70</v>
      </c>
      <c r="D14" s="118">
        <f>SUM(D5:D12)</f>
        <v>0</v>
      </c>
      <c r="F14" s="112" t="s">
        <v>51</v>
      </c>
      <c r="G14" s="119">
        <f>SUM(G5:G13)</f>
        <v>197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37</v>
      </c>
      <c r="C18" s="40">
        <v>20</v>
      </c>
      <c r="D18" s="39">
        <v>0</v>
      </c>
      <c r="F18" s="19">
        <f>B!$E$61</f>
        <v>1</v>
      </c>
      <c r="G18" s="39">
        <v>1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26</v>
      </c>
      <c r="C19" s="40">
        <v>0</v>
      </c>
      <c r="D19" s="39">
        <v>0</v>
      </c>
      <c r="F19" s="19">
        <f>B!$E$66</f>
        <v>2</v>
      </c>
      <c r="G19" s="39">
        <v>1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31</v>
      </c>
      <c r="C20" s="40">
        <v>0</v>
      </c>
      <c r="D20" s="39">
        <v>0</v>
      </c>
      <c r="F20" s="19">
        <f>B!$E$71</f>
        <v>3</v>
      </c>
      <c r="G20" s="39">
        <v>1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23</v>
      </c>
      <c r="C21" s="40">
        <v>0</v>
      </c>
      <c r="D21" s="39">
        <v>0</v>
      </c>
      <c r="F21" s="19">
        <f>B!$E$76</f>
        <v>4</v>
      </c>
      <c r="G21" s="39">
        <v>1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24</v>
      </c>
      <c r="C22" s="40">
        <v>0</v>
      </c>
      <c r="D22" s="39">
        <v>0</v>
      </c>
      <c r="F22" s="19">
        <f>B!$E$81</f>
        <v>5</v>
      </c>
      <c r="G22" s="39">
        <v>1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1.8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142.80000000000001</v>
      </c>
      <c r="C27" s="61">
        <f>SUM(C18:C25)</f>
        <v>20</v>
      </c>
      <c r="D27" s="118">
        <f>SUM(D18:D25)</f>
        <v>0</v>
      </c>
      <c r="F27" s="112" t="s">
        <v>51</v>
      </c>
      <c r="G27" s="119">
        <f>SUM(G18:G26)</f>
        <v>5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39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36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45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35</v>
      </c>
      <c r="C34" s="40">
        <v>5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34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189</v>
      </c>
      <c r="C40" s="61">
        <f>SUM(C31:C38)</f>
        <v>5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42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27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38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29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36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172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41</v>
      </c>
      <c r="C57" s="40">
        <v>10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42</v>
      </c>
      <c r="C58" s="40">
        <v>10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47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42</v>
      </c>
      <c r="C60" s="40">
        <v>10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39</v>
      </c>
      <c r="C61" s="40">
        <v>10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211</v>
      </c>
      <c r="C66" s="61">
        <f>SUM(C57:C64)</f>
        <v>40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37</v>
      </c>
      <c r="C70" s="40">
        <v>5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35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39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47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38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4.05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200.05</v>
      </c>
      <c r="C79" s="61">
        <f>SUM(C70:C77)</f>
        <v>5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41</v>
      </c>
      <c r="C83" s="40">
        <v>5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40</v>
      </c>
      <c r="C84" s="40">
        <v>5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40</v>
      </c>
      <c r="C85" s="40">
        <v>5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30</v>
      </c>
      <c r="C86" s="40">
        <v>5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45</v>
      </c>
      <c r="C87" s="40">
        <v>5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196</v>
      </c>
      <c r="C92" s="61">
        <f>SUM(C83:C90)</f>
        <v>25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40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46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41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26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39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4.95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196.95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40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40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40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40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40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200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47</v>
      </c>
      <c r="C122" s="40">
        <v>50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50</v>
      </c>
      <c r="C123" s="40">
        <v>10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50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42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50</v>
      </c>
      <c r="C126" s="40">
        <v>20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239</v>
      </c>
      <c r="C131" s="61">
        <f>SUM(C122:C129)</f>
        <v>80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9BD2-1282-4F31-B417-1CE5D0B78317}">
  <sheetPr codeName="Sheet7"/>
  <dimension ref="A1:I131"/>
  <sheetViews>
    <sheetView showGridLines="0" workbookViewId="0">
      <selection activeCell="G24" sqref="G24"/>
    </sheetView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5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50</v>
      </c>
      <c r="C5" s="40">
        <v>0</v>
      </c>
      <c r="D5" s="39">
        <v>0</v>
      </c>
      <c r="F5" s="19" t="str">
        <f>B!$E$18</f>
        <v>PABLO</v>
      </c>
      <c r="G5" s="39">
        <v>39</v>
      </c>
      <c r="H5" s="40">
        <v>0</v>
      </c>
      <c r="I5" s="39">
        <v>0</v>
      </c>
    </row>
    <row r="6" spans="1:9">
      <c r="A6" s="19" t="str">
        <f>B!B23</f>
        <v>TRAYE</v>
      </c>
      <c r="B6" s="39">
        <v>32</v>
      </c>
      <c r="C6" s="40">
        <v>0</v>
      </c>
      <c r="D6" s="39">
        <v>0</v>
      </c>
      <c r="F6" s="19" t="str">
        <f>B!$E$23</f>
        <v>ERIC</v>
      </c>
      <c r="G6" s="39">
        <v>45</v>
      </c>
      <c r="H6" s="40">
        <v>0</v>
      </c>
      <c r="I6" s="39">
        <v>0</v>
      </c>
    </row>
    <row r="7" spans="1:9">
      <c r="A7" s="19" t="str">
        <f>B!B28</f>
        <v>WC</v>
      </c>
      <c r="B7" s="39">
        <v>32</v>
      </c>
      <c r="C7" s="40">
        <v>0</v>
      </c>
      <c r="D7" s="39">
        <v>0</v>
      </c>
      <c r="F7" s="19" t="str">
        <f>B!$E$28</f>
        <v>SABRINA</v>
      </c>
      <c r="G7" s="39">
        <v>29</v>
      </c>
      <c r="H7" s="40">
        <v>0</v>
      </c>
      <c r="I7" s="39">
        <v>0</v>
      </c>
    </row>
    <row r="8" spans="1:9">
      <c r="A8" s="19" t="str">
        <f>B!B33</f>
        <v>DON</v>
      </c>
      <c r="B8" s="39">
        <v>47</v>
      </c>
      <c r="C8" s="40">
        <v>0</v>
      </c>
      <c r="D8" s="39">
        <v>0</v>
      </c>
      <c r="F8" s="19" t="str">
        <f>B!$E$33</f>
        <v>NICK</v>
      </c>
      <c r="G8" s="39">
        <v>34</v>
      </c>
      <c r="H8" s="40">
        <v>0</v>
      </c>
      <c r="I8" s="39">
        <v>0</v>
      </c>
    </row>
    <row r="9" spans="1:9">
      <c r="A9" s="19" t="str">
        <f>B!B38</f>
        <v>SAM</v>
      </c>
      <c r="B9" s="39">
        <v>26</v>
      </c>
      <c r="C9" s="40">
        <v>0</v>
      </c>
      <c r="D9" s="39">
        <v>0</v>
      </c>
      <c r="F9" s="19" t="str">
        <f>B!$E$38</f>
        <v>LON</v>
      </c>
      <c r="G9" s="39">
        <v>39</v>
      </c>
      <c r="H9" s="40">
        <v>130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9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196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186</v>
      </c>
      <c r="H14" s="104">
        <f>SUM(H5:H12)</f>
        <v>130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42</v>
      </c>
      <c r="C18" s="40">
        <v>0</v>
      </c>
      <c r="D18" s="39">
        <v>0</v>
      </c>
      <c r="F18" s="19">
        <f>B!$E$61</f>
        <v>1</v>
      </c>
      <c r="G18" s="39">
        <v>1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32</v>
      </c>
      <c r="C19" s="40">
        <v>0</v>
      </c>
      <c r="D19" s="39">
        <v>0</v>
      </c>
      <c r="F19" s="19">
        <f>B!$E$66</f>
        <v>2</v>
      </c>
      <c r="G19" s="39">
        <v>1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42</v>
      </c>
      <c r="C20" s="40">
        <v>0</v>
      </c>
      <c r="D20" s="39">
        <v>0</v>
      </c>
      <c r="F20" s="19">
        <f>B!$E$71</f>
        <v>3</v>
      </c>
      <c r="G20" s="39">
        <v>1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22</v>
      </c>
      <c r="C21" s="40">
        <v>0</v>
      </c>
      <c r="D21" s="39">
        <v>0</v>
      </c>
      <c r="F21" s="19">
        <f>B!$E$76</f>
        <v>4</v>
      </c>
      <c r="G21" s="39">
        <v>1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17</v>
      </c>
      <c r="C22" s="40">
        <v>0</v>
      </c>
      <c r="D22" s="39">
        <v>0</v>
      </c>
      <c r="F22" s="19">
        <f>B!$E$81</f>
        <v>5</v>
      </c>
      <c r="G22" s="39">
        <v>1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5.7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160.69999999999999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5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42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39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41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33</v>
      </c>
      <c r="C34" s="40">
        <v>5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42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197</v>
      </c>
      <c r="C40" s="61">
        <f>SUM(C31:C38)</f>
        <v>5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47</v>
      </c>
      <c r="C44" s="40">
        <v>20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37</v>
      </c>
      <c r="C45" s="40">
        <v>20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38</v>
      </c>
      <c r="C46" s="40">
        <v>20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46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50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218</v>
      </c>
      <c r="C53" s="61">
        <f>SUM(C44:C51)</f>
        <v>60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32</v>
      </c>
      <c r="C57" s="40">
        <v>5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40</v>
      </c>
      <c r="C58" s="40">
        <v>5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47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33</v>
      </c>
      <c r="C60" s="40">
        <v>10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20</v>
      </c>
      <c r="C61" s="40">
        <v>10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172</v>
      </c>
      <c r="C66" s="61">
        <f>SUM(C57:C64)</f>
        <v>30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35</v>
      </c>
      <c r="C70" s="40">
        <v>5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37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27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34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35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3.6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171.6</v>
      </c>
      <c r="C79" s="61">
        <f>SUM(C70:C77)</f>
        <v>5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43</v>
      </c>
      <c r="C83" s="40">
        <v>5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35</v>
      </c>
      <c r="C84" s="40">
        <v>5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47</v>
      </c>
      <c r="C85" s="40">
        <v>5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40</v>
      </c>
      <c r="C86" s="40">
        <v>10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42</v>
      </c>
      <c r="C87" s="40">
        <v>10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8.4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215.4</v>
      </c>
      <c r="C92" s="61">
        <f>SUM(C83:C90)</f>
        <v>35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47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33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44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42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42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208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37</v>
      </c>
      <c r="C109" s="40">
        <v>40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26</v>
      </c>
      <c r="C110" s="40">
        <v>20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34</v>
      </c>
      <c r="C111" s="40">
        <v>10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39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46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11.7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193.7</v>
      </c>
      <c r="C118" s="61">
        <f>SUM(C109:C116)</f>
        <v>70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40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40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40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40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40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200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4268-D5CB-4A60-87D2-1BA606588AD1}">
  <sheetPr codeName="Sheet8"/>
  <dimension ref="A1:I131"/>
  <sheetViews>
    <sheetView showGridLines="0" topLeftCell="A94" workbookViewId="0">
      <selection activeCell="B5" sqref="B5"/>
    </sheetView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6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2303F-C3C4-4269-AB49-4B2B6663509A}">
  <sheetPr codeName="Sheet9"/>
  <dimension ref="A1:I131"/>
  <sheetViews>
    <sheetView showGridLines="0" topLeftCell="A56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7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D2CE0-4644-4DC3-B9BB-7818C33445BC}">
  <sheetPr codeName="Sheet10"/>
  <dimension ref="A1:I131"/>
  <sheetViews>
    <sheetView showGridLines="0" topLeftCell="A77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8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CFFF3-B53A-4BD3-8F10-D5B7618A8EB5}">
  <sheetPr codeName="Sheet11"/>
  <dimension ref="A1:I131"/>
  <sheetViews>
    <sheetView showGridLines="0" topLeftCell="A41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9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2AE70-A46F-49DB-8926-51845390F380}">
  <sheetPr codeName="Sheet12"/>
  <dimension ref="A1:I131"/>
  <sheetViews>
    <sheetView showGridLines="0" topLeftCell="A56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10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CFDAC-1FC0-4B09-BD64-32FB88AA9F67}">
  <sheetPr codeName="Sheet13"/>
  <dimension ref="A1:I131"/>
  <sheetViews>
    <sheetView showGridLines="0" topLeftCell="A38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11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23006-8E4F-4452-BE6A-569D08B2D69A}">
  <sheetPr codeName="Sheet14"/>
  <dimension ref="A1:I131"/>
  <sheetViews>
    <sheetView showGridLines="0" topLeftCell="A59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12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F4BE-C278-4A8B-B6B1-7B918181690B}">
  <sheetPr codeName="Sheet15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13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EE080-95B7-4F7E-8DA3-129129070261}">
  <sheetPr codeName="Sheet16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14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6D841-E188-4CEB-9578-48E2FC7036D0}">
  <sheetPr codeName="Sheet17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15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4A407-4D2F-44E1-8CB8-346958A9E4CE}">
  <sheetPr codeName="Sheet18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16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73988-9E4B-4678-8005-FBC1C5CB1812}">
  <sheetPr codeName="Sheet19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17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57B17-C21E-4E19-AE07-E053BCE263ED}">
  <sheetPr codeName="Sheet20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18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360B-B9F1-41CA-9637-DEBEED7B451A}">
  <sheetPr codeName="Sheet21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19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AEFD4-2182-4F34-827C-F79036A140E8}">
  <sheetPr codeName="Sheet22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20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5D3C5-2B40-4CA6-8FDB-FE632C0694E8}">
  <sheetPr codeName="Sheet23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21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6770-4CD1-4C27-819D-C6F0E06576F9}">
  <sheetPr codeName="Sheet24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22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1130C-95B6-431F-846E-71E974A7DF94}">
  <sheetPr codeName="Sheet25"/>
  <dimension ref="A1:I131"/>
  <sheetViews>
    <sheetView showGridLines="0" workbookViewId="0"/>
  </sheetViews>
  <sheetFormatPr defaultRowHeight="15"/>
  <cols>
    <col min="1" max="1" width="15.77734375" customWidth="1"/>
    <col min="2" max="2" width="6.77734375" customWidth="1"/>
    <col min="3" max="3" width="7.77734375" customWidth="1"/>
    <col min="4" max="4" width="5.77734375" customWidth="1"/>
    <col min="5" max="5" width="2.77734375" customWidth="1"/>
    <col min="6" max="6" width="15.77734375" customWidth="1"/>
    <col min="7" max="7" width="6.77734375" customWidth="1"/>
    <col min="8" max="8" width="7.77734375" customWidth="1"/>
    <col min="9" max="9" width="5.77734375" customWidth="1"/>
  </cols>
  <sheetData>
    <row r="1" spans="1:9" ht="30">
      <c r="A1" s="106" t="s">
        <v>23</v>
      </c>
    </row>
    <row r="3" spans="1:9">
      <c r="A3" s="7" t="s">
        <v>26</v>
      </c>
      <c r="B3" s="108" t="s">
        <v>1</v>
      </c>
      <c r="C3" s="109" t="s">
        <v>2</v>
      </c>
      <c r="D3" s="110" t="s">
        <v>125</v>
      </c>
      <c r="F3" s="7" t="s">
        <v>63</v>
      </c>
      <c r="G3" s="108" t="s">
        <v>1</v>
      </c>
      <c r="H3" s="109" t="s">
        <v>2</v>
      </c>
      <c r="I3" s="110" t="s">
        <v>125</v>
      </c>
    </row>
    <row r="4" spans="1:9">
      <c r="A4" s="111" t="str">
        <f>B!B16</f>
        <v>PIRATES OF THE TABLE</v>
      </c>
      <c r="B4" s="14" t="s">
        <v>50</v>
      </c>
      <c r="C4" s="112" t="s">
        <v>139</v>
      </c>
      <c r="D4" s="112" t="s">
        <v>133</v>
      </c>
      <c r="F4" s="111" t="str">
        <f>B!$E$16</f>
        <v>SPAM FO LUNCH</v>
      </c>
      <c r="G4" s="14" t="s">
        <v>50</v>
      </c>
      <c r="H4" s="112" t="s">
        <v>139</v>
      </c>
      <c r="I4" s="112" t="s">
        <v>133</v>
      </c>
    </row>
    <row r="5" spans="1:9">
      <c r="A5" s="19" t="str">
        <f>B!B18</f>
        <v>JASON</v>
      </c>
      <c r="B5" s="39">
        <v>0</v>
      </c>
      <c r="C5" s="40">
        <v>0</v>
      </c>
      <c r="D5" s="39">
        <v>0</v>
      </c>
      <c r="F5" s="19" t="str">
        <f>B!$E$18</f>
        <v>PABLO</v>
      </c>
      <c r="G5" s="39">
        <v>0</v>
      </c>
      <c r="H5" s="40">
        <v>0</v>
      </c>
      <c r="I5" s="39">
        <v>0</v>
      </c>
    </row>
    <row r="6" spans="1:9">
      <c r="A6" s="19" t="str">
        <f>B!B23</f>
        <v>TRAYE</v>
      </c>
      <c r="B6" s="39">
        <v>0</v>
      </c>
      <c r="C6" s="40">
        <v>0</v>
      </c>
      <c r="D6" s="39">
        <v>0</v>
      </c>
      <c r="F6" s="19" t="str">
        <f>B!$E$23</f>
        <v>ERIC</v>
      </c>
      <c r="G6" s="39">
        <v>0</v>
      </c>
      <c r="H6" s="40">
        <v>0</v>
      </c>
      <c r="I6" s="39">
        <v>0</v>
      </c>
    </row>
    <row r="7" spans="1:9">
      <c r="A7" s="19" t="str">
        <f>B!B28</f>
        <v>WC</v>
      </c>
      <c r="B7" s="39">
        <v>0</v>
      </c>
      <c r="C7" s="40">
        <v>0</v>
      </c>
      <c r="D7" s="39">
        <v>0</v>
      </c>
      <c r="F7" s="19" t="str">
        <f>B!$E$28</f>
        <v>SABRINA</v>
      </c>
      <c r="G7" s="39">
        <v>0</v>
      </c>
      <c r="H7" s="40">
        <v>0</v>
      </c>
      <c r="I7" s="39">
        <v>0</v>
      </c>
    </row>
    <row r="8" spans="1:9">
      <c r="A8" s="19" t="str">
        <f>B!B33</f>
        <v>DON</v>
      </c>
      <c r="B8" s="39">
        <v>0</v>
      </c>
      <c r="C8" s="40">
        <v>0</v>
      </c>
      <c r="D8" s="39">
        <v>0</v>
      </c>
      <c r="F8" s="19" t="str">
        <f>B!$E$33</f>
        <v>NICK</v>
      </c>
      <c r="G8" s="39">
        <v>0</v>
      </c>
      <c r="H8" s="40">
        <v>0</v>
      </c>
      <c r="I8" s="39">
        <v>0</v>
      </c>
    </row>
    <row r="9" spans="1:9">
      <c r="A9" s="19" t="str">
        <f>B!B38</f>
        <v>SAM</v>
      </c>
      <c r="B9" s="39">
        <v>0</v>
      </c>
      <c r="C9" s="40">
        <v>0</v>
      </c>
      <c r="D9" s="39">
        <v>0</v>
      </c>
      <c r="F9" s="19" t="str">
        <f>B!$E$38</f>
        <v>LON</v>
      </c>
      <c r="G9" s="39">
        <v>0</v>
      </c>
      <c r="H9" s="40">
        <v>0</v>
      </c>
      <c r="I9" s="39">
        <v>0</v>
      </c>
    </row>
    <row r="10" spans="1:9">
      <c r="A10" s="19">
        <f>B!B43</f>
        <v>0</v>
      </c>
      <c r="B10" s="39">
        <v>0</v>
      </c>
      <c r="C10" s="40">
        <v>0</v>
      </c>
      <c r="D10" s="39">
        <v>0</v>
      </c>
      <c r="F10" s="19">
        <f>B!$E$43</f>
        <v>0</v>
      </c>
      <c r="G10" s="39">
        <v>0</v>
      </c>
      <c r="H10" s="40">
        <v>0</v>
      </c>
      <c r="I10" s="39">
        <v>0</v>
      </c>
    </row>
    <row r="11" spans="1:9">
      <c r="A11" s="19">
        <f>B!B48</f>
        <v>0</v>
      </c>
      <c r="B11" s="39">
        <v>0</v>
      </c>
      <c r="C11" s="40">
        <v>0</v>
      </c>
      <c r="D11" s="39">
        <v>0</v>
      </c>
      <c r="F11" s="19">
        <f>B!$E$48</f>
        <v>0</v>
      </c>
      <c r="G11" s="39">
        <v>0</v>
      </c>
      <c r="H11" s="40">
        <v>0</v>
      </c>
      <c r="I11" s="39">
        <v>0</v>
      </c>
    </row>
    <row r="12" spans="1:9">
      <c r="A12" s="17">
        <f>B!B53</f>
        <v>0</v>
      </c>
      <c r="B12" s="102">
        <v>0</v>
      </c>
      <c r="C12" s="103">
        <v>0</v>
      </c>
      <c r="D12" s="102">
        <v>0</v>
      </c>
      <c r="F12" s="17">
        <f>B!$E$53</f>
        <v>0</v>
      </c>
      <c r="G12" s="102">
        <v>0</v>
      </c>
      <c r="H12" s="103">
        <v>0</v>
      </c>
      <c r="I12" s="102">
        <v>0</v>
      </c>
    </row>
    <row r="13" spans="1:9" ht="16.5" thickBot="1">
      <c r="A13" s="105" t="s">
        <v>189</v>
      </c>
      <c r="B13" s="60">
        <v>0</v>
      </c>
      <c r="C13" s="113"/>
      <c r="D13" s="114"/>
      <c r="F13" s="105" t="s">
        <v>189</v>
      </c>
      <c r="G13" s="60">
        <v>0</v>
      </c>
      <c r="H13" s="115"/>
      <c r="I13" s="116"/>
    </row>
    <row r="14" spans="1:9" ht="15.75" thickTop="1">
      <c r="A14" s="117" t="s">
        <v>51</v>
      </c>
      <c r="B14" s="118">
        <f>SUM(B5:B13)</f>
        <v>0</v>
      </c>
      <c r="C14" s="61">
        <f>SUM(C5:C12)</f>
        <v>0</v>
      </c>
      <c r="D14" s="118">
        <f>SUM(D5:D12)</f>
        <v>0</v>
      </c>
      <c r="F14" s="112" t="s">
        <v>51</v>
      </c>
      <c r="G14" s="119">
        <f>SUM(G5:G13)</f>
        <v>0</v>
      </c>
      <c r="H14" s="104">
        <f>SUM(H5:H12)</f>
        <v>0</v>
      </c>
      <c r="I14" s="119">
        <f>SUM(I5:I12)</f>
        <v>0</v>
      </c>
    </row>
    <row r="16" spans="1:9">
      <c r="A16" s="7" t="s">
        <v>54</v>
      </c>
      <c r="B16" s="108" t="s">
        <v>1</v>
      </c>
      <c r="C16" s="109" t="s">
        <v>2</v>
      </c>
      <c r="D16" s="110" t="s">
        <v>125</v>
      </c>
      <c r="F16" s="7" t="s">
        <v>64</v>
      </c>
      <c r="G16" s="108" t="s">
        <v>1</v>
      </c>
      <c r="H16" s="109" t="s">
        <v>2</v>
      </c>
      <c r="I16" s="110" t="s">
        <v>125</v>
      </c>
    </row>
    <row r="17" spans="1:9">
      <c r="A17" s="111" t="str">
        <f>B!B59</f>
        <v>VLADIMIR POOLIN</v>
      </c>
      <c r="B17" s="14" t="s">
        <v>50</v>
      </c>
      <c r="C17" s="112" t="s">
        <v>139</v>
      </c>
      <c r="D17" s="112" t="s">
        <v>133</v>
      </c>
      <c r="F17" s="111" t="str">
        <f>B!$E$59</f>
        <v>BYE</v>
      </c>
      <c r="G17" s="14" t="s">
        <v>50</v>
      </c>
      <c r="H17" s="112" t="s">
        <v>139</v>
      </c>
      <c r="I17" s="112" t="s">
        <v>133</v>
      </c>
    </row>
    <row r="18" spans="1:9">
      <c r="A18" s="19" t="str">
        <f>B!B61</f>
        <v>LEIGH</v>
      </c>
      <c r="B18" s="39">
        <v>0</v>
      </c>
      <c r="C18" s="40">
        <v>0</v>
      </c>
      <c r="D18" s="39">
        <v>0</v>
      </c>
      <c r="F18" s="19">
        <f>B!$E$61</f>
        <v>1</v>
      </c>
      <c r="G18" s="39">
        <v>0</v>
      </c>
      <c r="H18" s="40">
        <v>0</v>
      </c>
      <c r="I18" s="39">
        <v>0</v>
      </c>
    </row>
    <row r="19" spans="1:9">
      <c r="A19" s="19" t="str">
        <f>B!B66</f>
        <v>IAN</v>
      </c>
      <c r="B19" s="39">
        <v>0</v>
      </c>
      <c r="C19" s="40">
        <v>0</v>
      </c>
      <c r="D19" s="39">
        <v>0</v>
      </c>
      <c r="F19" s="19">
        <f>B!$E$66</f>
        <v>2</v>
      </c>
      <c r="G19" s="39">
        <v>0</v>
      </c>
      <c r="H19" s="40">
        <v>0</v>
      </c>
      <c r="I19" s="39">
        <v>0</v>
      </c>
    </row>
    <row r="20" spans="1:9">
      <c r="A20" s="19" t="str">
        <f>B!B71</f>
        <v>ELI</v>
      </c>
      <c r="B20" s="39">
        <v>0</v>
      </c>
      <c r="C20" s="40">
        <v>0</v>
      </c>
      <c r="D20" s="39">
        <v>0</v>
      </c>
      <c r="F20" s="19">
        <f>B!$E$71</f>
        <v>3</v>
      </c>
      <c r="G20" s="39">
        <v>0</v>
      </c>
      <c r="H20" s="40">
        <v>0</v>
      </c>
      <c r="I20" s="39">
        <v>0</v>
      </c>
    </row>
    <row r="21" spans="1:9">
      <c r="A21" s="19" t="str">
        <f>B!B76</f>
        <v>COLE</v>
      </c>
      <c r="B21" s="39">
        <v>0</v>
      </c>
      <c r="C21" s="40">
        <v>0</v>
      </c>
      <c r="D21" s="39">
        <v>0</v>
      </c>
      <c r="F21" s="19">
        <f>B!$E$76</f>
        <v>4</v>
      </c>
      <c r="G21" s="39">
        <v>0</v>
      </c>
      <c r="H21" s="40">
        <v>0</v>
      </c>
      <c r="I21" s="39">
        <v>0</v>
      </c>
    </row>
    <row r="22" spans="1:9">
      <c r="A22" s="19" t="str">
        <f>B!B81</f>
        <v>JAMES</v>
      </c>
      <c r="B22" s="39">
        <v>0</v>
      </c>
      <c r="C22" s="40">
        <v>0</v>
      </c>
      <c r="D22" s="39">
        <v>0</v>
      </c>
      <c r="F22" s="19">
        <f>B!$E$81</f>
        <v>5</v>
      </c>
      <c r="G22" s="39">
        <v>0</v>
      </c>
      <c r="H22" s="40">
        <v>0</v>
      </c>
      <c r="I22" s="39">
        <v>0</v>
      </c>
    </row>
    <row r="23" spans="1:9">
      <c r="A23" s="19">
        <f>B!B86</f>
        <v>0</v>
      </c>
      <c r="B23" s="39">
        <v>0</v>
      </c>
      <c r="C23" s="40">
        <v>0</v>
      </c>
      <c r="D23" s="39">
        <v>0</v>
      </c>
      <c r="F23" s="19">
        <f>B!$E$86</f>
        <v>0</v>
      </c>
      <c r="G23" s="39">
        <v>0</v>
      </c>
      <c r="H23" s="40">
        <v>0</v>
      </c>
      <c r="I23" s="39">
        <v>0</v>
      </c>
    </row>
    <row r="24" spans="1:9">
      <c r="A24" s="19">
        <f>B!B91</f>
        <v>0</v>
      </c>
      <c r="B24" s="39">
        <v>0</v>
      </c>
      <c r="C24" s="40">
        <v>0</v>
      </c>
      <c r="D24" s="39">
        <v>0</v>
      </c>
      <c r="F24" s="19">
        <f>B!$E$91</f>
        <v>0</v>
      </c>
      <c r="G24" s="39">
        <v>0</v>
      </c>
      <c r="H24" s="40">
        <v>0</v>
      </c>
      <c r="I24" s="39">
        <v>0</v>
      </c>
    </row>
    <row r="25" spans="1:9">
      <c r="A25" s="17">
        <f>B!B96</f>
        <v>0</v>
      </c>
      <c r="B25" s="102">
        <v>0</v>
      </c>
      <c r="C25" s="103">
        <v>0</v>
      </c>
      <c r="D25" s="102">
        <v>0</v>
      </c>
      <c r="F25" s="17">
        <f>B!$E$96</f>
        <v>0</v>
      </c>
      <c r="G25" s="102">
        <v>0</v>
      </c>
      <c r="H25" s="103">
        <v>0</v>
      </c>
      <c r="I25" s="102">
        <v>0</v>
      </c>
    </row>
    <row r="26" spans="1:9" ht="16.5" thickBot="1">
      <c r="A26" s="105" t="s">
        <v>189</v>
      </c>
      <c r="B26" s="60">
        <v>0</v>
      </c>
      <c r="C26" s="113"/>
      <c r="D26" s="114"/>
      <c r="F26" s="105" t="s">
        <v>189</v>
      </c>
      <c r="G26" s="60">
        <v>0</v>
      </c>
      <c r="H26" s="115"/>
      <c r="I26" s="116"/>
    </row>
    <row r="27" spans="1:9" ht="15.75" thickTop="1">
      <c r="A27" s="117" t="s">
        <v>51</v>
      </c>
      <c r="B27" s="118">
        <f>SUM(B18:B26)</f>
        <v>0</v>
      </c>
      <c r="C27" s="61">
        <f>SUM(C18:C25)</f>
        <v>0</v>
      </c>
      <c r="D27" s="118">
        <f>SUM(D18:D25)</f>
        <v>0</v>
      </c>
      <c r="F27" s="112" t="s">
        <v>51</v>
      </c>
      <c r="G27" s="119">
        <f>SUM(G18:G26)</f>
        <v>0</v>
      </c>
      <c r="H27" s="104">
        <f>SUM(H18:H25)</f>
        <v>0</v>
      </c>
      <c r="I27" s="119">
        <f>SUM(I18:I25)</f>
        <v>0</v>
      </c>
    </row>
    <row r="29" spans="1:9">
      <c r="A29" s="7" t="s">
        <v>55</v>
      </c>
      <c r="B29" s="108" t="s">
        <v>1</v>
      </c>
      <c r="C29" s="109" t="s">
        <v>2</v>
      </c>
      <c r="D29" s="110" t="s">
        <v>125</v>
      </c>
      <c r="F29" s="7" t="s">
        <v>65</v>
      </c>
      <c r="G29" s="108" t="s">
        <v>1</v>
      </c>
      <c r="H29" s="109" t="s">
        <v>2</v>
      </c>
      <c r="I29" s="110" t="s">
        <v>125</v>
      </c>
    </row>
    <row r="30" spans="1:9">
      <c r="A30" s="111" t="str">
        <f>B!B102</f>
        <v>RACK PACK</v>
      </c>
      <c r="B30" s="14" t="s">
        <v>50</v>
      </c>
      <c r="C30" s="112" t="s">
        <v>139</v>
      </c>
      <c r="D30" s="112" t="s">
        <v>133</v>
      </c>
      <c r="F30" s="111">
        <f>B!$E$102</f>
        <v>0</v>
      </c>
      <c r="G30" s="14" t="s">
        <v>50</v>
      </c>
      <c r="H30" s="112" t="s">
        <v>139</v>
      </c>
      <c r="I30" s="112" t="s">
        <v>133</v>
      </c>
    </row>
    <row r="31" spans="1:9">
      <c r="A31" s="19" t="str">
        <f>B!B104</f>
        <v>BRENNEN</v>
      </c>
      <c r="B31" s="39">
        <v>0</v>
      </c>
      <c r="C31" s="40">
        <v>0</v>
      </c>
      <c r="D31" s="39">
        <v>0</v>
      </c>
      <c r="F31" s="19">
        <f>B!$E$104</f>
        <v>0</v>
      </c>
      <c r="G31" s="39">
        <v>0</v>
      </c>
      <c r="H31" s="40">
        <v>0</v>
      </c>
      <c r="I31" s="39">
        <v>0</v>
      </c>
    </row>
    <row r="32" spans="1:9">
      <c r="A32" s="19" t="str">
        <f>B!B109</f>
        <v>NICK</v>
      </c>
      <c r="B32" s="39">
        <v>0</v>
      </c>
      <c r="C32" s="40">
        <v>0</v>
      </c>
      <c r="D32" s="39">
        <v>0</v>
      </c>
      <c r="F32" s="19">
        <f>B!$E$109</f>
        <v>0</v>
      </c>
      <c r="G32" s="39">
        <v>0</v>
      </c>
      <c r="H32" s="40">
        <v>0</v>
      </c>
      <c r="I32" s="39">
        <v>0</v>
      </c>
    </row>
    <row r="33" spans="1:9">
      <c r="A33" s="19" t="str">
        <f>B!B114</f>
        <v>IAN</v>
      </c>
      <c r="B33" s="39">
        <v>0</v>
      </c>
      <c r="C33" s="40">
        <v>0</v>
      </c>
      <c r="D33" s="39">
        <v>0</v>
      </c>
      <c r="F33" s="19">
        <f>B!$E$114</f>
        <v>0</v>
      </c>
      <c r="G33" s="39">
        <v>0</v>
      </c>
      <c r="H33" s="40">
        <v>0</v>
      </c>
      <c r="I33" s="39">
        <v>0</v>
      </c>
    </row>
    <row r="34" spans="1:9">
      <c r="A34" s="19" t="str">
        <f>B!B119</f>
        <v>SCOTT</v>
      </c>
      <c r="B34" s="39">
        <v>0</v>
      </c>
      <c r="C34" s="40">
        <v>0</v>
      </c>
      <c r="D34" s="39">
        <v>0</v>
      </c>
      <c r="F34" s="19">
        <f>B!$E$119</f>
        <v>0</v>
      </c>
      <c r="G34" s="39">
        <v>0</v>
      </c>
      <c r="H34" s="40">
        <v>0</v>
      </c>
      <c r="I34" s="39">
        <v>0</v>
      </c>
    </row>
    <row r="35" spans="1:9">
      <c r="A35" s="19" t="str">
        <f>B!B124</f>
        <v>TIM</v>
      </c>
      <c r="B35" s="39">
        <v>0</v>
      </c>
      <c r="C35" s="40">
        <v>0</v>
      </c>
      <c r="D35" s="39">
        <v>0</v>
      </c>
      <c r="F35" s="19">
        <f>B!$E$124</f>
        <v>0</v>
      </c>
      <c r="G35" s="39">
        <v>0</v>
      </c>
      <c r="H35" s="40">
        <v>0</v>
      </c>
      <c r="I35" s="39">
        <v>0</v>
      </c>
    </row>
    <row r="36" spans="1:9">
      <c r="A36" s="19">
        <f>B!B129</f>
        <v>0</v>
      </c>
      <c r="B36" s="39">
        <v>0</v>
      </c>
      <c r="C36" s="40">
        <v>0</v>
      </c>
      <c r="D36" s="39">
        <v>0</v>
      </c>
      <c r="F36" s="19">
        <f>B!$E$129</f>
        <v>0</v>
      </c>
      <c r="G36" s="39">
        <v>0</v>
      </c>
      <c r="H36" s="40">
        <v>0</v>
      </c>
      <c r="I36" s="39">
        <v>0</v>
      </c>
    </row>
    <row r="37" spans="1:9">
      <c r="A37" s="19">
        <f>B!B134</f>
        <v>0</v>
      </c>
      <c r="B37" s="39">
        <v>0</v>
      </c>
      <c r="C37" s="40">
        <v>0</v>
      </c>
      <c r="D37" s="39">
        <v>0</v>
      </c>
      <c r="F37" s="19">
        <f>B!$E$134</f>
        <v>0</v>
      </c>
      <c r="G37" s="39">
        <v>0</v>
      </c>
      <c r="H37" s="40">
        <v>0</v>
      </c>
      <c r="I37" s="39">
        <v>0</v>
      </c>
    </row>
    <row r="38" spans="1:9">
      <c r="A38" s="17">
        <f>B!B139</f>
        <v>0</v>
      </c>
      <c r="B38" s="102">
        <v>0</v>
      </c>
      <c r="C38" s="103">
        <v>0</v>
      </c>
      <c r="D38" s="102">
        <v>0</v>
      </c>
      <c r="F38" s="17">
        <f>B!$E$139</f>
        <v>0</v>
      </c>
      <c r="G38" s="102">
        <v>0</v>
      </c>
      <c r="H38" s="103">
        <v>0</v>
      </c>
      <c r="I38" s="102">
        <v>0</v>
      </c>
    </row>
    <row r="39" spans="1:9" ht="16.5" thickBot="1">
      <c r="A39" s="105" t="s">
        <v>189</v>
      </c>
      <c r="B39" s="60">
        <v>0</v>
      </c>
      <c r="C39" s="113"/>
      <c r="D39" s="114"/>
      <c r="F39" s="105" t="s">
        <v>189</v>
      </c>
      <c r="G39" s="60">
        <v>0</v>
      </c>
      <c r="H39" s="115"/>
      <c r="I39" s="116"/>
    </row>
    <row r="40" spans="1:9" ht="15.75" thickTop="1">
      <c r="A40" s="117" t="s">
        <v>51</v>
      </c>
      <c r="B40" s="118">
        <f>SUM(B31:B39)</f>
        <v>0</v>
      </c>
      <c r="C40" s="61">
        <f>SUM(C31:C38)</f>
        <v>0</v>
      </c>
      <c r="D40" s="118">
        <f>SUM(D31:D38)</f>
        <v>0</v>
      </c>
      <c r="F40" s="112" t="s">
        <v>51</v>
      </c>
      <c r="G40" s="119">
        <f>SUM(G31:G39)</f>
        <v>0</v>
      </c>
      <c r="H40" s="104">
        <f>SUM(H31:H38)</f>
        <v>0</v>
      </c>
      <c r="I40" s="119">
        <f>SUM(I31:I38)</f>
        <v>0</v>
      </c>
    </row>
    <row r="42" spans="1:9">
      <c r="A42" s="7" t="s">
        <v>56</v>
      </c>
      <c r="B42" s="108" t="s">
        <v>1</v>
      </c>
      <c r="C42" s="109" t="s">
        <v>2</v>
      </c>
      <c r="D42" s="110" t="s">
        <v>125</v>
      </c>
      <c r="F42" s="7" t="s">
        <v>66</v>
      </c>
      <c r="G42" s="108" t="s">
        <v>1</v>
      </c>
      <c r="H42" s="109" t="s">
        <v>2</v>
      </c>
      <c r="I42" s="110" t="s">
        <v>125</v>
      </c>
    </row>
    <row r="43" spans="1:9">
      <c r="A43" s="111" t="str">
        <f>B!B145</f>
        <v>HOT WHEELS</v>
      </c>
      <c r="B43" s="14" t="s">
        <v>50</v>
      </c>
      <c r="C43" s="112" t="s">
        <v>139</v>
      </c>
      <c r="D43" s="112" t="s">
        <v>133</v>
      </c>
      <c r="F43" s="111">
        <f>B!$E$145</f>
        <v>0</v>
      </c>
      <c r="G43" s="14" t="s">
        <v>50</v>
      </c>
      <c r="H43" s="112" t="s">
        <v>139</v>
      </c>
      <c r="I43" s="112" t="s">
        <v>133</v>
      </c>
    </row>
    <row r="44" spans="1:9">
      <c r="A44" s="19" t="str">
        <f>B!B147</f>
        <v>PATRICK</v>
      </c>
      <c r="B44" s="39">
        <v>0</v>
      </c>
      <c r="C44" s="40">
        <v>0</v>
      </c>
      <c r="D44" s="39">
        <v>0</v>
      </c>
      <c r="F44" s="19">
        <f>B!$E$147</f>
        <v>0</v>
      </c>
      <c r="G44" s="39">
        <v>0</v>
      </c>
      <c r="H44" s="40">
        <v>0</v>
      </c>
      <c r="I44" s="39">
        <v>0</v>
      </c>
    </row>
    <row r="45" spans="1:9">
      <c r="A45" s="19" t="str">
        <f>B!B152</f>
        <v>BRANDY</v>
      </c>
      <c r="B45" s="39">
        <v>0</v>
      </c>
      <c r="C45" s="40">
        <v>0</v>
      </c>
      <c r="D45" s="39">
        <v>0</v>
      </c>
      <c r="F45" s="19">
        <f>B!$E$152</f>
        <v>0</v>
      </c>
      <c r="G45" s="39">
        <v>0</v>
      </c>
      <c r="H45" s="40">
        <v>0</v>
      </c>
      <c r="I45" s="39">
        <v>0</v>
      </c>
    </row>
    <row r="46" spans="1:9">
      <c r="A46" s="19" t="str">
        <f>B!B157</f>
        <v>PJ</v>
      </c>
      <c r="B46" s="39">
        <v>0</v>
      </c>
      <c r="C46" s="40">
        <v>0</v>
      </c>
      <c r="D46" s="39">
        <v>0</v>
      </c>
      <c r="F46" s="19">
        <f>B!$E$157</f>
        <v>0</v>
      </c>
      <c r="G46" s="39">
        <v>0</v>
      </c>
      <c r="H46" s="40">
        <v>0</v>
      </c>
      <c r="I46" s="39">
        <v>0</v>
      </c>
    </row>
    <row r="47" spans="1:9">
      <c r="A47" s="19" t="str">
        <f>B!B162</f>
        <v>CARA</v>
      </c>
      <c r="B47" s="39">
        <v>0</v>
      </c>
      <c r="C47" s="40">
        <v>0</v>
      </c>
      <c r="D47" s="39">
        <v>0</v>
      </c>
      <c r="F47" s="19">
        <f>B!$E$162</f>
        <v>0</v>
      </c>
      <c r="G47" s="39">
        <v>0</v>
      </c>
      <c r="H47" s="40">
        <v>0</v>
      </c>
      <c r="I47" s="39">
        <v>0</v>
      </c>
    </row>
    <row r="48" spans="1:9">
      <c r="A48" s="19">
        <f>B!B167</f>
        <v>0</v>
      </c>
      <c r="B48" s="39">
        <v>0</v>
      </c>
      <c r="C48" s="40">
        <v>0</v>
      </c>
      <c r="D48" s="39">
        <v>0</v>
      </c>
      <c r="F48" s="19">
        <f>B!$E$167</f>
        <v>0</v>
      </c>
      <c r="G48" s="39">
        <v>0</v>
      </c>
      <c r="H48" s="40">
        <v>0</v>
      </c>
      <c r="I48" s="39">
        <v>0</v>
      </c>
    </row>
    <row r="49" spans="1:9">
      <c r="A49" s="19">
        <f>B!B172</f>
        <v>0</v>
      </c>
      <c r="B49" s="39">
        <v>0</v>
      </c>
      <c r="C49" s="40">
        <v>0</v>
      </c>
      <c r="D49" s="39">
        <v>0</v>
      </c>
      <c r="F49" s="19">
        <f>B!$E$172</f>
        <v>0</v>
      </c>
      <c r="G49" s="39">
        <v>0</v>
      </c>
      <c r="H49" s="40">
        <v>0</v>
      </c>
      <c r="I49" s="39">
        <v>0</v>
      </c>
    </row>
    <row r="50" spans="1:9">
      <c r="A50" s="19">
        <f>B!B177</f>
        <v>0</v>
      </c>
      <c r="B50" s="39">
        <v>0</v>
      </c>
      <c r="C50" s="40">
        <v>0</v>
      </c>
      <c r="D50" s="39">
        <v>0</v>
      </c>
      <c r="F50" s="19">
        <f>B!$E$177</f>
        <v>0</v>
      </c>
      <c r="G50" s="39">
        <v>0</v>
      </c>
      <c r="H50" s="40">
        <v>0</v>
      </c>
      <c r="I50" s="39">
        <v>0</v>
      </c>
    </row>
    <row r="51" spans="1:9">
      <c r="A51" s="17">
        <f>B!B182</f>
        <v>0</v>
      </c>
      <c r="B51" s="102">
        <v>0</v>
      </c>
      <c r="C51" s="103">
        <v>0</v>
      </c>
      <c r="D51" s="102">
        <v>0</v>
      </c>
      <c r="F51" s="17">
        <f>B!$E$182</f>
        <v>0</v>
      </c>
      <c r="G51" s="102">
        <v>0</v>
      </c>
      <c r="H51" s="103">
        <v>0</v>
      </c>
      <c r="I51" s="102">
        <v>0</v>
      </c>
    </row>
    <row r="52" spans="1:9" ht="16.5" thickBot="1">
      <c r="A52" s="105" t="s">
        <v>189</v>
      </c>
      <c r="B52" s="60">
        <v>0</v>
      </c>
      <c r="C52" s="113"/>
      <c r="D52" s="114"/>
      <c r="F52" s="105" t="s">
        <v>189</v>
      </c>
      <c r="G52" s="60">
        <v>0</v>
      </c>
      <c r="H52" s="115"/>
      <c r="I52" s="116"/>
    </row>
    <row r="53" spans="1:9" ht="15.75" thickTop="1">
      <c r="A53" s="117" t="s">
        <v>51</v>
      </c>
      <c r="B53" s="118">
        <f>SUM(B44:B52)</f>
        <v>0</v>
      </c>
      <c r="C53" s="61">
        <f>SUM(C44:C51)</f>
        <v>0</v>
      </c>
      <c r="D53" s="118">
        <f>SUM(D44:D51)</f>
        <v>0</v>
      </c>
      <c r="F53" s="112" t="s">
        <v>51</v>
      </c>
      <c r="G53" s="119">
        <f>SUM(G44:G52)</f>
        <v>0</v>
      </c>
      <c r="H53" s="104">
        <f>SUM(H44:H51)</f>
        <v>0</v>
      </c>
      <c r="I53" s="119">
        <f>SUM(I44:I51)</f>
        <v>0</v>
      </c>
    </row>
    <row r="55" spans="1:9">
      <c r="A55" s="7" t="s">
        <v>57</v>
      </c>
      <c r="B55" s="108" t="s">
        <v>1</v>
      </c>
      <c r="C55" s="109" t="s">
        <v>2</v>
      </c>
      <c r="D55" s="110" t="s">
        <v>125</v>
      </c>
      <c r="F55" s="7" t="s">
        <v>67</v>
      </c>
      <c r="G55" s="108" t="s">
        <v>1</v>
      </c>
      <c r="H55" s="109" t="s">
        <v>2</v>
      </c>
      <c r="I55" s="110" t="s">
        <v>125</v>
      </c>
    </row>
    <row r="56" spans="1:9">
      <c r="A56" s="111" t="str">
        <f>B!B188</f>
        <v>HABOOBS</v>
      </c>
      <c r="B56" s="14" t="s">
        <v>50</v>
      </c>
      <c r="C56" s="112" t="s">
        <v>139</v>
      </c>
      <c r="D56" s="112" t="s">
        <v>133</v>
      </c>
      <c r="F56" s="111">
        <f>B!$E$188</f>
        <v>0</v>
      </c>
      <c r="G56" s="14" t="s">
        <v>50</v>
      </c>
      <c r="H56" s="112" t="s">
        <v>139</v>
      </c>
      <c r="I56" s="112" t="s">
        <v>133</v>
      </c>
    </row>
    <row r="57" spans="1:9">
      <c r="A57" s="19" t="str">
        <f>B!B190</f>
        <v>MIKE</v>
      </c>
      <c r="B57" s="39">
        <v>0</v>
      </c>
      <c r="C57" s="40">
        <v>0</v>
      </c>
      <c r="D57" s="39">
        <v>0</v>
      </c>
      <c r="F57" s="19">
        <f>B!$E$190</f>
        <v>0</v>
      </c>
      <c r="G57" s="39">
        <v>0</v>
      </c>
      <c r="H57" s="40">
        <v>0</v>
      </c>
      <c r="I57" s="39">
        <v>0</v>
      </c>
    </row>
    <row r="58" spans="1:9">
      <c r="A58" s="19" t="str">
        <f>B!B195</f>
        <v>OLGA</v>
      </c>
      <c r="B58" s="39">
        <v>0</v>
      </c>
      <c r="C58" s="40">
        <v>0</v>
      </c>
      <c r="D58" s="39">
        <v>0</v>
      </c>
      <c r="F58" s="19">
        <f>B!$E$195</f>
        <v>0</v>
      </c>
      <c r="G58" s="39">
        <v>0</v>
      </c>
      <c r="H58" s="40">
        <v>0</v>
      </c>
      <c r="I58" s="39">
        <v>0</v>
      </c>
    </row>
    <row r="59" spans="1:9">
      <c r="A59" s="19" t="str">
        <f>B!B200</f>
        <v>DAN</v>
      </c>
      <c r="B59" s="39">
        <v>0</v>
      </c>
      <c r="C59" s="40">
        <v>0</v>
      </c>
      <c r="D59" s="39">
        <v>0</v>
      </c>
      <c r="F59" s="19">
        <f>B!$E$200</f>
        <v>0</v>
      </c>
      <c r="G59" s="39">
        <v>0</v>
      </c>
      <c r="H59" s="40">
        <v>0</v>
      </c>
      <c r="I59" s="39">
        <v>0</v>
      </c>
    </row>
    <row r="60" spans="1:9">
      <c r="A60" s="19" t="str">
        <f>B!B205</f>
        <v>MIKE MO</v>
      </c>
      <c r="B60" s="39">
        <v>0</v>
      </c>
      <c r="C60" s="40">
        <v>0</v>
      </c>
      <c r="D60" s="39">
        <v>0</v>
      </c>
      <c r="F60" s="19">
        <f>B!$E$205</f>
        <v>0</v>
      </c>
      <c r="G60" s="39">
        <v>0</v>
      </c>
      <c r="H60" s="40">
        <v>0</v>
      </c>
      <c r="I60" s="39">
        <v>0</v>
      </c>
    </row>
    <row r="61" spans="1:9">
      <c r="A61" s="19" t="str">
        <f>B!B210</f>
        <v>VICKIE</v>
      </c>
      <c r="B61" s="39">
        <v>0</v>
      </c>
      <c r="C61" s="40">
        <v>0</v>
      </c>
      <c r="D61" s="39">
        <v>0</v>
      </c>
      <c r="F61" s="19">
        <f>B!$E$210</f>
        <v>0</v>
      </c>
      <c r="G61" s="39">
        <v>0</v>
      </c>
      <c r="H61" s="40">
        <v>0</v>
      </c>
      <c r="I61" s="39">
        <v>0</v>
      </c>
    </row>
    <row r="62" spans="1:9">
      <c r="A62" s="19">
        <f>B!B215</f>
        <v>0</v>
      </c>
      <c r="B62" s="39">
        <v>0</v>
      </c>
      <c r="C62" s="40">
        <v>0</v>
      </c>
      <c r="D62" s="39">
        <v>0</v>
      </c>
      <c r="F62" s="19">
        <f>B!$E$215</f>
        <v>0</v>
      </c>
      <c r="G62" s="39">
        <v>0</v>
      </c>
      <c r="H62" s="40">
        <v>0</v>
      </c>
      <c r="I62" s="39">
        <v>0</v>
      </c>
    </row>
    <row r="63" spans="1:9">
      <c r="A63" s="19">
        <f>B!B220</f>
        <v>0</v>
      </c>
      <c r="B63" s="39">
        <v>0</v>
      </c>
      <c r="C63" s="40">
        <v>0</v>
      </c>
      <c r="D63" s="39">
        <v>0</v>
      </c>
      <c r="F63" s="19">
        <f>B!$E$220</f>
        <v>0</v>
      </c>
      <c r="G63" s="39">
        <v>0</v>
      </c>
      <c r="H63" s="40">
        <v>0</v>
      </c>
      <c r="I63" s="39">
        <v>0</v>
      </c>
    </row>
    <row r="64" spans="1:9">
      <c r="A64" s="17">
        <f>B!B225</f>
        <v>0</v>
      </c>
      <c r="B64" s="102">
        <v>0</v>
      </c>
      <c r="C64" s="103">
        <v>0</v>
      </c>
      <c r="D64" s="102">
        <v>0</v>
      </c>
      <c r="F64" s="17">
        <f>B!$E$225</f>
        <v>0</v>
      </c>
      <c r="G64" s="102">
        <v>0</v>
      </c>
      <c r="H64" s="103">
        <v>0</v>
      </c>
      <c r="I64" s="102">
        <v>0</v>
      </c>
    </row>
    <row r="65" spans="1:9" ht="16.5" thickBot="1">
      <c r="A65" s="105" t="s">
        <v>189</v>
      </c>
      <c r="B65" s="60">
        <v>0</v>
      </c>
      <c r="C65" s="113"/>
      <c r="D65" s="114"/>
      <c r="F65" s="105" t="s">
        <v>189</v>
      </c>
      <c r="G65" s="60">
        <v>0</v>
      </c>
      <c r="H65" s="115"/>
      <c r="I65" s="116"/>
    </row>
    <row r="66" spans="1:9" ht="15.75" thickTop="1">
      <c r="A66" s="117" t="s">
        <v>51</v>
      </c>
      <c r="B66" s="118">
        <f>SUM(B57:B65)</f>
        <v>0</v>
      </c>
      <c r="C66" s="61">
        <f>SUM(C57:C64)</f>
        <v>0</v>
      </c>
      <c r="D66" s="118">
        <f>SUM(D57:D64)</f>
        <v>0</v>
      </c>
      <c r="F66" s="112" t="s">
        <v>51</v>
      </c>
      <c r="G66" s="119">
        <f>SUM(G57:G65)</f>
        <v>0</v>
      </c>
      <c r="H66" s="104">
        <f>SUM(H57:H64)</f>
        <v>0</v>
      </c>
      <c r="I66" s="119">
        <f>SUM(I57:I64)</f>
        <v>0</v>
      </c>
    </row>
    <row r="68" spans="1:9">
      <c r="A68" s="7" t="s">
        <v>58</v>
      </c>
      <c r="B68" s="108" t="s">
        <v>1</v>
      </c>
      <c r="C68" s="109" t="s">
        <v>2</v>
      </c>
      <c r="D68" s="110" t="s">
        <v>125</v>
      </c>
      <c r="F68" s="7" t="s">
        <v>68</v>
      </c>
      <c r="G68" s="108" t="s">
        <v>1</v>
      </c>
      <c r="H68" s="109" t="s">
        <v>2</v>
      </c>
      <c r="I68" s="110" t="s">
        <v>125</v>
      </c>
    </row>
    <row r="69" spans="1:9">
      <c r="A69" s="111" t="str">
        <f>B!B231</f>
        <v>FFFFF TO THE 1OTH POWER</v>
      </c>
      <c r="B69" s="14" t="s">
        <v>50</v>
      </c>
      <c r="C69" s="112" t="s">
        <v>139</v>
      </c>
      <c r="D69" s="112" t="s">
        <v>133</v>
      </c>
      <c r="F69" s="111">
        <f>B!$E$231</f>
        <v>0</v>
      </c>
      <c r="G69" s="14" t="s">
        <v>50</v>
      </c>
      <c r="H69" s="112" t="s">
        <v>139</v>
      </c>
      <c r="I69" s="112" t="s">
        <v>133</v>
      </c>
    </row>
    <row r="70" spans="1:9">
      <c r="A70" s="19" t="str">
        <f>B!B233</f>
        <v>RICHARD</v>
      </c>
      <c r="B70" s="39">
        <v>0</v>
      </c>
      <c r="C70" s="40">
        <v>0</v>
      </c>
      <c r="D70" s="39">
        <v>0</v>
      </c>
      <c r="F70" s="19">
        <f>B!$E$233</f>
        <v>0</v>
      </c>
      <c r="G70" s="39">
        <v>0</v>
      </c>
      <c r="H70" s="40">
        <v>0</v>
      </c>
      <c r="I70" s="39">
        <v>0</v>
      </c>
    </row>
    <row r="71" spans="1:9">
      <c r="A71" s="19" t="str">
        <f>B!B238</f>
        <v>JUSTIN</v>
      </c>
      <c r="B71" s="39">
        <v>0</v>
      </c>
      <c r="C71" s="40">
        <v>0</v>
      </c>
      <c r="D71" s="39">
        <v>0</v>
      </c>
      <c r="F71" s="19">
        <f>B!$E$238</f>
        <v>0</v>
      </c>
      <c r="G71" s="39">
        <v>0</v>
      </c>
      <c r="H71" s="40">
        <v>0</v>
      </c>
      <c r="I71" s="39">
        <v>0</v>
      </c>
    </row>
    <row r="72" spans="1:9">
      <c r="A72" s="19" t="str">
        <f>B!B243</f>
        <v>SANDY</v>
      </c>
      <c r="B72" s="39">
        <v>0</v>
      </c>
      <c r="C72" s="40">
        <v>0</v>
      </c>
      <c r="D72" s="39">
        <v>0</v>
      </c>
      <c r="F72" s="19">
        <f>B!$E$243</f>
        <v>0</v>
      </c>
      <c r="G72" s="39">
        <v>0</v>
      </c>
      <c r="H72" s="40">
        <v>0</v>
      </c>
      <c r="I72" s="39">
        <v>0</v>
      </c>
    </row>
    <row r="73" spans="1:9">
      <c r="A73" s="19" t="str">
        <f>B!B248</f>
        <v>DENNIS</v>
      </c>
      <c r="B73" s="39">
        <v>0</v>
      </c>
      <c r="C73" s="40">
        <v>0</v>
      </c>
      <c r="D73" s="39">
        <v>0</v>
      </c>
      <c r="F73" s="19">
        <f>B!$E$248</f>
        <v>0</v>
      </c>
      <c r="G73" s="39">
        <v>0</v>
      </c>
      <c r="H73" s="40">
        <v>0</v>
      </c>
      <c r="I73" s="39">
        <v>0</v>
      </c>
    </row>
    <row r="74" spans="1:9">
      <c r="A74" s="19" t="str">
        <f>B!B253</f>
        <v>VE</v>
      </c>
      <c r="B74" s="39">
        <v>0</v>
      </c>
      <c r="C74" s="40">
        <v>0</v>
      </c>
      <c r="D74" s="39">
        <v>0</v>
      </c>
      <c r="F74" s="19">
        <f>B!$E$253</f>
        <v>0</v>
      </c>
      <c r="G74" s="39">
        <v>0</v>
      </c>
      <c r="H74" s="40">
        <v>0</v>
      </c>
      <c r="I74" s="39">
        <v>0</v>
      </c>
    </row>
    <row r="75" spans="1:9">
      <c r="A75" s="19">
        <f>B!B258</f>
        <v>0</v>
      </c>
      <c r="B75" s="39">
        <v>0</v>
      </c>
      <c r="C75" s="40">
        <v>0</v>
      </c>
      <c r="D75" s="39">
        <v>0</v>
      </c>
      <c r="F75" s="19">
        <f>B!$E$258</f>
        <v>0</v>
      </c>
      <c r="G75" s="39">
        <v>0</v>
      </c>
      <c r="H75" s="40">
        <v>0</v>
      </c>
      <c r="I75" s="39">
        <v>0</v>
      </c>
    </row>
    <row r="76" spans="1:9">
      <c r="A76" s="19">
        <f>B!B263</f>
        <v>0</v>
      </c>
      <c r="B76" s="39">
        <v>0</v>
      </c>
      <c r="C76" s="40">
        <v>0</v>
      </c>
      <c r="D76" s="39">
        <v>0</v>
      </c>
      <c r="F76" s="19">
        <f>B!$E$263</f>
        <v>0</v>
      </c>
      <c r="G76" s="39">
        <v>0</v>
      </c>
      <c r="H76" s="40">
        <v>0</v>
      </c>
      <c r="I76" s="39">
        <v>0</v>
      </c>
    </row>
    <row r="77" spans="1:9">
      <c r="A77" s="17">
        <f>B!B268</f>
        <v>0</v>
      </c>
      <c r="B77" s="102">
        <v>0</v>
      </c>
      <c r="C77" s="103">
        <v>0</v>
      </c>
      <c r="D77" s="102">
        <v>0</v>
      </c>
      <c r="F77" s="19">
        <f>B!$E$268</f>
        <v>0</v>
      </c>
      <c r="G77" s="102">
        <v>0</v>
      </c>
      <c r="H77" s="103">
        <v>0</v>
      </c>
      <c r="I77" s="102">
        <v>0</v>
      </c>
    </row>
    <row r="78" spans="1:9" ht="16.5" thickBot="1">
      <c r="A78" s="105" t="s">
        <v>189</v>
      </c>
      <c r="B78" s="60">
        <v>0</v>
      </c>
      <c r="C78" s="113"/>
      <c r="D78" s="114"/>
      <c r="F78" s="105" t="s">
        <v>189</v>
      </c>
      <c r="G78" s="60">
        <v>0</v>
      </c>
      <c r="H78" s="115"/>
      <c r="I78" s="116"/>
    </row>
    <row r="79" spans="1:9" ht="15.75" thickTop="1">
      <c r="A79" s="117" t="s">
        <v>51</v>
      </c>
      <c r="B79" s="118">
        <f>SUM(B70:B78)</f>
        <v>0</v>
      </c>
      <c r="C79" s="61">
        <f>SUM(C70:C77)</f>
        <v>0</v>
      </c>
      <c r="D79" s="118">
        <f>SUM(D70:D77)</f>
        <v>0</v>
      </c>
      <c r="F79" s="112" t="s">
        <v>51</v>
      </c>
      <c r="G79" s="119">
        <f>SUM(G70:G78)</f>
        <v>0</v>
      </c>
      <c r="H79" s="104">
        <f>SUM(H70:H77)</f>
        <v>0</v>
      </c>
      <c r="I79" s="119">
        <f>SUM(I70:I77)</f>
        <v>0</v>
      </c>
    </row>
    <row r="81" spans="1:9">
      <c r="A81" s="7" t="s">
        <v>59</v>
      </c>
      <c r="B81" s="108" t="s">
        <v>1</v>
      </c>
      <c r="C81" s="109" t="s">
        <v>2</v>
      </c>
      <c r="D81" s="110" t="s">
        <v>125</v>
      </c>
      <c r="F81" s="7" t="s">
        <v>69</v>
      </c>
      <c r="G81" s="108" t="s">
        <v>1</v>
      </c>
      <c r="H81" s="109" t="s">
        <v>2</v>
      </c>
      <c r="I81" s="110" t="s">
        <v>125</v>
      </c>
    </row>
    <row r="82" spans="1:9">
      <c r="A82" s="111" t="str">
        <f>B!B274</f>
        <v>YOUNG BLOODS</v>
      </c>
      <c r="B82" s="14" t="s">
        <v>50</v>
      </c>
      <c r="C82" s="112" t="s">
        <v>139</v>
      </c>
      <c r="D82" s="112" t="s">
        <v>133</v>
      </c>
      <c r="F82" s="111">
        <f>B!$E$274</f>
        <v>0</v>
      </c>
      <c r="G82" s="14" t="s">
        <v>50</v>
      </c>
      <c r="H82" s="112" t="s">
        <v>139</v>
      </c>
      <c r="I82" s="112" t="s">
        <v>133</v>
      </c>
    </row>
    <row r="83" spans="1:9">
      <c r="A83" s="19" t="str">
        <f>B!B276</f>
        <v>GARY</v>
      </c>
      <c r="B83" s="39">
        <v>0</v>
      </c>
      <c r="C83" s="40">
        <v>0</v>
      </c>
      <c r="D83" s="39">
        <v>0</v>
      </c>
      <c r="F83" s="19">
        <f>B!$E$276</f>
        <v>0</v>
      </c>
      <c r="G83" s="39">
        <v>0</v>
      </c>
      <c r="H83" s="40">
        <v>0</v>
      </c>
      <c r="I83" s="39">
        <v>0</v>
      </c>
    </row>
    <row r="84" spans="1:9">
      <c r="A84" s="19" t="str">
        <f>B!B281</f>
        <v>RICH</v>
      </c>
      <c r="B84" s="39">
        <v>0</v>
      </c>
      <c r="C84" s="40">
        <v>0</v>
      </c>
      <c r="D84" s="39">
        <v>0</v>
      </c>
      <c r="F84" s="19">
        <f>B!$E$281</f>
        <v>0</v>
      </c>
      <c r="G84" s="39">
        <v>0</v>
      </c>
      <c r="H84" s="40">
        <v>0</v>
      </c>
      <c r="I84" s="39">
        <v>0</v>
      </c>
    </row>
    <row r="85" spans="1:9">
      <c r="A85" s="19" t="str">
        <f>B!B286</f>
        <v>VIC</v>
      </c>
      <c r="B85" s="39">
        <v>0</v>
      </c>
      <c r="C85" s="40">
        <v>0</v>
      </c>
      <c r="D85" s="39">
        <v>0</v>
      </c>
      <c r="F85" s="19">
        <f>B!$E$286</f>
        <v>0</v>
      </c>
      <c r="G85" s="39">
        <v>0</v>
      </c>
      <c r="H85" s="40">
        <v>0</v>
      </c>
      <c r="I85" s="39">
        <v>0</v>
      </c>
    </row>
    <row r="86" spans="1:9">
      <c r="A86" s="19" t="str">
        <f>B!B291</f>
        <v>JIM</v>
      </c>
      <c r="B86" s="39">
        <v>0</v>
      </c>
      <c r="C86" s="40">
        <v>0</v>
      </c>
      <c r="D86" s="39">
        <v>0</v>
      </c>
      <c r="F86" s="19">
        <f>B!$E$291</f>
        <v>0</v>
      </c>
      <c r="G86" s="39">
        <v>0</v>
      </c>
      <c r="H86" s="40">
        <v>0</v>
      </c>
      <c r="I86" s="39">
        <v>0</v>
      </c>
    </row>
    <row r="87" spans="1:9">
      <c r="A87" s="19" t="str">
        <f>B!B296</f>
        <v>PAM</v>
      </c>
      <c r="B87" s="39">
        <v>0</v>
      </c>
      <c r="C87" s="40">
        <v>0</v>
      </c>
      <c r="D87" s="39">
        <v>0</v>
      </c>
      <c r="F87" s="19">
        <f>B!$E$296</f>
        <v>0</v>
      </c>
      <c r="G87" s="39">
        <v>0</v>
      </c>
      <c r="H87" s="40">
        <v>0</v>
      </c>
      <c r="I87" s="39">
        <v>0</v>
      </c>
    </row>
    <row r="88" spans="1:9">
      <c r="A88" s="19">
        <f>B!B301</f>
        <v>0</v>
      </c>
      <c r="B88" s="39">
        <v>0</v>
      </c>
      <c r="C88" s="40">
        <v>0</v>
      </c>
      <c r="D88" s="39">
        <v>0</v>
      </c>
      <c r="F88" s="19">
        <f>B!$E$301</f>
        <v>0</v>
      </c>
      <c r="G88" s="39">
        <v>0</v>
      </c>
      <c r="H88" s="40">
        <v>0</v>
      </c>
      <c r="I88" s="39">
        <v>0</v>
      </c>
    </row>
    <row r="89" spans="1:9">
      <c r="A89" s="19">
        <f>B!B306</f>
        <v>0</v>
      </c>
      <c r="B89" s="39">
        <v>0</v>
      </c>
      <c r="C89" s="40">
        <v>0</v>
      </c>
      <c r="D89" s="39">
        <v>0</v>
      </c>
      <c r="F89" s="19">
        <f>B!$E$306</f>
        <v>0</v>
      </c>
      <c r="G89" s="39">
        <v>0</v>
      </c>
      <c r="H89" s="40">
        <v>0</v>
      </c>
      <c r="I89" s="39">
        <v>0</v>
      </c>
    </row>
    <row r="90" spans="1:9">
      <c r="A90" s="17">
        <f>B!B311</f>
        <v>0</v>
      </c>
      <c r="B90" s="102">
        <v>0</v>
      </c>
      <c r="C90" s="103">
        <v>0</v>
      </c>
      <c r="D90" s="102">
        <v>0</v>
      </c>
      <c r="F90" s="17">
        <f>B!$E$311</f>
        <v>0</v>
      </c>
      <c r="G90" s="102">
        <v>0</v>
      </c>
      <c r="H90" s="103">
        <v>0</v>
      </c>
      <c r="I90" s="102">
        <v>0</v>
      </c>
    </row>
    <row r="91" spans="1:9" ht="16.5" thickBot="1">
      <c r="A91" s="105" t="s">
        <v>189</v>
      </c>
      <c r="B91" s="60">
        <v>0</v>
      </c>
      <c r="C91" s="113"/>
      <c r="D91" s="114"/>
      <c r="F91" s="105" t="s">
        <v>189</v>
      </c>
      <c r="G91" s="60">
        <v>0</v>
      </c>
      <c r="H91" s="115"/>
      <c r="I91" s="116"/>
    </row>
    <row r="92" spans="1:9" ht="15.75" thickTop="1">
      <c r="A92" s="117" t="s">
        <v>51</v>
      </c>
      <c r="B92" s="118">
        <f>SUM(B83:B91)</f>
        <v>0</v>
      </c>
      <c r="C92" s="61">
        <f>SUM(C83:C90)</f>
        <v>0</v>
      </c>
      <c r="D92" s="118">
        <f>SUM(D83:D90)</f>
        <v>0</v>
      </c>
      <c r="F92" s="112" t="s">
        <v>51</v>
      </c>
      <c r="G92" s="119">
        <f>SUM(G83:G91)</f>
        <v>0</v>
      </c>
      <c r="H92" s="104">
        <f>SUM(H83:H90)</f>
        <v>0</v>
      </c>
      <c r="I92" s="119">
        <f>SUM(I83:I90)</f>
        <v>0</v>
      </c>
    </row>
    <row r="94" spans="1:9">
      <c r="A94" s="7" t="s">
        <v>60</v>
      </c>
      <c r="B94" s="108" t="s">
        <v>1</v>
      </c>
      <c r="C94" s="109" t="s">
        <v>2</v>
      </c>
      <c r="D94" s="110" t="s">
        <v>125</v>
      </c>
      <c r="F94" s="7" t="s">
        <v>70</v>
      </c>
      <c r="G94" s="108" t="s">
        <v>1</v>
      </c>
      <c r="H94" s="109" t="s">
        <v>2</v>
      </c>
      <c r="I94" s="110" t="s">
        <v>125</v>
      </c>
    </row>
    <row r="95" spans="1:9">
      <c r="A95" s="111" t="str">
        <f>B!B317</f>
        <v>THE BOYS</v>
      </c>
      <c r="B95" s="14" t="s">
        <v>50</v>
      </c>
      <c r="C95" s="112" t="s">
        <v>139</v>
      </c>
      <c r="D95" s="112" t="s">
        <v>133</v>
      </c>
      <c r="F95" s="111">
        <f>B!$E$317</f>
        <v>0</v>
      </c>
      <c r="G95" s="14" t="s">
        <v>50</v>
      </c>
      <c r="H95" s="112" t="s">
        <v>139</v>
      </c>
      <c r="I95" s="112" t="s">
        <v>133</v>
      </c>
    </row>
    <row r="96" spans="1:9">
      <c r="A96" s="19" t="str">
        <f>B!B319</f>
        <v>JOHN A</v>
      </c>
      <c r="B96" s="39">
        <v>0</v>
      </c>
      <c r="C96" s="40">
        <v>0</v>
      </c>
      <c r="D96" s="39">
        <v>0</v>
      </c>
      <c r="F96" s="19">
        <f>B!$E$319</f>
        <v>0</v>
      </c>
      <c r="G96" s="39">
        <v>0</v>
      </c>
      <c r="H96" s="40">
        <v>0</v>
      </c>
      <c r="I96" s="39">
        <v>0</v>
      </c>
    </row>
    <row r="97" spans="1:9">
      <c r="A97" s="19" t="str">
        <f>B!B324</f>
        <v>BOBBY</v>
      </c>
      <c r="B97" s="39">
        <v>0</v>
      </c>
      <c r="C97" s="40">
        <v>0</v>
      </c>
      <c r="D97" s="39">
        <v>0</v>
      </c>
      <c r="F97" s="19">
        <f>B!$E$324</f>
        <v>0</v>
      </c>
      <c r="G97" s="39">
        <v>0</v>
      </c>
      <c r="H97" s="40">
        <v>0</v>
      </c>
      <c r="I97" s="39">
        <v>0</v>
      </c>
    </row>
    <row r="98" spans="1:9">
      <c r="A98" s="19" t="str">
        <f>B!B329</f>
        <v>MIKE</v>
      </c>
      <c r="B98" s="39">
        <v>0</v>
      </c>
      <c r="C98" s="40">
        <v>0</v>
      </c>
      <c r="D98" s="39">
        <v>0</v>
      </c>
      <c r="F98" s="19">
        <f>B!$E$329</f>
        <v>0</v>
      </c>
      <c r="G98" s="39">
        <v>0</v>
      </c>
      <c r="H98" s="40">
        <v>0</v>
      </c>
      <c r="I98" s="39">
        <v>0</v>
      </c>
    </row>
    <row r="99" spans="1:9">
      <c r="A99" s="19" t="str">
        <f>B!B334</f>
        <v>ROGER</v>
      </c>
      <c r="B99" s="39">
        <v>0</v>
      </c>
      <c r="C99" s="40">
        <v>0</v>
      </c>
      <c r="D99" s="39">
        <v>0</v>
      </c>
      <c r="F99" s="19">
        <f>B!$E$334</f>
        <v>0</v>
      </c>
      <c r="G99" s="39">
        <v>0</v>
      </c>
      <c r="H99" s="40">
        <v>0</v>
      </c>
      <c r="I99" s="39">
        <v>0</v>
      </c>
    </row>
    <row r="100" spans="1:9">
      <c r="A100" s="19" t="str">
        <f>B!B339</f>
        <v>JOHN B.</v>
      </c>
      <c r="B100" s="39">
        <v>0</v>
      </c>
      <c r="C100" s="40">
        <v>0</v>
      </c>
      <c r="D100" s="39">
        <v>0</v>
      </c>
      <c r="F100" s="19">
        <f>B!$E$339</f>
        <v>0</v>
      </c>
      <c r="G100" s="39">
        <v>0</v>
      </c>
      <c r="H100" s="40">
        <v>0</v>
      </c>
      <c r="I100" s="39">
        <v>0</v>
      </c>
    </row>
    <row r="101" spans="1:9">
      <c r="A101" s="19">
        <f>B!B344</f>
        <v>0</v>
      </c>
      <c r="B101" s="39">
        <v>0</v>
      </c>
      <c r="C101" s="40">
        <v>0</v>
      </c>
      <c r="D101" s="39">
        <v>0</v>
      </c>
      <c r="F101" s="19">
        <f>B!$E$344</f>
        <v>0</v>
      </c>
      <c r="G101" s="39">
        <v>0</v>
      </c>
      <c r="H101" s="40">
        <v>0</v>
      </c>
      <c r="I101" s="39">
        <v>0</v>
      </c>
    </row>
    <row r="102" spans="1:9">
      <c r="A102" s="19">
        <f>B!B349</f>
        <v>0</v>
      </c>
      <c r="B102" s="39">
        <v>0</v>
      </c>
      <c r="C102" s="40">
        <v>0</v>
      </c>
      <c r="D102" s="39">
        <v>0</v>
      </c>
      <c r="F102" s="19">
        <f>B!$E$349</f>
        <v>0</v>
      </c>
      <c r="G102" s="39">
        <v>0</v>
      </c>
      <c r="H102" s="40">
        <v>0</v>
      </c>
      <c r="I102" s="39">
        <v>0</v>
      </c>
    </row>
    <row r="103" spans="1:9">
      <c r="A103" s="17">
        <f>B!B354</f>
        <v>0</v>
      </c>
      <c r="B103" s="102">
        <v>0</v>
      </c>
      <c r="C103" s="103">
        <v>0</v>
      </c>
      <c r="D103" s="102">
        <v>0</v>
      </c>
      <c r="F103" s="17">
        <f>B!$E$354</f>
        <v>0</v>
      </c>
      <c r="G103" s="102">
        <v>0</v>
      </c>
      <c r="H103" s="103">
        <v>0</v>
      </c>
      <c r="I103" s="102">
        <v>0</v>
      </c>
    </row>
    <row r="104" spans="1:9" ht="16.5" thickBot="1">
      <c r="A104" s="105" t="s">
        <v>189</v>
      </c>
      <c r="B104" s="60">
        <v>0</v>
      </c>
      <c r="C104" s="113"/>
      <c r="D104" s="114"/>
      <c r="F104" s="105" t="s">
        <v>189</v>
      </c>
      <c r="G104" s="60">
        <v>0</v>
      </c>
      <c r="H104" s="115"/>
      <c r="I104" s="116"/>
    </row>
    <row r="105" spans="1:9" ht="15.75" thickTop="1">
      <c r="A105" s="117" t="s">
        <v>51</v>
      </c>
      <c r="B105" s="118">
        <f>SUM(B96:B104)</f>
        <v>0</v>
      </c>
      <c r="C105" s="61">
        <f>SUM(C96:C103)</f>
        <v>0</v>
      </c>
      <c r="D105" s="118">
        <f>SUM(D96:D103)</f>
        <v>0</v>
      </c>
      <c r="F105" s="112" t="s">
        <v>51</v>
      </c>
      <c r="G105" s="119">
        <f>SUM(G96:G104)</f>
        <v>0</v>
      </c>
      <c r="H105" s="104">
        <f>SUM(H96:H103)</f>
        <v>0</v>
      </c>
      <c r="I105" s="119">
        <f>SUM(I96:I103)</f>
        <v>0</v>
      </c>
    </row>
    <row r="107" spans="1:9">
      <c r="A107" s="7" t="s">
        <v>61</v>
      </c>
      <c r="B107" s="108" t="s">
        <v>1</v>
      </c>
      <c r="C107" s="109" t="s">
        <v>2</v>
      </c>
      <c r="D107" s="110" t="s">
        <v>125</v>
      </c>
      <c r="F107" s="7" t="s">
        <v>71</v>
      </c>
      <c r="G107" s="108" t="s">
        <v>1</v>
      </c>
      <c r="H107" s="109" t="s">
        <v>2</v>
      </c>
      <c r="I107" s="110" t="s">
        <v>125</v>
      </c>
    </row>
    <row r="108" spans="1:9">
      <c r="A108" s="111" t="str">
        <f>B!B360</f>
        <v>THE DOUGERNAUTS</v>
      </c>
      <c r="B108" s="14" t="s">
        <v>50</v>
      </c>
      <c r="C108" s="112" t="s">
        <v>139</v>
      </c>
      <c r="D108" s="112" t="s">
        <v>133</v>
      </c>
      <c r="F108" s="111">
        <f>B!$E$360</f>
        <v>0</v>
      </c>
      <c r="G108" s="14" t="s">
        <v>50</v>
      </c>
      <c r="H108" s="112" t="s">
        <v>139</v>
      </c>
      <c r="I108" s="112" t="s">
        <v>133</v>
      </c>
    </row>
    <row r="109" spans="1:9">
      <c r="A109" s="19" t="str">
        <f>B!B362</f>
        <v>MICHAEL</v>
      </c>
      <c r="B109" s="39">
        <v>0</v>
      </c>
      <c r="C109" s="40">
        <v>0</v>
      </c>
      <c r="D109" s="39">
        <v>0</v>
      </c>
      <c r="F109" s="19">
        <f>B!$E$362</f>
        <v>0</v>
      </c>
      <c r="G109" s="39">
        <v>0</v>
      </c>
      <c r="H109" s="40">
        <v>0</v>
      </c>
      <c r="I109" s="39">
        <v>0</v>
      </c>
    </row>
    <row r="110" spans="1:9">
      <c r="A110" s="19" t="str">
        <f>B!B367</f>
        <v>JIM</v>
      </c>
      <c r="B110" s="39">
        <v>0</v>
      </c>
      <c r="C110" s="40">
        <v>0</v>
      </c>
      <c r="D110" s="39">
        <v>0</v>
      </c>
      <c r="F110" s="19">
        <f>B!$E$367</f>
        <v>0</v>
      </c>
      <c r="G110" s="39">
        <v>0</v>
      </c>
      <c r="H110" s="40">
        <v>0</v>
      </c>
      <c r="I110" s="39">
        <v>0</v>
      </c>
    </row>
    <row r="111" spans="1:9">
      <c r="A111" s="19" t="str">
        <f>B!B372</f>
        <v>DOUG</v>
      </c>
      <c r="B111" s="39">
        <v>0</v>
      </c>
      <c r="C111" s="40">
        <v>0</v>
      </c>
      <c r="D111" s="39">
        <v>0</v>
      </c>
      <c r="F111" s="19">
        <f>B!$E$372</f>
        <v>0</v>
      </c>
      <c r="G111" s="39">
        <v>0</v>
      </c>
      <c r="H111" s="40">
        <v>0</v>
      </c>
      <c r="I111" s="39">
        <v>0</v>
      </c>
    </row>
    <row r="112" spans="1:9">
      <c r="A112" s="19" t="str">
        <f>B!B377</f>
        <v>SARAH</v>
      </c>
      <c r="B112" s="39">
        <v>0</v>
      </c>
      <c r="C112" s="40">
        <v>0</v>
      </c>
      <c r="D112" s="39">
        <v>0</v>
      </c>
      <c r="F112" s="19">
        <f>B!$E$377</f>
        <v>0</v>
      </c>
      <c r="G112" s="39">
        <v>0</v>
      </c>
      <c r="H112" s="40">
        <v>0</v>
      </c>
      <c r="I112" s="39">
        <v>0</v>
      </c>
    </row>
    <row r="113" spans="1:9">
      <c r="A113" s="19" t="str">
        <f>B!B382</f>
        <v>KASH</v>
      </c>
      <c r="B113" s="39">
        <v>0</v>
      </c>
      <c r="C113" s="40">
        <v>0</v>
      </c>
      <c r="D113" s="39">
        <v>0</v>
      </c>
      <c r="F113" s="19">
        <f>B!$E$382</f>
        <v>0</v>
      </c>
      <c r="G113" s="39">
        <v>0</v>
      </c>
      <c r="H113" s="40">
        <v>0</v>
      </c>
      <c r="I113" s="39">
        <v>0</v>
      </c>
    </row>
    <row r="114" spans="1:9">
      <c r="A114" s="19">
        <f>B!B387</f>
        <v>0</v>
      </c>
      <c r="B114" s="39">
        <v>0</v>
      </c>
      <c r="C114" s="40">
        <v>0</v>
      </c>
      <c r="D114" s="39">
        <v>0</v>
      </c>
      <c r="F114" s="19">
        <f>B!$E$387</f>
        <v>0</v>
      </c>
      <c r="G114" s="39">
        <v>0</v>
      </c>
      <c r="H114" s="40">
        <v>0</v>
      </c>
      <c r="I114" s="39">
        <v>0</v>
      </c>
    </row>
    <row r="115" spans="1:9">
      <c r="A115" s="19">
        <f>B!B392</f>
        <v>0</v>
      </c>
      <c r="B115" s="39">
        <v>0</v>
      </c>
      <c r="C115" s="40">
        <v>0</v>
      </c>
      <c r="D115" s="39">
        <v>0</v>
      </c>
      <c r="F115" s="19">
        <f>B!$E$392</f>
        <v>0</v>
      </c>
      <c r="G115" s="39">
        <v>0</v>
      </c>
      <c r="H115" s="40">
        <v>0</v>
      </c>
      <c r="I115" s="39">
        <v>0</v>
      </c>
    </row>
    <row r="116" spans="1:9">
      <c r="A116" s="17">
        <f>B!B397</f>
        <v>0</v>
      </c>
      <c r="B116" s="102">
        <v>0</v>
      </c>
      <c r="C116" s="103">
        <v>0</v>
      </c>
      <c r="D116" s="102">
        <v>0</v>
      </c>
      <c r="F116" s="17">
        <f>B!$E$397</f>
        <v>0</v>
      </c>
      <c r="G116" s="102">
        <v>0</v>
      </c>
      <c r="H116" s="103">
        <v>0</v>
      </c>
      <c r="I116" s="102">
        <v>0</v>
      </c>
    </row>
    <row r="117" spans="1:9" ht="16.5" thickBot="1">
      <c r="A117" s="105" t="s">
        <v>189</v>
      </c>
      <c r="B117" s="60">
        <v>0</v>
      </c>
      <c r="C117" s="113"/>
      <c r="D117" s="114"/>
      <c r="F117" s="105" t="s">
        <v>189</v>
      </c>
      <c r="G117" s="60">
        <v>0</v>
      </c>
      <c r="H117" s="115"/>
      <c r="I117" s="116"/>
    </row>
    <row r="118" spans="1:9" ht="15.75" thickTop="1">
      <c r="A118" s="117" t="s">
        <v>51</v>
      </c>
      <c r="B118" s="118">
        <f>SUM(B109:B117)</f>
        <v>0</v>
      </c>
      <c r="C118" s="61">
        <f>SUM(C109:C116)</f>
        <v>0</v>
      </c>
      <c r="D118" s="118">
        <f>SUM(D109:D116)</f>
        <v>0</v>
      </c>
      <c r="F118" s="112" t="s">
        <v>51</v>
      </c>
      <c r="G118" s="119">
        <f>SUM(G109:G117)</f>
        <v>0</v>
      </c>
      <c r="H118" s="104">
        <f>SUM(H109:H116)</f>
        <v>0</v>
      </c>
      <c r="I118" s="119">
        <f>SUM(I109:I116)</f>
        <v>0</v>
      </c>
    </row>
    <row r="120" spans="1:9">
      <c r="A120" s="7" t="s">
        <v>62</v>
      </c>
      <c r="B120" s="108" t="s">
        <v>1</v>
      </c>
      <c r="C120" s="109" t="s">
        <v>2</v>
      </c>
      <c r="D120" s="110" t="s">
        <v>125</v>
      </c>
      <c r="F120" s="7" t="s">
        <v>72</v>
      </c>
      <c r="G120" s="108" t="s">
        <v>1</v>
      </c>
      <c r="H120" s="109" t="s">
        <v>2</v>
      </c>
      <c r="I120" s="110" t="s">
        <v>125</v>
      </c>
    </row>
    <row r="121" spans="1:9">
      <c r="A121" s="111" t="str">
        <f>B!B403</f>
        <v>CRAZY TRAIN</v>
      </c>
      <c r="B121" s="14" t="s">
        <v>50</v>
      </c>
      <c r="C121" s="112" t="s">
        <v>139</v>
      </c>
      <c r="D121" s="112" t="s">
        <v>133</v>
      </c>
      <c r="F121" s="111">
        <f>B!$E$403</f>
        <v>0</v>
      </c>
      <c r="G121" s="14" t="s">
        <v>50</v>
      </c>
      <c r="H121" s="112" t="s">
        <v>139</v>
      </c>
      <c r="I121" s="112" t="s">
        <v>133</v>
      </c>
    </row>
    <row r="122" spans="1:9">
      <c r="A122" s="19" t="str">
        <f>B!B405</f>
        <v>DARRIC</v>
      </c>
      <c r="B122" s="39">
        <v>0</v>
      </c>
      <c r="C122" s="40">
        <v>0</v>
      </c>
      <c r="D122" s="39">
        <v>0</v>
      </c>
      <c r="F122" s="19">
        <f>B!$E$405</f>
        <v>0</v>
      </c>
      <c r="G122" s="39">
        <v>0</v>
      </c>
      <c r="H122" s="40">
        <v>0</v>
      </c>
      <c r="I122" s="39">
        <v>0</v>
      </c>
    </row>
    <row r="123" spans="1:9">
      <c r="A123" s="19" t="str">
        <f>B!B410</f>
        <v>CHRIS</v>
      </c>
      <c r="B123" s="39">
        <v>0</v>
      </c>
      <c r="C123" s="40">
        <v>0</v>
      </c>
      <c r="D123" s="39">
        <v>0</v>
      </c>
      <c r="F123" s="19">
        <f>B!$E$410</f>
        <v>0</v>
      </c>
      <c r="G123" s="39">
        <v>0</v>
      </c>
      <c r="H123" s="40">
        <v>0</v>
      </c>
      <c r="I123" s="39">
        <v>0</v>
      </c>
    </row>
    <row r="124" spans="1:9">
      <c r="A124" s="19" t="str">
        <f>B!B415</f>
        <v>MIKE R.</v>
      </c>
      <c r="B124" s="39">
        <v>0</v>
      </c>
      <c r="C124" s="40">
        <v>0</v>
      </c>
      <c r="D124" s="39">
        <v>0</v>
      </c>
      <c r="F124" s="19">
        <f>B!$E$415</f>
        <v>0</v>
      </c>
      <c r="G124" s="39">
        <v>0</v>
      </c>
      <c r="H124" s="40">
        <v>0</v>
      </c>
      <c r="I124" s="39">
        <v>0</v>
      </c>
    </row>
    <row r="125" spans="1:9">
      <c r="A125" s="19" t="str">
        <f>B!B420</f>
        <v>SERGEI</v>
      </c>
      <c r="B125" s="39">
        <v>0</v>
      </c>
      <c r="C125" s="40">
        <v>0</v>
      </c>
      <c r="D125" s="39">
        <v>0</v>
      </c>
      <c r="F125" s="19">
        <f>B!$E$420</f>
        <v>0</v>
      </c>
      <c r="G125" s="39">
        <v>0</v>
      </c>
      <c r="H125" s="40">
        <v>0</v>
      </c>
      <c r="I125" s="39">
        <v>0</v>
      </c>
    </row>
    <row r="126" spans="1:9">
      <c r="A126" s="19" t="str">
        <f>B!B425</f>
        <v>JORDAN</v>
      </c>
      <c r="B126" s="39">
        <v>0</v>
      </c>
      <c r="C126" s="40">
        <v>0</v>
      </c>
      <c r="D126" s="39">
        <v>0</v>
      </c>
      <c r="F126" s="19">
        <f>B!$E$425</f>
        <v>0</v>
      </c>
      <c r="G126" s="39">
        <v>0</v>
      </c>
      <c r="H126" s="40">
        <v>0</v>
      </c>
      <c r="I126" s="39">
        <v>0</v>
      </c>
    </row>
    <row r="127" spans="1:9">
      <c r="A127" s="19">
        <f>B!B430</f>
        <v>0</v>
      </c>
      <c r="B127" s="39">
        <v>0</v>
      </c>
      <c r="C127" s="40">
        <v>0</v>
      </c>
      <c r="D127" s="39">
        <v>0</v>
      </c>
      <c r="F127" s="19">
        <f>B!$E$430</f>
        <v>0</v>
      </c>
      <c r="G127" s="39">
        <v>0</v>
      </c>
      <c r="H127" s="40">
        <v>0</v>
      </c>
      <c r="I127" s="39">
        <v>0</v>
      </c>
    </row>
    <row r="128" spans="1:9">
      <c r="A128" s="19">
        <f>B!B435</f>
        <v>0</v>
      </c>
      <c r="B128" s="39">
        <v>0</v>
      </c>
      <c r="C128" s="40">
        <v>0</v>
      </c>
      <c r="D128" s="39">
        <v>0</v>
      </c>
      <c r="F128" s="19">
        <f>B!$E$435</f>
        <v>0</v>
      </c>
      <c r="G128" s="39">
        <v>0</v>
      </c>
      <c r="H128" s="40">
        <v>0</v>
      </c>
      <c r="I128" s="39">
        <v>0</v>
      </c>
    </row>
    <row r="129" spans="1:9">
      <c r="A129" s="17">
        <f>B!B440</f>
        <v>0</v>
      </c>
      <c r="B129" s="102">
        <v>0</v>
      </c>
      <c r="C129" s="103">
        <v>0</v>
      </c>
      <c r="D129" s="102">
        <v>0</v>
      </c>
      <c r="F129" s="17">
        <f>B!$E$440</f>
        <v>0</v>
      </c>
      <c r="G129" s="102">
        <v>0</v>
      </c>
      <c r="H129" s="103">
        <v>0</v>
      </c>
      <c r="I129" s="102">
        <v>0</v>
      </c>
    </row>
    <row r="130" spans="1:9" ht="16.5" thickBot="1">
      <c r="A130" s="105" t="s">
        <v>189</v>
      </c>
      <c r="B130" s="60">
        <v>0</v>
      </c>
      <c r="C130" s="113"/>
      <c r="D130" s="114"/>
      <c r="F130" s="105" t="s">
        <v>189</v>
      </c>
      <c r="G130" s="60">
        <v>0</v>
      </c>
      <c r="H130" s="115"/>
      <c r="I130" s="116"/>
    </row>
    <row r="131" spans="1:9" ht="15.75" thickTop="1">
      <c r="A131" s="117" t="s">
        <v>51</v>
      </c>
      <c r="B131" s="118">
        <f>SUM(B122:B130)</f>
        <v>0</v>
      </c>
      <c r="C131" s="61">
        <f>SUM(C122:C129)</f>
        <v>0</v>
      </c>
      <c r="D131" s="118">
        <f>SUM(D122:D129)</f>
        <v>0</v>
      </c>
      <c r="F131" s="112" t="s">
        <v>51</v>
      </c>
      <c r="G131" s="119">
        <f>SUM(G122:G130)</f>
        <v>0</v>
      </c>
      <c r="H131" s="104">
        <f>SUM(H122:H129)</f>
        <v>0</v>
      </c>
      <c r="I131" s="119">
        <f>SUM(I122:I129)</f>
        <v>0</v>
      </c>
    </row>
  </sheetData>
  <sheetProtection sheet="1" objects="1" scenarios="1"/>
  <phoneticPr fontId="15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turn_To_Menu">
                <anchor moveWithCells="1" siz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B461A-4624-422E-8832-E09AE7D2522E}">
  <sheetPr codeName="Sheet1"/>
  <dimension ref="A1:C26"/>
  <sheetViews>
    <sheetView showGridLines="0" workbookViewId="0"/>
  </sheetViews>
  <sheetFormatPr defaultRowHeight="15"/>
  <cols>
    <col min="1" max="1" width="12.77734375" customWidth="1"/>
    <col min="2" max="2" width="40.77734375" customWidth="1"/>
    <col min="3" max="3" width="16.77734375" customWidth="1"/>
  </cols>
  <sheetData>
    <row r="1" spans="1:3">
      <c r="A1" s="139" t="str">
        <f>"Clicks "&amp;B!$C$3&amp;":"&amp;" "&amp;B!$C$10&amp;" "&amp;B!$C$9</f>
        <v>Clicks Tucson: Get-a-Cue 8-Ball</v>
      </c>
    </row>
    <row r="2" spans="1:3" ht="30">
      <c r="A2" s="140" t="str">
        <f>B!$C$12&amp;" Team Score Summary"</f>
        <v>Wednesday Team Score Summary</v>
      </c>
      <c r="B2" s="6"/>
      <c r="C2" s="6"/>
    </row>
    <row r="3" spans="1:3" ht="18">
      <c r="A3" s="241">
        <f ca="1">NOW()</f>
        <v>46155.487344907408</v>
      </c>
      <c r="B3" s="241"/>
      <c r="C3" s="241"/>
    </row>
    <row r="5" spans="1:3" ht="15.75" thickBot="1">
      <c r="A5" t="str">
        <f>"After:  "&amp;A!AW13&amp;IF(A!AW13=1," Week"," Weeks")</f>
        <v>After:  4 Weeks</v>
      </c>
    </row>
    <row r="6" spans="1:3" ht="26.25" thickBot="1">
      <c r="A6" s="141" t="s">
        <v>196</v>
      </c>
      <c r="B6" s="141" t="s">
        <v>73</v>
      </c>
      <c r="C6" s="141" t="s">
        <v>50</v>
      </c>
    </row>
    <row r="7" spans="1:3" ht="23.25">
      <c r="A7" s="142">
        <f>IF(A!BF5=0,"",ROW(A7)-6)</f>
        <v>1</v>
      </c>
      <c r="B7" s="143" t="str">
        <f>IF(A!BG5=0,"",A!BG5)</f>
        <v>CRAZY TRAIN</v>
      </c>
      <c r="C7" s="144">
        <f>IF(A!BF5=0,"",A!BF5)</f>
        <v>827</v>
      </c>
    </row>
    <row r="8" spans="1:3" ht="23.25">
      <c r="A8" s="145">
        <f>IF(A!BF6=0,"",ROW(A8)-6)</f>
        <v>2</v>
      </c>
      <c r="B8" s="146" t="str">
        <f>IF(A!BG6=0,"",A!BG6)</f>
        <v>SPAM FO LUNCH</v>
      </c>
      <c r="C8" s="147">
        <f>IF(A!BF6=0,"",A!BF6)</f>
        <v>802.7</v>
      </c>
    </row>
    <row r="9" spans="1:3" ht="23.25">
      <c r="A9" s="145">
        <f>IF(A!BF7=0,"",ROW(A9)-6)</f>
        <v>3</v>
      </c>
      <c r="B9" s="146" t="str">
        <f>IF(A!BG7=0,"",A!BG7)</f>
        <v>YOUNG BLOODS</v>
      </c>
      <c r="C9" s="147">
        <f>IF(A!BF7=0,"",A!BF7)</f>
        <v>797.4</v>
      </c>
    </row>
    <row r="10" spans="1:3" ht="23.25">
      <c r="A10" s="145">
        <f>IF(A!BF8=0,"",ROW(A10)-6)</f>
        <v>4</v>
      </c>
      <c r="B10" s="146" t="str">
        <f>IF(A!BG8=0,"",A!BG8)</f>
        <v>THE BOYS</v>
      </c>
      <c r="C10" s="147">
        <f>IF(A!BF8=0,"",A!BF8)</f>
        <v>792.95</v>
      </c>
    </row>
    <row r="11" spans="1:3" ht="23.25">
      <c r="A11" s="145">
        <f>IF(A!BF9=0,"",ROW(A11)-6)</f>
        <v>5</v>
      </c>
      <c r="B11" s="146" t="str">
        <f>IF(A!BG9=0,"",A!BG9)</f>
        <v>HABOOBS</v>
      </c>
      <c r="C11" s="147">
        <f>IF(A!BF9=0,"",A!BF9)</f>
        <v>789.2</v>
      </c>
    </row>
    <row r="12" spans="1:3" ht="23.25">
      <c r="A12" s="145">
        <f>IF(A!BF10=0,"",ROW(A12)-6)</f>
        <v>6</v>
      </c>
      <c r="B12" s="146" t="str">
        <f>IF(A!BG10=0,"",A!BG10)</f>
        <v>THE DOUGERNAUTS</v>
      </c>
      <c r="C12" s="147">
        <f>IF(A!BF10=0,"",A!BF10)</f>
        <v>774.09999999999991</v>
      </c>
    </row>
    <row r="13" spans="1:3" ht="23.25">
      <c r="A13" s="145">
        <f>IF(A!BF11=0,"",ROW(A13)-6)</f>
        <v>7</v>
      </c>
      <c r="B13" s="146" t="str">
        <f>IF(A!BG11=0,"",A!BG11)</f>
        <v>RACK PACK</v>
      </c>
      <c r="C13" s="147">
        <f>IF(A!BF11=0,"",A!BF11)</f>
        <v>767</v>
      </c>
    </row>
    <row r="14" spans="1:3" ht="23.25">
      <c r="A14" s="145">
        <f>IF(A!BF12=0,"",ROW(A14)-6)</f>
        <v>8</v>
      </c>
      <c r="B14" s="146" t="str">
        <f>IF(A!BG12=0,"",A!BG12)</f>
        <v>HOT WHEELS</v>
      </c>
      <c r="C14" s="147">
        <f>IF(A!BF12=0,"",A!BF12)</f>
        <v>762</v>
      </c>
    </row>
    <row r="15" spans="1:3" ht="23.25">
      <c r="A15" s="145">
        <f>IF(A!BF13=0,"",ROW(A15)-6)</f>
        <v>9</v>
      </c>
      <c r="B15" s="146" t="str">
        <f>IF(A!BG13=0,"",A!BG13)</f>
        <v>FFFFF TO THE 1OTH POWER</v>
      </c>
      <c r="C15" s="147">
        <f>IF(A!BF13=0,"",A!BF13)</f>
        <v>758.95</v>
      </c>
    </row>
    <row r="16" spans="1:3" ht="23.25">
      <c r="A16" s="145">
        <f>IF(A!BF14=0,"",ROW(A16)-6)</f>
        <v>10</v>
      </c>
      <c r="B16" s="146" t="str">
        <f>IF(A!BG14=0,"",A!BG14)</f>
        <v>PIRATES OF THE TABLE</v>
      </c>
      <c r="C16" s="147">
        <f>IF(A!BF14=0,"",A!BF14)</f>
        <v>744.55</v>
      </c>
    </row>
    <row r="17" spans="1:3" ht="23.25">
      <c r="A17" s="145">
        <f>IF(A!BF15=0,"",ROW(A17)-6)</f>
        <v>11</v>
      </c>
      <c r="B17" s="146" t="str">
        <f>IF(A!BG15=0,"",A!BG15)</f>
        <v>VLADIMIR POOLIN</v>
      </c>
      <c r="C17" s="147">
        <f>IF(A!BF15=0,"",A!BF15)</f>
        <v>687.5</v>
      </c>
    </row>
    <row r="18" spans="1:3" ht="23.25">
      <c r="A18" s="145">
        <f>IF(A!BF16=0,"",ROW(A18)-6)</f>
        <v>12</v>
      </c>
      <c r="B18" s="146" t="str">
        <f>IF(A!BG16=0,"",A!BG16)</f>
        <v>BYE</v>
      </c>
      <c r="C18" s="147">
        <f>IF(A!BF16=0,"",A!BF16)</f>
        <v>15</v>
      </c>
    </row>
    <row r="19" spans="1:3" ht="23.25">
      <c r="A19" s="145" t="str">
        <f>IF(A!BF17=0,"",ROW(A19)-6)</f>
        <v/>
      </c>
      <c r="B19" s="146" t="str">
        <f>IF(A!BG17=0,"",A!BG17)</f>
        <v/>
      </c>
      <c r="C19" s="147" t="str">
        <f>IF(A!BF17=0,"",A!BF17)</f>
        <v/>
      </c>
    </row>
    <row r="20" spans="1:3" ht="23.25">
      <c r="A20" s="145" t="str">
        <f>IF(A!BF18=0,"",ROW(A20)-6)</f>
        <v/>
      </c>
      <c r="B20" s="146" t="str">
        <f>IF(A!BG18=0,"",A!BG18)</f>
        <v/>
      </c>
      <c r="C20" s="147" t="str">
        <f>IF(A!BF18=0,"",A!BF18)</f>
        <v/>
      </c>
    </row>
    <row r="21" spans="1:3" ht="23.25">
      <c r="A21" s="145" t="str">
        <f>IF(A!BF19=0,"",ROW(A21)-6)</f>
        <v/>
      </c>
      <c r="B21" s="146" t="str">
        <f>IF(A!BG19=0,"",A!BG19)</f>
        <v/>
      </c>
      <c r="C21" s="147" t="str">
        <f>IF(A!BF19=0,"",A!BF19)</f>
        <v/>
      </c>
    </row>
    <row r="22" spans="1:3" ht="23.25">
      <c r="A22" s="145" t="str">
        <f>IF(A!BF20=0,"",ROW(A22)-6)</f>
        <v/>
      </c>
      <c r="B22" s="146" t="str">
        <f>IF(A!BG20=0,"",A!BG20)</f>
        <v/>
      </c>
      <c r="C22" s="147" t="str">
        <f>IF(A!BF20=0,"",A!BF20)</f>
        <v/>
      </c>
    </row>
    <row r="23" spans="1:3" ht="23.25">
      <c r="A23" s="145" t="str">
        <f>IF(A!BF21=0,"",ROW(A23)-6)</f>
        <v/>
      </c>
      <c r="B23" s="146" t="str">
        <f>IF(A!BG21=0,"",A!BG21)</f>
        <v/>
      </c>
      <c r="C23" s="147" t="str">
        <f>IF(A!BF21=0,"",A!BF21)</f>
        <v/>
      </c>
    </row>
    <row r="24" spans="1:3" ht="23.25">
      <c r="A24" s="145" t="str">
        <f>IF(A!BF22=0,"",ROW(A24)-6)</f>
        <v/>
      </c>
      <c r="B24" s="146" t="str">
        <f>IF(A!BG22=0,"",A!BG22)</f>
        <v/>
      </c>
      <c r="C24" s="147" t="str">
        <f>IF(A!BF22=0,"",A!BF22)</f>
        <v/>
      </c>
    </row>
    <row r="25" spans="1:3" ht="23.25">
      <c r="A25" s="145" t="str">
        <f>IF(A!BF23=0,"",ROW(A25)-6)</f>
        <v/>
      </c>
      <c r="B25" s="146" t="str">
        <f>IF(A!BG23=0,"",A!BG23)</f>
        <v/>
      </c>
      <c r="C25" s="147" t="str">
        <f>IF(A!BF23=0,"",A!BF23)</f>
        <v/>
      </c>
    </row>
    <row r="26" spans="1:3" ht="24" thickBot="1">
      <c r="A26" s="148" t="str">
        <f>IF(A!BF24=0,"",ROW(A26)-6)</f>
        <v/>
      </c>
      <c r="B26" s="149" t="str">
        <f>IF(A!BG24=0,"",A!BG24)</f>
        <v/>
      </c>
      <c r="C26" s="107" t="str">
        <f>IF(A!BF24=0,"",A!BF24)</f>
        <v/>
      </c>
    </row>
  </sheetData>
  <sheetProtection sheet="1" objects="1" scenarios="1"/>
  <mergeCells count="1">
    <mergeCell ref="A3:C3"/>
  </mergeCells>
  <phoneticPr fontId="15" type="noConversion"/>
  <printOptions horizontalCentered="1"/>
  <pageMargins left="0.5" right="0.5" top="0.5" bottom="0.5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2D40D-9E9B-419F-AE5D-071247C6282C}">
  <sheetPr codeName="Sheet26"/>
  <dimension ref="A1:E166"/>
  <sheetViews>
    <sheetView showGridLines="0" workbookViewId="0"/>
  </sheetViews>
  <sheetFormatPr defaultRowHeight="15"/>
  <cols>
    <col min="1" max="1" width="8.77734375" customWidth="1"/>
    <col min="2" max="2" width="16.77734375" customWidth="1"/>
    <col min="3" max="3" width="37.77734375" customWidth="1"/>
    <col min="4" max="4" width="10.77734375" customWidth="1"/>
  </cols>
  <sheetData>
    <row r="1" spans="1:5">
      <c r="A1" t="str">
        <f>"Clicks "&amp;B!$C$3&amp;":"&amp;" "&amp;B!$C$10&amp;" "&amp;B!$C$9</f>
        <v>Clicks Tucson: Get-a-Cue 8-Ball</v>
      </c>
    </row>
    <row r="2" spans="1:5" ht="30">
      <c r="A2" s="140" t="str">
        <f>B!$C$12&amp;" Individual Score Summary"</f>
        <v>Wednesday Individual Score Summary</v>
      </c>
      <c r="B2" s="6"/>
      <c r="C2" s="6"/>
      <c r="D2" s="6"/>
    </row>
    <row r="3" spans="1:5" ht="18">
      <c r="A3" s="241">
        <f ca="1">NOW()</f>
        <v>46155.487344907408</v>
      </c>
      <c r="B3" s="241"/>
      <c r="C3" s="241"/>
      <c r="D3" s="241"/>
      <c r="E3" s="150"/>
    </row>
    <row r="5" spans="1:5" ht="15.75" thickBot="1">
      <c r="A5" t="str">
        <f>"After:  "&amp;A!AW13&amp;IF(A!AW13=1," Week"," Weeks")</f>
        <v>After:  4 Weeks</v>
      </c>
    </row>
    <row r="6" spans="1:5" ht="26.1" customHeight="1" thickBot="1">
      <c r="A6" s="151" t="s">
        <v>196</v>
      </c>
      <c r="B6" s="151" t="s">
        <v>74</v>
      </c>
      <c r="C6" s="151" t="s">
        <v>73</v>
      </c>
      <c r="D6" s="151" t="s">
        <v>50</v>
      </c>
    </row>
    <row r="7" spans="1:5" ht="20.100000000000001" customHeight="1">
      <c r="A7" s="152" t="str">
        <f>IF(A!BA5=0,"",IF(OR(D7=D8,D7=D6),"Tie",ROW(A7)-6))</f>
        <v>Tie</v>
      </c>
      <c r="B7" s="153" t="str">
        <f>IF(A!BB5=0,"",A!BB5)</f>
        <v>DAN</v>
      </c>
      <c r="C7" s="153" t="str">
        <f>IF(A!BC5=0,"",A!BC5)</f>
        <v>HABOOBS</v>
      </c>
      <c r="D7" s="154">
        <f>IF(A!BA5=0,"",A!BA5)</f>
        <v>182</v>
      </c>
    </row>
    <row r="8" spans="1:5" ht="20.100000000000001" customHeight="1">
      <c r="A8" s="155" t="str">
        <f>IF(A!BA6=0,"",IF(OR(D8=D9,D8=D7),"Tie",ROW(A8)-6))</f>
        <v>Tie</v>
      </c>
      <c r="B8" s="156" t="str">
        <f>IF(A!BB6=0,"",A!BB6)</f>
        <v>CHRIS</v>
      </c>
      <c r="C8" s="156" t="str">
        <f>IF(A!BC6=0,"",A!BC6)</f>
        <v>CRAZY TRAIN</v>
      </c>
      <c r="D8" s="157">
        <f>IF(A!BA6=0,"",A!BA6)</f>
        <v>182</v>
      </c>
    </row>
    <row r="9" spans="1:5" ht="20.100000000000001" customHeight="1">
      <c r="A9" s="155">
        <f>IF(A!BA7=0,"",IF(OR(D9=D10,D9=D8),"Tie",ROW(A9)-6))</f>
        <v>3</v>
      </c>
      <c r="B9" s="156" t="str">
        <f>IF(A!BB7=0,"",A!BB7)</f>
        <v>GARY</v>
      </c>
      <c r="C9" s="156" t="str">
        <f>IF(A!BC7=0,"",A!BC7)</f>
        <v>YOUNG BLOODS</v>
      </c>
      <c r="D9" s="157">
        <f>IF(A!BA7=0,"",A!BA7)</f>
        <v>176</v>
      </c>
    </row>
    <row r="10" spans="1:5" ht="20.100000000000001" customHeight="1">
      <c r="A10" s="155">
        <f>IF(A!BA8=0,"",IF(OR(D10=D11,D10=D9),"Tie",ROW(A10)-6))</f>
        <v>4</v>
      </c>
      <c r="B10" s="156" t="str">
        <f>IF(A!BB8=0,"",A!BB8)</f>
        <v>ERIC</v>
      </c>
      <c r="C10" s="156" t="str">
        <f>IF(A!BC8=0,"",A!BC8)</f>
        <v>SPAM FO LUNCH</v>
      </c>
      <c r="D10" s="157">
        <f>IF(A!BA8=0,"",A!BA8)</f>
        <v>175</v>
      </c>
    </row>
    <row r="11" spans="1:5" ht="20.100000000000001" customHeight="1">
      <c r="A11" s="155">
        <f>IF(A!BA9=0,"",IF(OR(D11=D12,D11=D10),"Tie",ROW(A11)-6))</f>
        <v>5</v>
      </c>
      <c r="B11" s="156" t="str">
        <f>IF(A!BB9=0,"",A!BB9)</f>
        <v>DARRIC</v>
      </c>
      <c r="C11" s="156" t="str">
        <f>IF(A!BC9=0,"",A!BC9)</f>
        <v>CRAZY TRAIN</v>
      </c>
      <c r="D11" s="157">
        <f>IF(A!BA9=0,"",A!BA9)</f>
        <v>173</v>
      </c>
    </row>
    <row r="12" spans="1:5" ht="20.100000000000001" customHeight="1">
      <c r="A12" s="155" t="str">
        <f>IF(A!BA10=0,"",IF(OR(D12=D13,D12=D11),"Tie",ROW(A12)-6))</f>
        <v>Tie</v>
      </c>
      <c r="B12" s="156" t="str">
        <f>IF(A!BB10=0,"",A!BB10)</f>
        <v>JASON</v>
      </c>
      <c r="C12" s="156" t="str">
        <f>IF(A!BC10=0,"",A!BC10)</f>
        <v>PIRATES OF THE TABLE</v>
      </c>
      <c r="D12" s="157">
        <f>IF(A!BA10=0,"",A!BA10)</f>
        <v>169</v>
      </c>
    </row>
    <row r="13" spans="1:5" ht="20.100000000000001" customHeight="1">
      <c r="A13" s="155" t="str">
        <f>IF(A!BA11=0,"",IF(OR(D13=D14,D13=D12),"Tie",ROW(A13)-6))</f>
        <v>Tie</v>
      </c>
      <c r="B13" s="156" t="str">
        <f>IF(A!BB11=0,"",A!BB11)</f>
        <v>VIC</v>
      </c>
      <c r="C13" s="156" t="str">
        <f>IF(A!BC11=0,"",A!BC11)</f>
        <v>YOUNG BLOODS</v>
      </c>
      <c r="D13" s="157">
        <f>IF(A!BA11=0,"",A!BA11)</f>
        <v>169</v>
      </c>
    </row>
    <row r="14" spans="1:5" ht="20.100000000000001" customHeight="1">
      <c r="A14" s="155" t="str">
        <f>IF(A!BA12=0,"",IF(OR(D14=D15,D14=D13),"Tie",ROW(A14)-6))</f>
        <v>Tie</v>
      </c>
      <c r="B14" s="156" t="str">
        <f>IF(A!BB12=0,"",A!BB12)</f>
        <v>MIKE</v>
      </c>
      <c r="C14" s="156" t="str">
        <f>IF(A!BC12=0,"",A!BC12)</f>
        <v>THE BOYS</v>
      </c>
      <c r="D14" s="157">
        <f>IF(A!BA12=0,"",A!BA12)</f>
        <v>169</v>
      </c>
    </row>
    <row r="15" spans="1:5" ht="20.100000000000001" customHeight="1">
      <c r="A15" s="155">
        <f>IF(A!BA13=0,"",IF(OR(D15=D16,D15=D14),"Tie",ROW(A15)-6))</f>
        <v>9</v>
      </c>
      <c r="B15" s="156" t="str">
        <f>IF(A!BB13=0,"",A!BB13)</f>
        <v>KASH</v>
      </c>
      <c r="C15" s="156" t="str">
        <f>IF(A!BC13=0,"",A!BC13)</f>
        <v>THE DOUGERNAUTS</v>
      </c>
      <c r="D15" s="157">
        <f>IF(A!BA13=0,"",A!BA13)</f>
        <v>168</v>
      </c>
    </row>
    <row r="16" spans="1:5" ht="20.100000000000001" customHeight="1">
      <c r="A16" s="155">
        <f>IF(A!BA14=0,"",IF(OR(D16=D17,D16=D15),"Tie",ROW(A16)-6))</f>
        <v>10</v>
      </c>
      <c r="B16" s="156" t="str">
        <f>IF(A!BB14=0,"",A!BB14)</f>
        <v>BRENNEN</v>
      </c>
      <c r="C16" s="156" t="str">
        <f>IF(A!BC14=0,"",A!BC14)</f>
        <v>RACK PACK</v>
      </c>
      <c r="D16" s="157">
        <f>IF(A!BA14=0,"",A!BA14)</f>
        <v>167</v>
      </c>
    </row>
    <row r="17" spans="1:4" ht="20.100000000000001" customHeight="1">
      <c r="A17" s="155" t="str">
        <f>IF(A!BA15=0,"",IF(OR(D17=D18,D17=D16),"Tie",ROW(A17)-6))</f>
        <v>Tie</v>
      </c>
      <c r="B17" s="156" t="str">
        <f>IF(A!BB15=0,"",A!BB15)</f>
        <v>PAM</v>
      </c>
      <c r="C17" s="156" t="str">
        <f>IF(A!BC15=0,"",A!BC15)</f>
        <v>YOUNG BLOODS</v>
      </c>
      <c r="D17" s="157">
        <f>IF(A!BA15=0,"",A!BA15)</f>
        <v>166</v>
      </c>
    </row>
    <row r="18" spans="1:4" ht="20.100000000000001" customHeight="1">
      <c r="A18" s="155" t="str">
        <f>IF(A!BA16=0,"",IF(OR(D18=D19,D18=D17),"Tie",ROW(A18)-6))</f>
        <v>Tie</v>
      </c>
      <c r="B18" s="156" t="str">
        <f>IF(A!BB16=0,"",A!BB16)</f>
        <v>JOHN A</v>
      </c>
      <c r="C18" s="156" t="str">
        <f>IF(A!BC16=0,"",A!BC16)</f>
        <v>THE BOYS</v>
      </c>
      <c r="D18" s="157">
        <f>IF(A!BA16=0,"",A!BA16)</f>
        <v>166</v>
      </c>
    </row>
    <row r="19" spans="1:4" ht="20.100000000000001" customHeight="1">
      <c r="A19" s="155" t="str">
        <f>IF(A!BA17=0,"",IF(OR(D19=D20,D19=D18),"Tie",ROW(A19)-6))</f>
        <v>Tie</v>
      </c>
      <c r="B19" s="156" t="str">
        <f>IF(A!BB17=0,"",A!BB17)</f>
        <v>LEIGH</v>
      </c>
      <c r="C19" s="156" t="str">
        <f>IF(A!BC17=0,"",A!BC17)</f>
        <v>VLADIMIR POOLIN</v>
      </c>
      <c r="D19" s="157">
        <f>IF(A!BA17=0,"",A!BA17)</f>
        <v>165</v>
      </c>
    </row>
    <row r="20" spans="1:4" ht="20.100000000000001" customHeight="1">
      <c r="A20" s="155" t="str">
        <f>IF(A!BA18=0,"",IF(OR(D20=D21,D20=D19),"Tie",ROW(A20)-6))</f>
        <v>Tie</v>
      </c>
      <c r="B20" s="156" t="str">
        <f>IF(A!BB18=0,"",A!BB18)</f>
        <v>MIKE</v>
      </c>
      <c r="C20" s="156" t="str">
        <f>IF(A!BC18=0,"",A!BC18)</f>
        <v>HABOOBS</v>
      </c>
      <c r="D20" s="157">
        <f>IF(A!BA18=0,"",A!BA18)</f>
        <v>165</v>
      </c>
    </row>
    <row r="21" spans="1:4" ht="20.100000000000001" customHeight="1">
      <c r="A21" s="155" t="str">
        <f>IF(A!BA19=0,"",IF(OR(D21=D22,D21=D20),"Tie",ROW(A21)-6))</f>
        <v>Tie</v>
      </c>
      <c r="B21" s="156" t="str">
        <f>IF(A!BB19=0,"",A!BB19)</f>
        <v>DENNIS</v>
      </c>
      <c r="C21" s="156" t="str">
        <f>IF(A!BC19=0,"",A!BC19)</f>
        <v>FFFFF TO THE 1OTH POWER</v>
      </c>
      <c r="D21" s="157">
        <f>IF(A!BA19=0,"",A!BA19)</f>
        <v>165</v>
      </c>
    </row>
    <row r="22" spans="1:4" ht="20.100000000000001" customHeight="1">
      <c r="A22" s="155">
        <f>IF(A!BA20=0,"",IF(OR(D22=D23,D22=D21),"Tie",ROW(A22)-6))</f>
        <v>16</v>
      </c>
      <c r="B22" s="156" t="str">
        <f>IF(A!BB20=0,"",A!BB20)</f>
        <v>PATRICK</v>
      </c>
      <c r="C22" s="156" t="str">
        <f>IF(A!BC20=0,"",A!BC20)</f>
        <v>HOT WHEELS</v>
      </c>
      <c r="D22" s="157">
        <f>IF(A!BA20=0,"",A!BA20)</f>
        <v>164</v>
      </c>
    </row>
    <row r="23" spans="1:4" ht="20.100000000000001" customHeight="1">
      <c r="A23" s="155">
        <f>IF(A!BA21=0,"",IF(OR(D23=D24,D23=D22),"Tie",ROW(A23)-6))</f>
        <v>17</v>
      </c>
      <c r="B23" s="156" t="str">
        <f>IF(A!BB21=0,"",A!BB21)</f>
        <v>SERGEI</v>
      </c>
      <c r="C23" s="156" t="str">
        <f>IF(A!BC21=0,"",A!BC21)</f>
        <v>CRAZY TRAIN</v>
      </c>
      <c r="D23" s="157">
        <f>IF(A!BA21=0,"",A!BA21)</f>
        <v>163</v>
      </c>
    </row>
    <row r="24" spans="1:4" ht="20.100000000000001" customHeight="1">
      <c r="A24" s="155" t="str">
        <f>IF(A!BA22=0,"",IF(OR(D24=D25,D24=D23),"Tie",ROW(A24)-6))</f>
        <v>Tie</v>
      </c>
      <c r="B24" s="156" t="str">
        <f>IF(A!BB22=0,"",A!BB22)</f>
        <v>DON</v>
      </c>
      <c r="C24" s="156" t="str">
        <f>IF(A!BC22=0,"",A!BC22)</f>
        <v>PIRATES OF THE TABLE</v>
      </c>
      <c r="D24" s="157">
        <f>IF(A!BA22=0,"",A!BA22)</f>
        <v>162</v>
      </c>
    </row>
    <row r="25" spans="1:4" ht="20.100000000000001" customHeight="1">
      <c r="A25" s="155" t="str">
        <f>IF(A!BA23=0,"",IF(OR(D25=D26,D25=D24),"Tie",ROW(A25)-6))</f>
        <v>Tie</v>
      </c>
      <c r="B25" s="156" t="str">
        <f>IF(A!BB23=0,"",A!BB23)</f>
        <v>LON</v>
      </c>
      <c r="C25" s="156" t="str">
        <f>IF(A!BC23=0,"",A!BC23)</f>
        <v>SPAM FO LUNCH</v>
      </c>
      <c r="D25" s="157">
        <f>IF(A!BA23=0,"",A!BA23)</f>
        <v>162</v>
      </c>
    </row>
    <row r="26" spans="1:4" ht="20.100000000000001" customHeight="1">
      <c r="A26" s="155" t="str">
        <f>IF(A!BA24=0,"",IF(OR(D26=D27,D26=D25),"Tie",ROW(A26)-6))</f>
        <v>Tie</v>
      </c>
      <c r="B26" s="156" t="str">
        <f>IF(A!BB24=0,"",A!BB24)</f>
        <v>JUSTIN</v>
      </c>
      <c r="C26" s="156" t="str">
        <f>IF(A!BC24=0,"",A!BC24)</f>
        <v>FFFFF TO THE 1OTH POWER</v>
      </c>
      <c r="D26" s="157">
        <f>IF(A!BA24=0,"",A!BA24)</f>
        <v>161</v>
      </c>
    </row>
    <row r="27" spans="1:4" ht="20.100000000000001" customHeight="1">
      <c r="A27" s="155" t="str">
        <f>IF(A!BA25=0,"",IF(OR(D27=D28,D27=D26),"Tie",ROW(A27)-6))</f>
        <v>Tie</v>
      </c>
      <c r="B27" s="156" t="str">
        <f>IF(A!BB25=0,"",A!BB25)</f>
        <v>PABLO</v>
      </c>
      <c r="C27" s="156" t="str">
        <f>IF(A!BC25=0,"",A!BC25)</f>
        <v>SPAM FO LUNCH</v>
      </c>
      <c r="D27" s="157">
        <f>IF(A!BA25=0,"",A!BA25)</f>
        <v>161</v>
      </c>
    </row>
    <row r="28" spans="1:4" ht="20.100000000000001" customHeight="1">
      <c r="A28" s="155">
        <f>IF(A!BA26=0,"",IF(OR(D28=D29,D28=D27),"Tie",ROW(A28)-6))</f>
        <v>22</v>
      </c>
      <c r="B28" s="156" t="str">
        <f>IF(A!BB26=0,"",A!BB26)</f>
        <v>IAN</v>
      </c>
      <c r="C28" s="156" t="str">
        <f>IF(A!BC26=0,"",A!BC26)</f>
        <v>RACK PACK</v>
      </c>
      <c r="D28" s="157">
        <f>IF(A!BA26=0,"",A!BA26)</f>
        <v>160</v>
      </c>
    </row>
    <row r="29" spans="1:4" ht="20.100000000000001" customHeight="1">
      <c r="A29" s="155">
        <f>IF(A!BA27=0,"",IF(OR(D29=D30,D29=D28),"Tie",ROW(A29)-6))</f>
        <v>23</v>
      </c>
      <c r="B29" s="156" t="str">
        <f>IF(A!BB27=0,"",A!BB27)</f>
        <v>JOHN B.</v>
      </c>
      <c r="C29" s="156" t="str">
        <f>IF(A!BC27=0,"",A!BC27)</f>
        <v>THE BOYS</v>
      </c>
      <c r="D29" s="157">
        <f>IF(A!BA27=0,"",A!BA27)</f>
        <v>158</v>
      </c>
    </row>
    <row r="30" spans="1:4" ht="20.100000000000001" customHeight="1">
      <c r="A30" s="155">
        <f>IF(A!BA28=0,"",IF(OR(D30=D31,D30=D29),"Tie",ROW(A30)-6))</f>
        <v>24</v>
      </c>
      <c r="B30" s="156" t="str">
        <f>IF(A!BB28=0,"",A!BB28)</f>
        <v/>
      </c>
      <c r="C30" s="156" t="str">
        <f>IF(A!BC28=0,"",A!BC28)</f>
        <v>HOT WHEELS</v>
      </c>
      <c r="D30" s="157">
        <f>IF(A!BA28=0,"",A!BA28)</f>
        <v>157</v>
      </c>
    </row>
    <row r="31" spans="1:4" ht="20.100000000000001" customHeight="1">
      <c r="A31" s="155" t="str">
        <f>IF(A!BA29=0,"",IF(OR(D31=D32,D31=D30),"Tie",ROW(A31)-6))</f>
        <v>Tie</v>
      </c>
      <c r="B31" s="156" t="str">
        <f>IF(A!BB29=0,"",A!BB29)</f>
        <v>OLGA</v>
      </c>
      <c r="C31" s="156" t="str">
        <f>IF(A!BC29=0,"",A!BC29)</f>
        <v>HABOOBS</v>
      </c>
      <c r="D31" s="157">
        <f>IF(A!BA29=0,"",A!BA29)</f>
        <v>156</v>
      </c>
    </row>
    <row r="32" spans="1:4" ht="20.100000000000001" customHeight="1">
      <c r="A32" s="155" t="str">
        <f>IF(A!BA30=0,"",IF(OR(D32=D33,D32=D31),"Tie",ROW(A32)-6))</f>
        <v>Tie</v>
      </c>
      <c r="B32" s="156" t="str">
        <f>IF(A!BB30=0,"",A!BB30)</f>
        <v>JORDAN</v>
      </c>
      <c r="C32" s="156" t="str">
        <f>IF(A!BC30=0,"",A!BC30)</f>
        <v>CRAZY TRAIN</v>
      </c>
      <c r="D32" s="157">
        <f>IF(A!BA30=0,"",A!BA30)</f>
        <v>156</v>
      </c>
    </row>
    <row r="33" spans="1:4" ht="20.100000000000001" customHeight="1">
      <c r="A33" s="155" t="str">
        <f>IF(A!BA31=0,"",IF(OR(D33=D34,D33=D32),"Tie",ROW(A33)-6))</f>
        <v>Tie</v>
      </c>
      <c r="B33" s="156" t="str">
        <f>IF(A!BB31=0,"",A!BB31)</f>
        <v>PJ</v>
      </c>
      <c r="C33" s="156" t="str">
        <f>IF(A!BC31=0,"",A!BC31)</f>
        <v>HOT WHEELS</v>
      </c>
      <c r="D33" s="157">
        <f>IF(A!BA31=0,"",A!BA31)</f>
        <v>154</v>
      </c>
    </row>
    <row r="34" spans="1:4" ht="20.100000000000001" customHeight="1">
      <c r="A34" s="155" t="str">
        <f>IF(A!BA32=0,"",IF(OR(D34=D35,D34=D33),"Tie",ROW(A34)-6))</f>
        <v>Tie</v>
      </c>
      <c r="B34" s="156" t="str">
        <f>IF(A!BB32=0,"",A!BB32)</f>
        <v>BOBBY</v>
      </c>
      <c r="C34" s="156" t="str">
        <f>IF(A!BC32=0,"",A!BC32)</f>
        <v>THE BOYS</v>
      </c>
      <c r="D34" s="157">
        <f>IF(A!BA32=0,"",A!BA32)</f>
        <v>154</v>
      </c>
    </row>
    <row r="35" spans="1:4" ht="20.100000000000001" customHeight="1">
      <c r="A35" s="155">
        <f>IF(A!BA33=0,"",IF(OR(D35=D36,D35=D34),"Tie",ROW(A35)-6))</f>
        <v>29</v>
      </c>
      <c r="B35" s="156" t="str">
        <f>IF(A!BB33=0,"",A!BB33)</f>
        <v>MIKE R.</v>
      </c>
      <c r="C35" s="156" t="str">
        <f>IF(A!BC33=0,"",A!BC33)</f>
        <v>CRAZY TRAIN</v>
      </c>
      <c r="D35" s="157">
        <f>IF(A!BA33=0,"",A!BA33)</f>
        <v>153</v>
      </c>
    </row>
    <row r="36" spans="1:4" ht="20.100000000000001" customHeight="1">
      <c r="A36" s="155">
        <f>IF(A!BA34=0,"",IF(OR(D36=D37,D36=D35),"Tie",ROW(A36)-6))</f>
        <v>30</v>
      </c>
      <c r="B36" s="156" t="str">
        <f>IF(A!BB34=0,"",A!BB34)</f>
        <v>MIKE MO</v>
      </c>
      <c r="C36" s="156" t="str">
        <f>IF(A!BC34=0,"",A!BC34)</f>
        <v>HABOOBS</v>
      </c>
      <c r="D36" s="157">
        <f>IF(A!BA34=0,"",A!BA34)</f>
        <v>152</v>
      </c>
    </row>
    <row r="37" spans="1:4" ht="20.100000000000001" customHeight="1">
      <c r="A37" s="155">
        <f>IF(A!BA35=0,"",IF(OR(D37=D38,D37=D36),"Tie",ROW(A37)-6))</f>
        <v>31</v>
      </c>
      <c r="B37" s="156" t="str">
        <f>IF(A!BB35=0,"",A!BB35)</f>
        <v>MICHAEL</v>
      </c>
      <c r="C37" s="156" t="str">
        <f>IF(A!BC35=0,"",A!BC35)</f>
        <v>THE DOUGERNAUTS</v>
      </c>
      <c r="D37" s="157">
        <f>IF(A!BA35=0,"",A!BA35)</f>
        <v>151</v>
      </c>
    </row>
    <row r="38" spans="1:4" ht="20.100000000000001" customHeight="1">
      <c r="A38" s="155" t="str">
        <f>IF(A!BA36=0,"",IF(OR(D38=D39,D38=D37),"Tie",ROW(A38)-6))</f>
        <v>Tie</v>
      </c>
      <c r="B38" s="156" t="str">
        <f>IF(A!BB36=0,"",A!BB36)</f>
        <v>CARA</v>
      </c>
      <c r="C38" s="156" t="str">
        <f>IF(A!BC36=0,"",A!BC36)</f>
        <v>HOT WHEELS</v>
      </c>
      <c r="D38" s="157">
        <f>IF(A!BA36=0,"",A!BA36)</f>
        <v>150</v>
      </c>
    </row>
    <row r="39" spans="1:4" ht="20.100000000000001" customHeight="1">
      <c r="A39" s="155" t="str">
        <f>IF(A!BA37=0,"",IF(OR(D39=D40,D39=D38),"Tie",ROW(A39)-6))</f>
        <v>Tie</v>
      </c>
      <c r="B39" s="156" t="str">
        <f>IF(A!BB37=0,"",A!BB37)</f>
        <v>VE</v>
      </c>
      <c r="C39" s="156" t="str">
        <f>IF(A!BC37=0,"",A!BC37)</f>
        <v>FFFFF TO THE 1OTH POWER</v>
      </c>
      <c r="D39" s="157">
        <f>IF(A!BA37=0,"",A!BA37)</f>
        <v>150</v>
      </c>
    </row>
    <row r="40" spans="1:4" ht="20.100000000000001" customHeight="1">
      <c r="A40" s="155" t="str">
        <f>IF(A!BA38=0,"",IF(OR(D40=D41,D40=D39),"Tie",ROW(A40)-6))</f>
        <v>Tie</v>
      </c>
      <c r="B40" s="156" t="str">
        <f>IF(A!BB38=0,"",A!BB38)</f>
        <v>JIM</v>
      </c>
      <c r="C40" s="156" t="str">
        <f>IF(A!BC38=0,"",A!BC38)</f>
        <v>YOUNG BLOODS</v>
      </c>
      <c r="D40" s="157">
        <f>IF(A!BA38=0,"",A!BA38)</f>
        <v>150</v>
      </c>
    </row>
    <row r="41" spans="1:4" ht="20.100000000000001" customHeight="1">
      <c r="A41" s="155">
        <f>IF(A!BA39=0,"",IF(OR(D41=D42,D41=D40),"Tie",ROW(A41)-6))</f>
        <v>35</v>
      </c>
      <c r="B41" s="156" t="str">
        <f>IF(A!BB39=0,"",A!BB39)</f>
        <v>RICHARD</v>
      </c>
      <c r="C41" s="156" t="str">
        <f>IF(A!BC39=0,"",A!BC39)</f>
        <v>FFFFF TO THE 1OTH POWER</v>
      </c>
      <c r="D41" s="157">
        <f>IF(A!BA39=0,"",A!BA39)</f>
        <v>149</v>
      </c>
    </row>
    <row r="42" spans="1:4" ht="20.100000000000001" customHeight="1">
      <c r="A42" s="155" t="str">
        <f>IF(A!BA40=0,"",IF(OR(D42=D43,D42=D41),"Tie",ROW(A42)-6))</f>
        <v>Tie</v>
      </c>
      <c r="B42" s="156" t="str">
        <f>IF(A!BB40=0,"",A!BB40)</f>
        <v>NICK</v>
      </c>
      <c r="C42" s="156" t="str">
        <f>IF(A!BC40=0,"",A!BC40)</f>
        <v>RACK PACK</v>
      </c>
      <c r="D42" s="157">
        <f>IF(A!BA40=0,"",A!BA40)</f>
        <v>147</v>
      </c>
    </row>
    <row r="43" spans="1:4" ht="20.100000000000001" customHeight="1">
      <c r="A43" s="155" t="str">
        <f>IF(A!BA41=0,"",IF(OR(D43=D44,D43=D42),"Tie",ROW(A43)-6))</f>
        <v>Tie</v>
      </c>
      <c r="B43" s="156" t="str">
        <f>IF(A!BB41=0,"",A!BB41)</f>
        <v>TIM</v>
      </c>
      <c r="C43" s="156" t="str">
        <f>IF(A!BC41=0,"",A!BC41)</f>
        <v>RACK PACK</v>
      </c>
      <c r="D43" s="157">
        <f>IF(A!BA41=0,"",A!BA41)</f>
        <v>147</v>
      </c>
    </row>
    <row r="44" spans="1:4" ht="20.100000000000001" customHeight="1">
      <c r="A44" s="155" t="str">
        <f>IF(A!BA42=0,"",IF(OR(D44=D45,D44=D43),"Tie",ROW(A44)-6))</f>
        <v>Tie</v>
      </c>
      <c r="B44" s="156" t="str">
        <f>IF(A!BB42=0,"",A!BB42)</f>
        <v>SARAH</v>
      </c>
      <c r="C44" s="156" t="str">
        <f>IF(A!BC42=0,"",A!BC42)</f>
        <v>THE DOUGERNAUTS</v>
      </c>
      <c r="D44" s="157">
        <f>IF(A!BA42=0,"",A!BA42)</f>
        <v>147</v>
      </c>
    </row>
    <row r="45" spans="1:4" ht="20.100000000000001" customHeight="1">
      <c r="A45" s="155">
        <f>IF(A!BA43=0,"",IF(OR(D45=D46,D45=D44),"Tie",ROW(A45)-6))</f>
        <v>39</v>
      </c>
      <c r="B45" s="156" t="str">
        <f>IF(A!BB43=0,"",A!BB43)</f>
        <v>SCOTT</v>
      </c>
      <c r="C45" s="156" t="str">
        <f>IF(A!BC43=0,"",A!BC43)</f>
        <v>RACK PACK</v>
      </c>
      <c r="D45" s="157">
        <f>IF(A!BA43=0,"",A!BA43)</f>
        <v>146</v>
      </c>
    </row>
    <row r="46" spans="1:4" ht="20.100000000000001" customHeight="1">
      <c r="A46" s="155">
        <f>IF(A!BA44=0,"",IF(OR(D46=D47,D46=D45),"Tie",ROW(A46)-6))</f>
        <v>40</v>
      </c>
      <c r="B46" s="156" t="str">
        <f>IF(A!BB44=0,"",A!BB44)</f>
        <v>SABRINA</v>
      </c>
      <c r="C46" s="156" t="str">
        <f>IF(A!BC44=0,"",A!BC44)</f>
        <v>SPAM FO LUNCH</v>
      </c>
      <c r="D46" s="157">
        <f>IF(A!BA44=0,"",A!BA44)</f>
        <v>143</v>
      </c>
    </row>
    <row r="47" spans="1:4" ht="20.100000000000001" customHeight="1">
      <c r="A47" s="155" t="str">
        <f>IF(A!BA45=0,"",IF(OR(D47=D48,D47=D46),"Tie",ROW(A47)-6))</f>
        <v>Tie</v>
      </c>
      <c r="B47" s="156" t="str">
        <f>IF(A!BB45=0,"",A!BB45)</f>
        <v>ROGER</v>
      </c>
      <c r="C47" s="156" t="str">
        <f>IF(A!BC45=0,"",A!BC45)</f>
        <v>THE BOYS</v>
      </c>
      <c r="D47" s="157">
        <f>IF(A!BA45=0,"",A!BA45)</f>
        <v>141</v>
      </c>
    </row>
    <row r="48" spans="1:4" ht="20.100000000000001" customHeight="1">
      <c r="A48" s="155" t="str">
        <f>IF(A!BA46=0,"",IF(OR(D48=D49,D48=D47),"Tie",ROW(A48)-6))</f>
        <v>Tie</v>
      </c>
      <c r="B48" s="156" t="str">
        <f>IF(A!BB46=0,"",A!BB46)</f>
        <v>JIM</v>
      </c>
      <c r="C48" s="156" t="str">
        <f>IF(A!BC46=0,"",A!BC46)</f>
        <v>THE DOUGERNAUTS</v>
      </c>
      <c r="D48" s="157">
        <f>IF(A!BA46=0,"",A!BA46)</f>
        <v>141</v>
      </c>
    </row>
    <row r="49" spans="1:4" ht="20.100000000000001" customHeight="1">
      <c r="A49" s="155" t="str">
        <f>IF(A!BA47=0,"",IF(OR(D49=D50,D49=D48),"Tie",ROW(A49)-6))</f>
        <v>Tie</v>
      </c>
      <c r="B49" s="156" t="str">
        <f>IF(A!BB47=0,"",A!BB47)</f>
        <v>NICK</v>
      </c>
      <c r="C49" s="156" t="str">
        <f>IF(A!BC47=0,"",A!BC47)</f>
        <v>SPAM FO LUNCH</v>
      </c>
      <c r="D49" s="157">
        <f>IF(A!BA47=0,"",A!BA47)</f>
        <v>141</v>
      </c>
    </row>
    <row r="50" spans="1:4" ht="20.100000000000001" customHeight="1">
      <c r="A50" s="155">
        <f>IF(A!BA48=0,"",IF(OR(D50=D51,D50=D49),"Tie",ROW(A50)-6))</f>
        <v>44</v>
      </c>
      <c r="B50" s="156" t="str">
        <f>IF(A!BB48=0,"",A!BB48)</f>
        <v>ELI</v>
      </c>
      <c r="C50" s="156" t="str">
        <f>IF(A!BC48=0,"",A!BC48)</f>
        <v>VLADIMIR POOLIN</v>
      </c>
      <c r="D50" s="157">
        <f>IF(A!BA48=0,"",A!BA48)</f>
        <v>140</v>
      </c>
    </row>
    <row r="51" spans="1:4" ht="20.100000000000001" customHeight="1">
      <c r="A51" s="155">
        <f>IF(A!BA49=0,"",IF(OR(D51=D52,D51=D50),"Tie",ROW(A51)-6))</f>
        <v>45</v>
      </c>
      <c r="B51" s="156" t="str">
        <f>IF(A!BB49=0,"",A!BB49)</f>
        <v>BRANDY</v>
      </c>
      <c r="C51" s="156" t="str">
        <f>IF(A!BC49=0,"",A!BC49)</f>
        <v>HOT WHEELS</v>
      </c>
      <c r="D51" s="157">
        <f>IF(A!BA49=0,"",A!BA49)</f>
        <v>137</v>
      </c>
    </row>
    <row r="52" spans="1:4" ht="20.100000000000001" customHeight="1">
      <c r="A52" s="155">
        <f>IF(A!BA50=0,"",IF(OR(D52=D53,D52=D51),"Tie",ROW(A52)-6))</f>
        <v>46</v>
      </c>
      <c r="B52" s="156" t="str">
        <f>IF(A!BB50=0,"",A!BB50)</f>
        <v>IAN</v>
      </c>
      <c r="C52" s="156" t="str">
        <f>IF(A!BC50=0,"",A!BC50)</f>
        <v>VLADIMIR POOLIN</v>
      </c>
      <c r="D52" s="157">
        <f>IF(A!BA50=0,"",A!BA50)</f>
        <v>136</v>
      </c>
    </row>
    <row r="53" spans="1:4" ht="20.100000000000001" customHeight="1">
      <c r="A53" s="155">
        <f>IF(A!BA51=0,"",IF(OR(D53=D54,D53=D52),"Tie",ROW(A53)-6))</f>
        <v>47</v>
      </c>
      <c r="B53" s="156" t="str">
        <f>IF(A!BB51=0,"",A!BB51)</f>
        <v>SAM</v>
      </c>
      <c r="C53" s="156" t="str">
        <f>IF(A!BC51=0,"",A!BC51)</f>
        <v>PIRATES OF THE TABLE</v>
      </c>
      <c r="D53" s="157">
        <f>IF(A!BA51=0,"",A!BA51)</f>
        <v>133</v>
      </c>
    </row>
    <row r="54" spans="1:4" ht="20.100000000000001" customHeight="1">
      <c r="A54" s="155">
        <f>IF(A!BA52=0,"",IF(OR(D54=D55,D54=D53),"Tie",ROW(A54)-6))</f>
        <v>48</v>
      </c>
      <c r="B54" s="156" t="str">
        <f>IF(A!BB52=0,"",A!BB52)</f>
        <v>DOUG</v>
      </c>
      <c r="C54" s="156" t="str">
        <f>IF(A!BC52=0,"",A!BC52)</f>
        <v>THE DOUGERNAUTS</v>
      </c>
      <c r="D54" s="157">
        <f>IF(A!BA52=0,"",A!BA52)</f>
        <v>132</v>
      </c>
    </row>
    <row r="55" spans="1:4" ht="20.100000000000001" customHeight="1">
      <c r="A55" s="155" t="str">
        <f>IF(A!BA53=0,"",IF(OR(D55=D56,D55=D54),"Tie",ROW(A55)-6))</f>
        <v>Tie</v>
      </c>
      <c r="B55" s="156" t="str">
        <f>IF(A!BB53=0,"",A!BB53)</f>
        <v>COLE</v>
      </c>
      <c r="C55" s="156" t="str">
        <f>IF(A!BC53=0,"",A!BC53)</f>
        <v>VLADIMIR POOLIN</v>
      </c>
      <c r="D55" s="157">
        <f>IF(A!BA53=0,"",A!BA53)</f>
        <v>128</v>
      </c>
    </row>
    <row r="56" spans="1:4" ht="20.100000000000001" customHeight="1">
      <c r="A56" s="155" t="str">
        <f>IF(A!BA54=0,"",IF(OR(D56=D57,D56=D55),"Tie",ROW(A56)-6))</f>
        <v>Tie</v>
      </c>
      <c r="B56" s="156" t="str">
        <f>IF(A!BB54=0,"",A!BB54)</f>
        <v>RICH</v>
      </c>
      <c r="C56" s="156" t="str">
        <f>IF(A!BC54=0,"",A!BC54)</f>
        <v>YOUNG BLOODS</v>
      </c>
      <c r="D56" s="157">
        <f>IF(A!BA54=0,"",A!BA54)</f>
        <v>128</v>
      </c>
    </row>
    <row r="57" spans="1:4" ht="20.100000000000001" customHeight="1">
      <c r="A57" s="155">
        <f>IF(A!BA55=0,"",IF(OR(D57=D58,D57=D56),"Tie",ROW(A57)-6))</f>
        <v>51</v>
      </c>
      <c r="B57" s="156" t="str">
        <f>IF(A!BB55=0,"",A!BB55)</f>
        <v>VICKIE</v>
      </c>
      <c r="C57" s="156" t="str">
        <f>IF(A!BC55=0,"",A!BC55)</f>
        <v>HABOOBS</v>
      </c>
      <c r="D57" s="157">
        <f>IF(A!BA55=0,"",A!BA55)</f>
        <v>127</v>
      </c>
    </row>
    <row r="58" spans="1:4" ht="20.100000000000001" customHeight="1">
      <c r="A58" s="155">
        <f>IF(A!BA56=0,"",IF(OR(D58=D59,D58=D57),"Tie",ROW(A58)-6))</f>
        <v>52</v>
      </c>
      <c r="B58" s="156" t="str">
        <f>IF(A!BB56=0,"",A!BB56)</f>
        <v>WC</v>
      </c>
      <c r="C58" s="156" t="str">
        <f>IF(A!BC56=0,"",A!BC56)</f>
        <v>PIRATES OF THE TABLE</v>
      </c>
      <c r="D58" s="157">
        <f>IF(A!BA56=0,"",A!BA56)</f>
        <v>126</v>
      </c>
    </row>
    <row r="59" spans="1:4" ht="20.100000000000001" customHeight="1">
      <c r="A59" s="155">
        <f>IF(A!BA57=0,"",IF(OR(D59=D60,D59=D58),"Tie",ROW(A59)-6))</f>
        <v>53</v>
      </c>
      <c r="B59" s="156" t="str">
        <f>IF(A!BB57=0,"",A!BB57)</f>
        <v>TRAYE</v>
      </c>
      <c r="C59" s="156" t="str">
        <f>IF(A!BC57=0,"",A!BC57)</f>
        <v>PIRATES OF THE TABLE</v>
      </c>
      <c r="D59" s="157">
        <f>IF(A!BA57=0,"",A!BA57)</f>
        <v>119</v>
      </c>
    </row>
    <row r="60" spans="1:4" ht="20.100000000000001" customHeight="1">
      <c r="A60" s="155" t="str">
        <f>IF(A!BA58=0,"",IF(OR(D60=D61,D60=D59),"Tie",ROW(A60)-6))</f>
        <v>Tie</v>
      </c>
      <c r="B60" s="156" t="str">
        <f>IF(A!BB58=0,"",A!BB58)</f>
        <v>JAMES</v>
      </c>
      <c r="C60" s="156" t="str">
        <f>IF(A!BC58=0,"",A!BC58)</f>
        <v>VLADIMIR POOLIN</v>
      </c>
      <c r="D60" s="157">
        <f>IF(A!BA58=0,"",A!BA58)</f>
        <v>111</v>
      </c>
    </row>
    <row r="61" spans="1:4" ht="20.100000000000001" customHeight="1">
      <c r="A61" s="155" t="str">
        <f>IF(A!BA59=0,"",IF(OR(D61=D62,D61=D60),"Tie",ROW(A61)-6))</f>
        <v>Tie</v>
      </c>
      <c r="B61" s="156" t="str">
        <f>IF(A!BB59=0,"",A!BB59)</f>
        <v>SANDY</v>
      </c>
      <c r="C61" s="156" t="str">
        <f>IF(A!BC59=0,"",A!BC59)</f>
        <v>FFFFF TO THE 1OTH POWER</v>
      </c>
      <c r="D61" s="157">
        <f>IF(A!BA59=0,"",A!BA59)</f>
        <v>111</v>
      </c>
    </row>
    <row r="62" spans="1:4" ht="20.100000000000001" customHeight="1">
      <c r="A62" s="155">
        <f>IF(A!BA60=0,"",IF(OR(D62=D63,D62=D61),"Tie",ROW(A62)-6))</f>
        <v>56</v>
      </c>
      <c r="B62" s="156" t="str">
        <f>IF(A!BB60=0,"",A!BB60)</f>
        <v/>
      </c>
      <c r="C62" s="156" t="str">
        <f>IF(A!BC60=0,"",A!BC60)</f>
        <v>PIRATES OF THE TABLE</v>
      </c>
      <c r="D62" s="157">
        <f>IF(A!BA60=0,"",A!BA60)</f>
        <v>18</v>
      </c>
    </row>
    <row r="63" spans="1:4" ht="20.100000000000001" customHeight="1">
      <c r="A63" s="155" t="str">
        <f>IF(A!BA61=0,"",IF(OR(D63=D64,D63=D62),"Tie",ROW(A63)-6))</f>
        <v>Tie</v>
      </c>
      <c r="B63" s="156">
        <f>IF(A!BB61=0,"",A!BB61)</f>
        <v>1</v>
      </c>
      <c r="C63" s="156" t="str">
        <f>IF(A!BC61=0,"",A!BC61)</f>
        <v>BYE</v>
      </c>
      <c r="D63" s="157">
        <f>IF(A!BA61=0,"",A!BA61)</f>
        <v>3</v>
      </c>
    </row>
    <row r="64" spans="1:4" ht="20.100000000000001" customHeight="1">
      <c r="A64" s="155" t="str">
        <f>IF(A!BA62=0,"",IF(OR(D64=D65,D64=D63),"Tie",ROW(A64)-6))</f>
        <v>Tie</v>
      </c>
      <c r="B64" s="156">
        <f>IF(A!BB62=0,"",A!BB62)</f>
        <v>2</v>
      </c>
      <c r="C64" s="156" t="str">
        <f>IF(A!BC62=0,"",A!BC62)</f>
        <v>BYE</v>
      </c>
      <c r="D64" s="157">
        <f>IF(A!BA62=0,"",A!BA62)</f>
        <v>3</v>
      </c>
    </row>
    <row r="65" spans="1:4" ht="20.100000000000001" customHeight="1">
      <c r="A65" s="155" t="str">
        <f>IF(A!BA63=0,"",IF(OR(D65=D66,D65=D64),"Tie",ROW(A65)-6))</f>
        <v>Tie</v>
      </c>
      <c r="B65" s="156">
        <f>IF(A!BB63=0,"",A!BB63)</f>
        <v>3</v>
      </c>
      <c r="C65" s="156" t="str">
        <f>IF(A!BC63=0,"",A!BC63)</f>
        <v>BYE</v>
      </c>
      <c r="D65" s="157">
        <f>IF(A!BA63=0,"",A!BA63)</f>
        <v>3</v>
      </c>
    </row>
    <row r="66" spans="1:4" ht="20.100000000000001" customHeight="1">
      <c r="A66" s="155" t="str">
        <f>IF(A!BA64=0,"",IF(OR(D66=D67,D66=D65),"Tie",ROW(A66)-6))</f>
        <v>Tie</v>
      </c>
      <c r="B66" s="156">
        <f>IF(A!BB64=0,"",A!BB64)</f>
        <v>4</v>
      </c>
      <c r="C66" s="156" t="str">
        <f>IF(A!BC64=0,"",A!BC64)</f>
        <v>BYE</v>
      </c>
      <c r="D66" s="157">
        <f>IF(A!BA64=0,"",A!BA64)</f>
        <v>3</v>
      </c>
    </row>
    <row r="67" spans="1:4" ht="20.100000000000001" customHeight="1">
      <c r="A67" s="155" t="str">
        <f>IF(A!BA65=0,"",IF(OR(D67=D68,D67=D66),"Tie",ROW(A67)-6))</f>
        <v>Tie</v>
      </c>
      <c r="B67" s="156">
        <f>IF(A!BB65=0,"",A!BB65)</f>
        <v>5</v>
      </c>
      <c r="C67" s="156" t="str">
        <f>IF(A!BC65=0,"",A!BC65)</f>
        <v>BYE</v>
      </c>
      <c r="D67" s="157">
        <f>IF(A!BA65=0,"",A!BA65)</f>
        <v>3</v>
      </c>
    </row>
    <row r="68" spans="1:4" ht="20.100000000000001" customHeight="1">
      <c r="A68" s="155" t="str">
        <f>IF(A!BA66=0,"",IF(OR(D68=D69,D68=D67),"Tie",ROW(A68)-6))</f>
        <v/>
      </c>
      <c r="B68" s="156" t="str">
        <f>IF(A!BB66=0,"",A!BB66)</f>
        <v/>
      </c>
      <c r="C68" s="156" t="str">
        <f>IF(A!BC66=0,"",A!BC66)</f>
        <v/>
      </c>
      <c r="D68" s="157" t="str">
        <f>IF(A!BA66=0,"",A!BA66)</f>
        <v/>
      </c>
    </row>
    <row r="69" spans="1:4" ht="20.100000000000001" customHeight="1">
      <c r="A69" s="155" t="str">
        <f>IF(A!BA67=0,"",IF(OR(D69=D70,D69=D68),"Tie",ROW(A69)-6))</f>
        <v/>
      </c>
      <c r="B69" s="156" t="str">
        <f>IF(A!BB67=0,"",A!BB67)</f>
        <v/>
      </c>
      <c r="C69" s="156" t="str">
        <f>IF(A!BC67=0,"",A!BC67)</f>
        <v/>
      </c>
      <c r="D69" s="157" t="str">
        <f>IF(A!BA67=0,"",A!BA67)</f>
        <v/>
      </c>
    </row>
    <row r="70" spans="1:4" ht="20.100000000000001" customHeight="1">
      <c r="A70" s="155" t="str">
        <f>IF(A!BA68=0,"",IF(OR(D70=D71,D70=D69),"Tie",ROW(A70)-6))</f>
        <v/>
      </c>
      <c r="B70" s="156" t="str">
        <f>IF(A!BB68=0,"",A!BB68)</f>
        <v/>
      </c>
      <c r="C70" s="156" t="str">
        <f>IF(A!BC68=0,"",A!BC68)</f>
        <v/>
      </c>
      <c r="D70" s="157" t="str">
        <f>IF(A!BA68=0,"",A!BA68)</f>
        <v/>
      </c>
    </row>
    <row r="71" spans="1:4" ht="20.100000000000001" customHeight="1">
      <c r="A71" s="155" t="str">
        <f>IF(A!BA69=0,"",IF(OR(D71=D72,D71=D70),"Tie",ROW(A71)-6))</f>
        <v/>
      </c>
      <c r="B71" s="156" t="str">
        <f>IF(A!BB69=0,"",A!BB69)</f>
        <v/>
      </c>
      <c r="C71" s="156" t="str">
        <f>IF(A!BC69=0,"",A!BC69)</f>
        <v/>
      </c>
      <c r="D71" s="157" t="str">
        <f>IF(A!BA69=0,"",A!BA69)</f>
        <v/>
      </c>
    </row>
    <row r="72" spans="1:4" ht="20.100000000000001" customHeight="1">
      <c r="A72" s="155" t="str">
        <f>IF(A!BA70=0,"",IF(OR(D72=D73,D72=D71),"Tie",ROW(A72)-6))</f>
        <v/>
      </c>
      <c r="B72" s="156" t="str">
        <f>IF(A!BB70=0,"",A!BB70)</f>
        <v/>
      </c>
      <c r="C72" s="156" t="str">
        <f>IF(A!BC70=0,"",A!BC70)</f>
        <v/>
      </c>
      <c r="D72" s="157" t="str">
        <f>IF(A!BA70=0,"",A!BA70)</f>
        <v/>
      </c>
    </row>
    <row r="73" spans="1:4" ht="20.100000000000001" customHeight="1">
      <c r="A73" s="155" t="str">
        <f>IF(A!BA71=0,"",IF(OR(D73=D74,D73=D72),"Tie",ROW(A73)-6))</f>
        <v/>
      </c>
      <c r="B73" s="156" t="str">
        <f>IF(A!BB71=0,"",A!BB71)</f>
        <v/>
      </c>
      <c r="C73" s="156" t="str">
        <f>IF(A!BC71=0,"",A!BC71)</f>
        <v/>
      </c>
      <c r="D73" s="157" t="str">
        <f>IF(A!BA71=0,"",A!BA71)</f>
        <v/>
      </c>
    </row>
    <row r="74" spans="1:4" ht="20.100000000000001" customHeight="1">
      <c r="A74" s="155" t="str">
        <f>IF(A!BA72=0,"",IF(OR(D74=D75,D74=D73),"Tie",ROW(A74)-6))</f>
        <v/>
      </c>
      <c r="B74" s="156" t="str">
        <f>IF(A!BB72=0,"",A!BB72)</f>
        <v/>
      </c>
      <c r="C74" s="156" t="str">
        <f>IF(A!BC72=0,"",A!BC72)</f>
        <v/>
      </c>
      <c r="D74" s="157" t="str">
        <f>IF(A!BA72=0,"",A!BA72)</f>
        <v/>
      </c>
    </row>
    <row r="75" spans="1:4" ht="20.100000000000001" customHeight="1">
      <c r="A75" s="155" t="str">
        <f>IF(A!BA73=0,"",IF(OR(D75=D76,D75=D74),"Tie",ROW(A75)-6))</f>
        <v/>
      </c>
      <c r="B75" s="156" t="str">
        <f>IF(A!BB73=0,"",A!BB73)</f>
        <v/>
      </c>
      <c r="C75" s="156" t="str">
        <f>IF(A!BC73=0,"",A!BC73)</f>
        <v/>
      </c>
      <c r="D75" s="157" t="str">
        <f>IF(A!BA73=0,"",A!BA73)</f>
        <v/>
      </c>
    </row>
    <row r="76" spans="1:4" ht="20.100000000000001" customHeight="1">
      <c r="A76" s="155" t="str">
        <f>IF(A!BA74=0,"",IF(OR(D76=D77,D76=D75),"Tie",ROW(A76)-6))</f>
        <v/>
      </c>
      <c r="B76" s="156" t="str">
        <f>IF(A!BB74=0,"",A!BB74)</f>
        <v/>
      </c>
      <c r="C76" s="156" t="str">
        <f>IF(A!BC74=0,"",A!BC74)</f>
        <v/>
      </c>
      <c r="D76" s="157" t="str">
        <f>IF(A!BA74=0,"",A!BA74)</f>
        <v/>
      </c>
    </row>
    <row r="77" spans="1:4" ht="20.100000000000001" customHeight="1">
      <c r="A77" s="155" t="str">
        <f>IF(A!BA75=0,"",IF(OR(D77=D78,D77=D76),"Tie",ROW(A77)-6))</f>
        <v/>
      </c>
      <c r="B77" s="156" t="str">
        <f>IF(A!BB75=0,"",A!BB75)</f>
        <v/>
      </c>
      <c r="C77" s="156" t="str">
        <f>IF(A!BC75=0,"",A!BC75)</f>
        <v/>
      </c>
      <c r="D77" s="157" t="str">
        <f>IF(A!BA75=0,"",A!BA75)</f>
        <v/>
      </c>
    </row>
    <row r="78" spans="1:4" ht="20.100000000000001" customHeight="1">
      <c r="A78" s="155" t="str">
        <f>IF(A!BA76=0,"",IF(OR(D78=D79,D78=D77),"Tie",ROW(A78)-6))</f>
        <v/>
      </c>
      <c r="B78" s="156" t="str">
        <f>IF(A!BB76=0,"",A!BB76)</f>
        <v/>
      </c>
      <c r="C78" s="156" t="str">
        <f>IF(A!BC76=0,"",A!BC76)</f>
        <v/>
      </c>
      <c r="D78" s="157" t="str">
        <f>IF(A!BA76=0,"",A!BA76)</f>
        <v/>
      </c>
    </row>
    <row r="79" spans="1:4" ht="20.100000000000001" customHeight="1">
      <c r="A79" s="155" t="str">
        <f>IF(A!BA77=0,"",IF(OR(D79=D80,D79=D78),"Tie",ROW(A79)-6))</f>
        <v/>
      </c>
      <c r="B79" s="156" t="str">
        <f>IF(A!BB77=0,"",A!BB77)</f>
        <v/>
      </c>
      <c r="C79" s="156" t="str">
        <f>IF(A!BC77=0,"",A!BC77)</f>
        <v/>
      </c>
      <c r="D79" s="157" t="str">
        <f>IF(A!BA77=0,"",A!BA77)</f>
        <v/>
      </c>
    </row>
    <row r="80" spans="1:4" ht="20.100000000000001" customHeight="1">
      <c r="A80" s="155" t="str">
        <f>IF(A!BA78=0,"",IF(OR(D80=D81,D80=D79),"Tie",ROW(A80)-6))</f>
        <v/>
      </c>
      <c r="B80" s="156" t="str">
        <f>IF(A!BB78=0,"",A!BB78)</f>
        <v/>
      </c>
      <c r="C80" s="156" t="str">
        <f>IF(A!BC78=0,"",A!BC78)</f>
        <v/>
      </c>
      <c r="D80" s="157" t="str">
        <f>IF(A!BA78=0,"",A!BA78)</f>
        <v/>
      </c>
    </row>
    <row r="81" spans="1:4" ht="20.100000000000001" customHeight="1">
      <c r="A81" s="155" t="str">
        <f>IF(A!BA79=0,"",IF(OR(D81=D82,D81=D80),"Tie",ROW(A81)-6))</f>
        <v/>
      </c>
      <c r="B81" s="156" t="str">
        <f>IF(A!BB79=0,"",A!BB79)</f>
        <v/>
      </c>
      <c r="C81" s="156" t="str">
        <f>IF(A!BC79=0,"",A!BC79)</f>
        <v/>
      </c>
      <c r="D81" s="157" t="str">
        <f>IF(A!BA79=0,"",A!BA79)</f>
        <v/>
      </c>
    </row>
    <row r="82" spans="1:4" ht="20.100000000000001" customHeight="1">
      <c r="A82" s="155" t="str">
        <f>IF(A!BA80=0,"",IF(OR(D82=D83,D82=D81),"Tie",ROW(A82)-6))</f>
        <v/>
      </c>
      <c r="B82" s="156" t="str">
        <f>IF(A!BB80=0,"",A!BB80)</f>
        <v/>
      </c>
      <c r="C82" s="156" t="str">
        <f>IF(A!BC80=0,"",A!BC80)</f>
        <v/>
      </c>
      <c r="D82" s="157" t="str">
        <f>IF(A!BA80=0,"",A!BA80)</f>
        <v/>
      </c>
    </row>
    <row r="83" spans="1:4" ht="20.100000000000001" customHeight="1">
      <c r="A83" s="155" t="str">
        <f>IF(A!BA81=0,"",IF(OR(D83=D84,D83=D82),"Tie",ROW(A83)-6))</f>
        <v/>
      </c>
      <c r="B83" s="156" t="str">
        <f>IF(A!BB81=0,"",A!BB81)</f>
        <v/>
      </c>
      <c r="C83" s="156" t="str">
        <f>IF(A!BC81=0,"",A!BC81)</f>
        <v/>
      </c>
      <c r="D83" s="157" t="str">
        <f>IF(A!BA81=0,"",A!BA81)</f>
        <v/>
      </c>
    </row>
    <row r="84" spans="1:4" ht="20.100000000000001" customHeight="1">
      <c r="A84" s="155" t="str">
        <f>IF(A!BA82=0,"",IF(OR(D84=D85,D84=D83),"Tie",ROW(A84)-6))</f>
        <v/>
      </c>
      <c r="B84" s="156" t="str">
        <f>IF(A!BB82=0,"",A!BB82)</f>
        <v/>
      </c>
      <c r="C84" s="156" t="str">
        <f>IF(A!BC82=0,"",A!BC82)</f>
        <v/>
      </c>
      <c r="D84" s="157" t="str">
        <f>IF(A!BA82=0,"",A!BA82)</f>
        <v/>
      </c>
    </row>
    <row r="85" spans="1:4" ht="20.100000000000001" customHeight="1">
      <c r="A85" s="155" t="str">
        <f>IF(A!BA83=0,"",IF(OR(D85=D86,D85=D84),"Tie",ROW(A85)-6))</f>
        <v/>
      </c>
      <c r="B85" s="156" t="str">
        <f>IF(A!BB83=0,"",A!BB83)</f>
        <v/>
      </c>
      <c r="C85" s="156" t="str">
        <f>IF(A!BC83=0,"",A!BC83)</f>
        <v/>
      </c>
      <c r="D85" s="157" t="str">
        <f>IF(A!BA83=0,"",A!BA83)</f>
        <v/>
      </c>
    </row>
    <row r="86" spans="1:4" ht="20.100000000000001" customHeight="1">
      <c r="A86" s="155" t="str">
        <f>IF(A!BA84=0,"",IF(OR(D86=D87,D86=D85),"Tie",ROW(A86)-6))</f>
        <v/>
      </c>
      <c r="B86" s="156" t="str">
        <f>IF(A!BB84=0,"",A!BB84)</f>
        <v/>
      </c>
      <c r="C86" s="156" t="str">
        <f>IF(A!BC84=0,"",A!BC84)</f>
        <v/>
      </c>
      <c r="D86" s="157" t="str">
        <f>IF(A!BA84=0,"",A!BA84)</f>
        <v/>
      </c>
    </row>
    <row r="87" spans="1:4" ht="20.100000000000001" customHeight="1">
      <c r="A87" s="155" t="str">
        <f>IF(A!BA85=0,"",IF(OR(D87=D88,D87=D86),"Tie",ROW(A87)-6))</f>
        <v/>
      </c>
      <c r="B87" s="156" t="str">
        <f>IF(A!BB85=0,"",A!BB85)</f>
        <v/>
      </c>
      <c r="C87" s="156" t="str">
        <f>IF(A!BC85=0,"",A!BC85)</f>
        <v/>
      </c>
      <c r="D87" s="157" t="str">
        <f>IF(A!BA85=0,"",A!BA85)</f>
        <v/>
      </c>
    </row>
    <row r="88" spans="1:4" ht="20.100000000000001" customHeight="1">
      <c r="A88" s="155" t="str">
        <f>IF(A!BA86=0,"",IF(OR(D88=D89,D88=D87),"Tie",ROW(A88)-6))</f>
        <v/>
      </c>
      <c r="B88" s="156" t="str">
        <f>IF(A!BB86=0,"",A!BB86)</f>
        <v/>
      </c>
      <c r="C88" s="156" t="str">
        <f>IF(A!BC86=0,"",A!BC86)</f>
        <v/>
      </c>
      <c r="D88" s="157" t="str">
        <f>IF(A!BA86=0,"",A!BA86)</f>
        <v/>
      </c>
    </row>
    <row r="89" spans="1:4" ht="20.100000000000001" customHeight="1">
      <c r="A89" s="155" t="str">
        <f>IF(A!BA87=0,"",IF(OR(D89=D90,D89=D88),"Tie",ROW(A89)-6))</f>
        <v/>
      </c>
      <c r="B89" s="156" t="str">
        <f>IF(A!BB87=0,"",A!BB87)</f>
        <v/>
      </c>
      <c r="C89" s="156" t="str">
        <f>IF(A!BC87=0,"",A!BC87)</f>
        <v/>
      </c>
      <c r="D89" s="157" t="str">
        <f>IF(A!BA87=0,"",A!BA87)</f>
        <v/>
      </c>
    </row>
    <row r="90" spans="1:4" ht="20.100000000000001" customHeight="1">
      <c r="A90" s="155" t="str">
        <f>IF(A!BA88=0,"",IF(OR(D90=D91,D90=D89),"Tie",ROW(A90)-6))</f>
        <v/>
      </c>
      <c r="B90" s="156" t="str">
        <f>IF(A!BB88=0,"",A!BB88)</f>
        <v/>
      </c>
      <c r="C90" s="156" t="str">
        <f>IF(A!BC88=0,"",A!BC88)</f>
        <v/>
      </c>
      <c r="D90" s="157" t="str">
        <f>IF(A!BA88=0,"",A!BA88)</f>
        <v/>
      </c>
    </row>
    <row r="91" spans="1:4" ht="20.100000000000001" customHeight="1">
      <c r="A91" s="155" t="str">
        <f>IF(A!BA89=0,"",IF(OR(D91=D92,D91=D90),"Tie",ROW(A91)-6))</f>
        <v/>
      </c>
      <c r="B91" s="156" t="str">
        <f>IF(A!BB89=0,"",A!BB89)</f>
        <v/>
      </c>
      <c r="C91" s="156" t="str">
        <f>IF(A!BC89=0,"",A!BC89)</f>
        <v/>
      </c>
      <c r="D91" s="157" t="str">
        <f>IF(A!BA89=0,"",A!BA89)</f>
        <v/>
      </c>
    </row>
    <row r="92" spans="1:4" ht="20.100000000000001" customHeight="1">
      <c r="A92" s="155" t="str">
        <f>IF(A!BA90=0,"",IF(OR(D92=D93,D92=D91),"Tie",ROW(A92)-6))</f>
        <v/>
      </c>
      <c r="B92" s="156" t="str">
        <f>IF(A!BB90=0,"",A!BB90)</f>
        <v/>
      </c>
      <c r="C92" s="156" t="str">
        <f>IF(A!BC90=0,"",A!BC90)</f>
        <v/>
      </c>
      <c r="D92" s="157" t="str">
        <f>IF(A!BA90=0,"",A!BA90)</f>
        <v/>
      </c>
    </row>
    <row r="93" spans="1:4" ht="20.100000000000001" customHeight="1">
      <c r="A93" s="155" t="str">
        <f>IF(A!BA91=0,"",IF(OR(D93=D94,D93=D92),"Tie",ROW(A93)-6))</f>
        <v/>
      </c>
      <c r="B93" s="156" t="str">
        <f>IF(A!BB91=0,"",A!BB91)</f>
        <v/>
      </c>
      <c r="C93" s="156" t="str">
        <f>IF(A!BC91=0,"",A!BC91)</f>
        <v/>
      </c>
      <c r="D93" s="157" t="str">
        <f>IF(A!BA91=0,"",A!BA91)</f>
        <v/>
      </c>
    </row>
    <row r="94" spans="1:4" ht="20.100000000000001" customHeight="1">
      <c r="A94" s="155" t="str">
        <f>IF(A!BA92=0,"",IF(OR(D94=D95,D94=D93),"Tie",ROW(A94)-6))</f>
        <v/>
      </c>
      <c r="B94" s="156" t="str">
        <f>IF(A!BB92=0,"",A!BB92)</f>
        <v/>
      </c>
      <c r="C94" s="156" t="str">
        <f>IF(A!BC92=0,"",A!BC92)</f>
        <v/>
      </c>
      <c r="D94" s="157" t="str">
        <f>IF(A!BA92=0,"",A!BA92)</f>
        <v/>
      </c>
    </row>
    <row r="95" spans="1:4" ht="20.100000000000001" customHeight="1">
      <c r="A95" s="155" t="str">
        <f>IF(A!BA93=0,"",IF(OR(D95=D96,D95=D94),"Tie",ROW(A95)-6))</f>
        <v/>
      </c>
      <c r="B95" s="156" t="str">
        <f>IF(A!BB93=0,"",A!BB93)</f>
        <v/>
      </c>
      <c r="C95" s="156" t="str">
        <f>IF(A!BC93=0,"",A!BC93)</f>
        <v/>
      </c>
      <c r="D95" s="157" t="str">
        <f>IF(A!BA93=0,"",A!BA93)</f>
        <v/>
      </c>
    </row>
    <row r="96" spans="1:4" ht="20.100000000000001" customHeight="1">
      <c r="A96" s="155" t="str">
        <f>IF(A!BA94=0,"",IF(OR(D96=D97,D96=D95),"Tie",ROW(A96)-6))</f>
        <v/>
      </c>
      <c r="B96" s="156" t="str">
        <f>IF(A!BB94=0,"",A!BB94)</f>
        <v/>
      </c>
      <c r="C96" s="156" t="str">
        <f>IF(A!BC94=0,"",A!BC94)</f>
        <v/>
      </c>
      <c r="D96" s="157" t="str">
        <f>IF(A!BA94=0,"",A!BA94)</f>
        <v/>
      </c>
    </row>
    <row r="97" spans="1:4" ht="20.100000000000001" customHeight="1">
      <c r="A97" s="155" t="str">
        <f>IF(A!BA95=0,"",IF(OR(D97=D98,D97=D96),"Tie",ROW(A97)-6))</f>
        <v/>
      </c>
      <c r="B97" s="156" t="str">
        <f>IF(A!BB95=0,"",A!BB95)</f>
        <v/>
      </c>
      <c r="C97" s="156" t="str">
        <f>IF(A!BC95=0,"",A!BC95)</f>
        <v/>
      </c>
      <c r="D97" s="157" t="str">
        <f>IF(A!BA95=0,"",A!BA95)</f>
        <v/>
      </c>
    </row>
    <row r="98" spans="1:4" ht="20.100000000000001" customHeight="1">
      <c r="A98" s="155" t="str">
        <f>IF(A!BA96=0,"",IF(OR(D98=D99,D98=D97),"Tie",ROW(A98)-6))</f>
        <v/>
      </c>
      <c r="B98" s="156" t="str">
        <f>IF(A!BB96=0,"",A!BB96)</f>
        <v/>
      </c>
      <c r="C98" s="156" t="str">
        <f>IF(A!BC96=0,"",A!BC96)</f>
        <v/>
      </c>
      <c r="D98" s="157" t="str">
        <f>IF(A!BA96=0,"",A!BA96)</f>
        <v/>
      </c>
    </row>
    <row r="99" spans="1:4" ht="20.100000000000001" customHeight="1">
      <c r="A99" s="155" t="str">
        <f>IF(A!BA97=0,"",IF(OR(D99=D100,D99=D98),"Tie",ROW(A99)-6))</f>
        <v/>
      </c>
      <c r="B99" s="156" t="str">
        <f>IF(A!BB97=0,"",A!BB97)</f>
        <v/>
      </c>
      <c r="C99" s="156" t="str">
        <f>IF(A!BC97=0,"",A!BC97)</f>
        <v/>
      </c>
      <c r="D99" s="157" t="str">
        <f>IF(A!BA97=0,"",A!BA97)</f>
        <v/>
      </c>
    </row>
    <row r="100" spans="1:4" ht="20.100000000000001" customHeight="1">
      <c r="A100" s="155" t="str">
        <f>IF(A!BA98=0,"",IF(OR(D100=D101,D100=D99),"Tie",ROW(A100)-6))</f>
        <v/>
      </c>
      <c r="B100" s="156" t="str">
        <f>IF(A!BB98=0,"",A!BB98)</f>
        <v/>
      </c>
      <c r="C100" s="156" t="str">
        <f>IF(A!BC98=0,"",A!BC98)</f>
        <v/>
      </c>
      <c r="D100" s="157" t="str">
        <f>IF(A!BA98=0,"",A!BA98)</f>
        <v/>
      </c>
    </row>
    <row r="101" spans="1:4" ht="20.100000000000001" customHeight="1">
      <c r="A101" s="155" t="str">
        <f>IF(A!BA99=0,"",IF(OR(D101=D102,D101=D100),"Tie",ROW(A101)-6))</f>
        <v/>
      </c>
      <c r="B101" s="156" t="str">
        <f>IF(A!BB99=0,"",A!BB99)</f>
        <v/>
      </c>
      <c r="C101" s="156" t="str">
        <f>IF(A!BC99=0,"",A!BC99)</f>
        <v/>
      </c>
      <c r="D101" s="157" t="str">
        <f>IF(A!BA99=0,"",A!BA99)</f>
        <v/>
      </c>
    </row>
    <row r="102" spans="1:4" ht="20.100000000000001" customHeight="1">
      <c r="A102" s="155" t="str">
        <f>IF(A!BA100=0,"",IF(OR(D102=D103,D102=D101),"Tie",ROW(A102)-6))</f>
        <v/>
      </c>
      <c r="B102" s="156" t="str">
        <f>IF(A!BB100=0,"",A!BB100)</f>
        <v/>
      </c>
      <c r="C102" s="156" t="str">
        <f>IF(A!BC100=0,"",A!BC100)</f>
        <v/>
      </c>
      <c r="D102" s="157" t="str">
        <f>IF(A!BA100=0,"",A!BA100)</f>
        <v/>
      </c>
    </row>
    <row r="103" spans="1:4" ht="20.100000000000001" customHeight="1">
      <c r="A103" s="155" t="str">
        <f>IF(A!BA101=0,"",IF(OR(D103=D104,D103=D102),"Tie",ROW(A103)-6))</f>
        <v/>
      </c>
      <c r="B103" s="156" t="str">
        <f>IF(A!BB101=0,"",A!BB101)</f>
        <v/>
      </c>
      <c r="C103" s="156" t="str">
        <f>IF(A!BC101=0,"",A!BC101)</f>
        <v/>
      </c>
      <c r="D103" s="157" t="str">
        <f>IF(A!BA101=0,"",A!BA101)</f>
        <v/>
      </c>
    </row>
    <row r="104" spans="1:4" ht="20.100000000000001" customHeight="1">
      <c r="A104" s="155" t="str">
        <f>IF(A!BA102=0,"",IF(OR(D104=D105,D104=D103),"Tie",ROW(A104)-6))</f>
        <v/>
      </c>
      <c r="B104" s="156" t="str">
        <f>IF(A!BB102=0,"",A!BB102)</f>
        <v/>
      </c>
      <c r="C104" s="156" t="str">
        <f>IF(A!BC102=0,"",A!BC102)</f>
        <v/>
      </c>
      <c r="D104" s="157" t="str">
        <f>IF(A!BA102=0,"",A!BA102)</f>
        <v/>
      </c>
    </row>
    <row r="105" spans="1:4" ht="20.100000000000001" customHeight="1">
      <c r="A105" s="155" t="str">
        <f>IF(A!BA103=0,"",IF(OR(D105=D106,D105=D104),"Tie",ROW(A105)-6))</f>
        <v/>
      </c>
      <c r="B105" s="156" t="str">
        <f>IF(A!BB103=0,"",A!BB103)</f>
        <v/>
      </c>
      <c r="C105" s="156" t="str">
        <f>IF(A!BC103=0,"",A!BC103)</f>
        <v/>
      </c>
      <c r="D105" s="157" t="str">
        <f>IF(A!BA103=0,"",A!BA103)</f>
        <v/>
      </c>
    </row>
    <row r="106" spans="1:4" ht="20.100000000000001" customHeight="1">
      <c r="A106" s="155" t="str">
        <f>IF(A!BA104=0,"",IF(OR(D106=D107,D106=D105),"Tie",ROW(A106)-6))</f>
        <v/>
      </c>
      <c r="B106" s="156" t="str">
        <f>IF(A!BB104=0,"",A!BB104)</f>
        <v/>
      </c>
      <c r="C106" s="156" t="str">
        <f>IF(A!BC104=0,"",A!BC104)</f>
        <v/>
      </c>
      <c r="D106" s="157" t="str">
        <f>IF(A!BA104=0,"",A!BA104)</f>
        <v/>
      </c>
    </row>
    <row r="107" spans="1:4" ht="20.100000000000001" customHeight="1">
      <c r="A107" s="155" t="str">
        <f>IF(A!BA105=0,"",IF(OR(D107=D108,D107=D106),"Tie",ROW(A107)-6))</f>
        <v/>
      </c>
      <c r="B107" s="156" t="str">
        <f>IF(A!BB105=0,"",A!BB105)</f>
        <v/>
      </c>
      <c r="C107" s="156" t="str">
        <f>IF(A!BC105=0,"",A!BC105)</f>
        <v/>
      </c>
      <c r="D107" s="157" t="str">
        <f>IF(A!BA105=0,"",A!BA105)</f>
        <v/>
      </c>
    </row>
    <row r="108" spans="1:4" ht="20.100000000000001" customHeight="1">
      <c r="A108" s="155" t="str">
        <f>IF(A!BA106=0,"",IF(OR(D108=D109,D108=D107),"Tie",ROW(A108)-6))</f>
        <v/>
      </c>
      <c r="B108" s="156" t="str">
        <f>IF(A!BB106=0,"",A!BB106)</f>
        <v/>
      </c>
      <c r="C108" s="156" t="str">
        <f>IF(A!BC106=0,"",A!BC106)</f>
        <v/>
      </c>
      <c r="D108" s="157" t="str">
        <f>IF(A!BA106=0,"",A!BA106)</f>
        <v/>
      </c>
    </row>
    <row r="109" spans="1:4" ht="20.100000000000001" customHeight="1">
      <c r="A109" s="155" t="str">
        <f>IF(A!BA107=0,"",IF(OR(D109=D110,D109=D108),"Tie",ROW(A109)-6))</f>
        <v/>
      </c>
      <c r="B109" s="156" t="str">
        <f>IF(A!BB107=0,"",A!BB107)</f>
        <v/>
      </c>
      <c r="C109" s="156" t="str">
        <f>IF(A!BC107=0,"",A!BC107)</f>
        <v/>
      </c>
      <c r="D109" s="157" t="str">
        <f>IF(A!BA107=0,"",A!BA107)</f>
        <v/>
      </c>
    </row>
    <row r="110" spans="1:4" ht="20.100000000000001" customHeight="1">
      <c r="A110" s="155" t="str">
        <f>IF(A!BA108=0,"",IF(OR(D110=D111,D110=D109),"Tie",ROW(A110)-6))</f>
        <v/>
      </c>
      <c r="B110" s="156" t="str">
        <f>IF(A!BB108=0,"",A!BB108)</f>
        <v/>
      </c>
      <c r="C110" s="156" t="str">
        <f>IF(A!BC108=0,"",A!BC108)</f>
        <v/>
      </c>
      <c r="D110" s="157" t="str">
        <f>IF(A!BA108=0,"",A!BA108)</f>
        <v/>
      </c>
    </row>
    <row r="111" spans="1:4" ht="20.100000000000001" customHeight="1">
      <c r="A111" s="155" t="str">
        <f>IF(A!BA109=0,"",IF(OR(D111=D112,D111=D110),"Tie",ROW(A111)-6))</f>
        <v/>
      </c>
      <c r="B111" s="156" t="str">
        <f>IF(A!BB109=0,"",A!BB109)</f>
        <v/>
      </c>
      <c r="C111" s="156" t="str">
        <f>IF(A!BC109=0,"",A!BC109)</f>
        <v/>
      </c>
      <c r="D111" s="157" t="str">
        <f>IF(A!BA109=0,"",A!BA109)</f>
        <v/>
      </c>
    </row>
    <row r="112" spans="1:4" ht="20.100000000000001" customHeight="1">
      <c r="A112" s="155" t="str">
        <f>IF(A!BA110=0,"",IF(OR(D112=D113,D112=D111),"Tie",ROW(A112)-6))</f>
        <v/>
      </c>
      <c r="B112" s="156" t="str">
        <f>IF(A!BB110=0,"",A!BB110)</f>
        <v/>
      </c>
      <c r="C112" s="156" t="str">
        <f>IF(A!BC110=0,"",A!BC110)</f>
        <v/>
      </c>
      <c r="D112" s="157" t="str">
        <f>IF(A!BA110=0,"",A!BA110)</f>
        <v/>
      </c>
    </row>
    <row r="113" spans="1:4" ht="20.100000000000001" customHeight="1">
      <c r="A113" s="155" t="str">
        <f>IF(A!BA111=0,"",IF(OR(D113=D114,D113=D112),"Tie",ROW(A113)-6))</f>
        <v/>
      </c>
      <c r="B113" s="156" t="str">
        <f>IF(A!BB111=0,"",A!BB111)</f>
        <v/>
      </c>
      <c r="C113" s="156" t="str">
        <f>IF(A!BC111=0,"",A!BC111)</f>
        <v/>
      </c>
      <c r="D113" s="157" t="str">
        <f>IF(A!BA111=0,"",A!BA111)</f>
        <v/>
      </c>
    </row>
    <row r="114" spans="1:4" ht="20.100000000000001" customHeight="1">
      <c r="A114" s="155" t="str">
        <f>IF(A!BA112=0,"",IF(OR(D114=D115,D114=D113),"Tie",ROW(A114)-6))</f>
        <v/>
      </c>
      <c r="B114" s="156" t="str">
        <f>IF(A!BB112=0,"",A!BB112)</f>
        <v/>
      </c>
      <c r="C114" s="156" t="str">
        <f>IF(A!BC112=0,"",A!BC112)</f>
        <v/>
      </c>
      <c r="D114" s="157" t="str">
        <f>IF(A!BA112=0,"",A!BA112)</f>
        <v/>
      </c>
    </row>
    <row r="115" spans="1:4" ht="20.100000000000001" customHeight="1">
      <c r="A115" s="155" t="str">
        <f>IF(A!BA113=0,"",IF(OR(D115=D116,D115=D114),"Tie",ROW(A115)-6))</f>
        <v/>
      </c>
      <c r="B115" s="156" t="str">
        <f>IF(A!BB113=0,"",A!BB113)</f>
        <v/>
      </c>
      <c r="C115" s="156" t="str">
        <f>IF(A!BC113=0,"",A!BC113)</f>
        <v/>
      </c>
      <c r="D115" s="157" t="str">
        <f>IF(A!BA113=0,"",A!BA113)</f>
        <v/>
      </c>
    </row>
    <row r="116" spans="1:4" ht="20.100000000000001" customHeight="1">
      <c r="A116" s="155" t="str">
        <f>IF(A!BA114=0,"",IF(OR(D116=D117,D116=D115),"Tie",ROW(A116)-6))</f>
        <v/>
      </c>
      <c r="B116" s="156" t="str">
        <f>IF(A!BB114=0,"",A!BB114)</f>
        <v/>
      </c>
      <c r="C116" s="156" t="str">
        <f>IF(A!BC114=0,"",A!BC114)</f>
        <v/>
      </c>
      <c r="D116" s="157" t="str">
        <f>IF(A!BA114=0,"",A!BA114)</f>
        <v/>
      </c>
    </row>
    <row r="117" spans="1:4" ht="20.100000000000001" customHeight="1">
      <c r="A117" s="155" t="str">
        <f>IF(A!BA115=0,"",IF(OR(D117=D118,D117=D116),"Tie",ROW(A117)-6))</f>
        <v/>
      </c>
      <c r="B117" s="156" t="str">
        <f>IF(A!BB115=0,"",A!BB115)</f>
        <v/>
      </c>
      <c r="C117" s="156" t="str">
        <f>IF(A!BC115=0,"",A!BC115)</f>
        <v/>
      </c>
      <c r="D117" s="157" t="str">
        <f>IF(A!BA115=0,"",A!BA115)</f>
        <v/>
      </c>
    </row>
    <row r="118" spans="1:4" ht="20.100000000000001" customHeight="1">
      <c r="A118" s="155" t="str">
        <f>IF(A!BA116=0,"",IF(OR(D118=D119,D118=D117),"Tie",ROW(A118)-6))</f>
        <v/>
      </c>
      <c r="B118" s="156" t="str">
        <f>IF(A!BB116=0,"",A!BB116)</f>
        <v/>
      </c>
      <c r="C118" s="156" t="str">
        <f>IF(A!BC116=0,"",A!BC116)</f>
        <v/>
      </c>
      <c r="D118" s="157" t="str">
        <f>IF(A!BA116=0,"",A!BA116)</f>
        <v/>
      </c>
    </row>
    <row r="119" spans="1:4" ht="20.100000000000001" customHeight="1">
      <c r="A119" s="155" t="str">
        <f>IF(A!BA117=0,"",IF(OR(D119=D120,D119=D118),"Tie",ROW(A119)-6))</f>
        <v/>
      </c>
      <c r="B119" s="156" t="str">
        <f>IF(A!BB117=0,"",A!BB117)</f>
        <v/>
      </c>
      <c r="C119" s="156" t="str">
        <f>IF(A!BC117=0,"",A!BC117)</f>
        <v/>
      </c>
      <c r="D119" s="157" t="str">
        <f>IF(A!BA117=0,"",A!BA117)</f>
        <v/>
      </c>
    </row>
    <row r="120" spans="1:4" ht="20.100000000000001" customHeight="1">
      <c r="A120" s="155" t="str">
        <f>IF(A!BA118=0,"",IF(OR(D120=D121,D120=D119),"Tie",ROW(A120)-6))</f>
        <v/>
      </c>
      <c r="B120" s="156" t="str">
        <f>IF(A!BB118=0,"",A!BB118)</f>
        <v/>
      </c>
      <c r="C120" s="156" t="str">
        <f>IF(A!BC118=0,"",A!BC118)</f>
        <v/>
      </c>
      <c r="D120" s="157" t="str">
        <f>IF(A!BA118=0,"",A!BA118)</f>
        <v/>
      </c>
    </row>
    <row r="121" spans="1:4" ht="20.100000000000001" customHeight="1">
      <c r="A121" s="155" t="str">
        <f>IF(A!BA119=0,"",IF(OR(D121=D122,D121=D120),"Tie",ROW(A121)-6))</f>
        <v/>
      </c>
      <c r="B121" s="156" t="str">
        <f>IF(A!BB119=0,"",A!BB119)</f>
        <v/>
      </c>
      <c r="C121" s="156" t="str">
        <f>IF(A!BC119=0,"",A!BC119)</f>
        <v/>
      </c>
      <c r="D121" s="157" t="str">
        <f>IF(A!BA119=0,"",A!BA119)</f>
        <v/>
      </c>
    </row>
    <row r="122" spans="1:4" ht="20.100000000000001" customHeight="1">
      <c r="A122" s="155" t="str">
        <f>IF(A!BA120=0,"",IF(OR(D122=D123,D122=D121),"Tie",ROW(A122)-6))</f>
        <v/>
      </c>
      <c r="B122" s="156" t="str">
        <f>IF(A!BB120=0,"",A!BB120)</f>
        <v/>
      </c>
      <c r="C122" s="156" t="str">
        <f>IF(A!BC120=0,"",A!BC120)</f>
        <v/>
      </c>
      <c r="D122" s="157" t="str">
        <f>IF(A!BA120=0,"",A!BA120)</f>
        <v/>
      </c>
    </row>
    <row r="123" spans="1:4" ht="20.100000000000001" customHeight="1">
      <c r="A123" s="155" t="str">
        <f>IF(A!BA121=0,"",IF(OR(D123=D124,D123=D122),"Tie",ROW(A123)-6))</f>
        <v/>
      </c>
      <c r="B123" s="156" t="str">
        <f>IF(A!BB121=0,"",A!BB121)</f>
        <v/>
      </c>
      <c r="C123" s="156" t="str">
        <f>IF(A!BC121=0,"",A!BC121)</f>
        <v/>
      </c>
      <c r="D123" s="157" t="str">
        <f>IF(A!BA121=0,"",A!BA121)</f>
        <v/>
      </c>
    </row>
    <row r="124" spans="1:4" ht="20.100000000000001" customHeight="1">
      <c r="A124" s="155" t="str">
        <f>IF(A!BA122=0,"",IF(OR(D124=D125,D124=D123),"Tie",ROW(A124)-6))</f>
        <v/>
      </c>
      <c r="B124" s="156" t="str">
        <f>IF(A!BB122=0,"",A!BB122)</f>
        <v/>
      </c>
      <c r="C124" s="156" t="str">
        <f>IF(A!BC122=0,"",A!BC122)</f>
        <v/>
      </c>
      <c r="D124" s="157" t="str">
        <f>IF(A!BA122=0,"",A!BA122)</f>
        <v/>
      </c>
    </row>
    <row r="125" spans="1:4" ht="20.100000000000001" customHeight="1">
      <c r="A125" s="155" t="str">
        <f>IF(A!BA123=0,"",IF(OR(D125=D126,D125=D124),"Tie",ROW(A125)-6))</f>
        <v/>
      </c>
      <c r="B125" s="156" t="str">
        <f>IF(A!BB123=0,"",A!BB123)</f>
        <v/>
      </c>
      <c r="C125" s="156" t="str">
        <f>IF(A!BC123=0,"",A!BC123)</f>
        <v/>
      </c>
      <c r="D125" s="157" t="str">
        <f>IF(A!BA123=0,"",A!BA123)</f>
        <v/>
      </c>
    </row>
    <row r="126" spans="1:4" ht="20.100000000000001" customHeight="1">
      <c r="A126" s="155" t="str">
        <f>IF(A!BA124=0,"",IF(OR(D126=D127,D126=D125),"Tie",ROW(A126)-6))</f>
        <v/>
      </c>
      <c r="B126" s="156" t="str">
        <f>IF(A!BB124=0,"",A!BB124)</f>
        <v/>
      </c>
      <c r="C126" s="156" t="str">
        <f>IF(A!BC124=0,"",A!BC124)</f>
        <v/>
      </c>
      <c r="D126" s="157" t="str">
        <f>IF(A!BA124=0,"",A!BA124)</f>
        <v/>
      </c>
    </row>
    <row r="127" spans="1:4" ht="20.100000000000001" customHeight="1">
      <c r="A127" s="155" t="str">
        <f>IF(A!BA125=0,"",IF(OR(D127=D128,D127=D126),"Tie",ROW(A127)-6))</f>
        <v/>
      </c>
      <c r="B127" s="156" t="str">
        <f>IF(A!BB125=0,"",A!BB125)</f>
        <v/>
      </c>
      <c r="C127" s="156" t="str">
        <f>IF(A!BC125=0,"",A!BC125)</f>
        <v/>
      </c>
      <c r="D127" s="157" t="str">
        <f>IF(A!BA125=0,"",A!BA125)</f>
        <v/>
      </c>
    </row>
    <row r="128" spans="1:4" ht="20.100000000000001" customHeight="1">
      <c r="A128" s="155" t="str">
        <f>IF(A!BA126=0,"",IF(OR(D128=D129,D128=D127),"Tie",ROW(A128)-6))</f>
        <v/>
      </c>
      <c r="B128" s="156" t="str">
        <f>IF(A!BB126=0,"",A!BB126)</f>
        <v/>
      </c>
      <c r="C128" s="156" t="str">
        <f>IF(A!BC126=0,"",A!BC126)</f>
        <v/>
      </c>
      <c r="D128" s="157" t="str">
        <f>IF(A!BA126=0,"",A!BA126)</f>
        <v/>
      </c>
    </row>
    <row r="129" spans="1:4" ht="20.100000000000001" customHeight="1">
      <c r="A129" s="155" t="str">
        <f>IF(A!BA127=0,"",IF(OR(D129=D130,D129=D128),"Tie",ROW(A129)-6))</f>
        <v/>
      </c>
      <c r="B129" s="156" t="str">
        <f>IF(A!BB127=0,"",A!BB127)</f>
        <v/>
      </c>
      <c r="C129" s="156" t="str">
        <f>IF(A!BC127=0,"",A!BC127)</f>
        <v/>
      </c>
      <c r="D129" s="157" t="str">
        <f>IF(A!BA127=0,"",A!BA127)</f>
        <v/>
      </c>
    </row>
    <row r="130" spans="1:4" ht="20.100000000000001" customHeight="1">
      <c r="A130" s="155" t="str">
        <f>IF(A!BA128=0,"",IF(OR(D130=D131,D130=D129),"Tie",ROW(A130)-6))</f>
        <v/>
      </c>
      <c r="B130" s="156" t="str">
        <f>IF(A!BB128=0,"",A!BB128)</f>
        <v/>
      </c>
      <c r="C130" s="156" t="str">
        <f>IF(A!BC128=0,"",A!BC128)</f>
        <v/>
      </c>
      <c r="D130" s="157" t="str">
        <f>IF(A!BA128=0,"",A!BA128)</f>
        <v/>
      </c>
    </row>
    <row r="131" spans="1:4" ht="20.100000000000001" customHeight="1">
      <c r="A131" s="155" t="str">
        <f>IF(A!BA129=0,"",IF(OR(D131=D132,D131=D130),"Tie",ROW(A131)-6))</f>
        <v/>
      </c>
      <c r="B131" s="156" t="str">
        <f>IF(A!BB129=0,"",A!BB129)</f>
        <v/>
      </c>
      <c r="C131" s="156" t="str">
        <f>IF(A!BC129=0,"",A!BC129)</f>
        <v/>
      </c>
      <c r="D131" s="157" t="str">
        <f>IF(A!BA129=0,"",A!BA129)</f>
        <v/>
      </c>
    </row>
    <row r="132" spans="1:4" ht="20.100000000000001" customHeight="1">
      <c r="A132" s="155" t="str">
        <f>IF(A!BA130=0,"",IF(OR(D132=D133,D132=D131),"Tie",ROW(A132)-6))</f>
        <v/>
      </c>
      <c r="B132" s="156" t="str">
        <f>IF(A!BB130=0,"",A!BB130)</f>
        <v/>
      </c>
      <c r="C132" s="156" t="str">
        <f>IF(A!BC130=0,"",A!BC130)</f>
        <v/>
      </c>
      <c r="D132" s="157" t="str">
        <f>IF(A!BA130=0,"",A!BA130)</f>
        <v/>
      </c>
    </row>
    <row r="133" spans="1:4" ht="20.100000000000001" customHeight="1">
      <c r="A133" s="155" t="str">
        <f>IF(A!BA131=0,"",IF(OR(D133=D134,D133=D132),"Tie",ROW(A133)-6))</f>
        <v/>
      </c>
      <c r="B133" s="156" t="str">
        <f>IF(A!BB131=0,"",A!BB131)</f>
        <v/>
      </c>
      <c r="C133" s="156" t="str">
        <f>IF(A!BC131=0,"",A!BC131)</f>
        <v/>
      </c>
      <c r="D133" s="157" t="str">
        <f>IF(A!BA131=0,"",A!BA131)</f>
        <v/>
      </c>
    </row>
    <row r="134" spans="1:4" ht="20.100000000000001" customHeight="1">
      <c r="A134" s="155" t="str">
        <f>IF(A!BA132=0,"",IF(OR(D134=D135,D134=D133),"Tie",ROW(A134)-6))</f>
        <v/>
      </c>
      <c r="B134" s="156" t="str">
        <f>IF(A!BB132=0,"",A!BB132)</f>
        <v/>
      </c>
      <c r="C134" s="156" t="str">
        <f>IF(A!BC132=0,"",A!BC132)</f>
        <v/>
      </c>
      <c r="D134" s="157" t="str">
        <f>IF(A!BA132=0,"",A!BA132)</f>
        <v/>
      </c>
    </row>
    <row r="135" spans="1:4" ht="20.100000000000001" customHeight="1">
      <c r="A135" s="155" t="str">
        <f>IF(A!BA133=0,"",IF(OR(D135=D136,D135=D134),"Tie",ROW(A135)-6))</f>
        <v/>
      </c>
      <c r="B135" s="156" t="str">
        <f>IF(A!BB133=0,"",A!BB133)</f>
        <v/>
      </c>
      <c r="C135" s="156" t="str">
        <f>IF(A!BC133=0,"",A!BC133)</f>
        <v/>
      </c>
      <c r="D135" s="157" t="str">
        <f>IF(A!BA133=0,"",A!BA133)</f>
        <v/>
      </c>
    </row>
    <row r="136" spans="1:4" ht="20.100000000000001" customHeight="1">
      <c r="A136" s="155" t="str">
        <f>IF(A!BA134=0,"",IF(OR(D136=D137,D136=D135),"Tie",ROW(A136)-6))</f>
        <v/>
      </c>
      <c r="B136" s="156" t="str">
        <f>IF(A!BB134=0,"",A!BB134)</f>
        <v/>
      </c>
      <c r="C136" s="156" t="str">
        <f>IF(A!BC134=0,"",A!BC134)</f>
        <v/>
      </c>
      <c r="D136" s="157" t="str">
        <f>IF(A!BA134=0,"",A!BA134)</f>
        <v/>
      </c>
    </row>
    <row r="137" spans="1:4" ht="20.100000000000001" customHeight="1">
      <c r="A137" s="155" t="str">
        <f>IF(A!BA135=0,"",IF(OR(D137=D138,D137=D136),"Tie",ROW(A137)-6))</f>
        <v/>
      </c>
      <c r="B137" s="156" t="str">
        <f>IF(A!BB135=0,"",A!BB135)</f>
        <v/>
      </c>
      <c r="C137" s="156" t="str">
        <f>IF(A!BC135=0,"",A!BC135)</f>
        <v/>
      </c>
      <c r="D137" s="157" t="str">
        <f>IF(A!BA135=0,"",A!BA135)</f>
        <v/>
      </c>
    </row>
    <row r="138" spans="1:4" ht="20.100000000000001" customHeight="1">
      <c r="A138" s="155" t="str">
        <f>IF(A!BA136=0,"",IF(OR(D138=D139,D138=D137),"Tie",ROW(A138)-6))</f>
        <v/>
      </c>
      <c r="B138" s="156" t="str">
        <f>IF(A!BB136=0,"",A!BB136)</f>
        <v/>
      </c>
      <c r="C138" s="156" t="str">
        <f>IF(A!BC136=0,"",A!BC136)</f>
        <v/>
      </c>
      <c r="D138" s="157" t="str">
        <f>IF(A!BA136=0,"",A!BA136)</f>
        <v/>
      </c>
    </row>
    <row r="139" spans="1:4" ht="20.100000000000001" customHeight="1">
      <c r="A139" s="155" t="str">
        <f>IF(A!BA137=0,"",IF(OR(D139=D140,D139=D138),"Tie",ROW(A139)-6))</f>
        <v/>
      </c>
      <c r="B139" s="156" t="str">
        <f>IF(A!BB137=0,"",A!BB137)</f>
        <v/>
      </c>
      <c r="C139" s="156" t="str">
        <f>IF(A!BC137=0,"",A!BC137)</f>
        <v/>
      </c>
      <c r="D139" s="157" t="str">
        <f>IF(A!BA137=0,"",A!BA137)</f>
        <v/>
      </c>
    </row>
    <row r="140" spans="1:4" ht="20.100000000000001" customHeight="1">
      <c r="A140" s="155" t="str">
        <f>IF(A!BA138=0,"",IF(OR(D140=D141,D140=D139),"Tie",ROW(A140)-6))</f>
        <v/>
      </c>
      <c r="B140" s="156" t="str">
        <f>IF(A!BB138=0,"",A!BB138)</f>
        <v/>
      </c>
      <c r="C140" s="156" t="str">
        <f>IF(A!BC138=0,"",A!BC138)</f>
        <v/>
      </c>
      <c r="D140" s="157" t="str">
        <f>IF(A!BA138=0,"",A!BA138)</f>
        <v/>
      </c>
    </row>
    <row r="141" spans="1:4" ht="20.100000000000001" customHeight="1">
      <c r="A141" s="155" t="str">
        <f>IF(A!BA139=0,"",IF(OR(D141=D142,D141=D140),"Tie",ROW(A141)-6))</f>
        <v/>
      </c>
      <c r="B141" s="156" t="str">
        <f>IF(A!BB139=0,"",A!BB139)</f>
        <v/>
      </c>
      <c r="C141" s="156" t="str">
        <f>IF(A!BC139=0,"",A!BC139)</f>
        <v/>
      </c>
      <c r="D141" s="157" t="str">
        <f>IF(A!BA139=0,"",A!BA139)</f>
        <v/>
      </c>
    </row>
    <row r="142" spans="1:4" ht="20.100000000000001" customHeight="1">
      <c r="A142" s="155" t="str">
        <f>IF(A!BA140=0,"",IF(OR(D142=D143,D142=D141),"Tie",ROW(A142)-6))</f>
        <v/>
      </c>
      <c r="B142" s="156" t="str">
        <f>IF(A!BB140=0,"",A!BB140)</f>
        <v/>
      </c>
      <c r="C142" s="156" t="str">
        <f>IF(A!BC140=0,"",A!BC140)</f>
        <v/>
      </c>
      <c r="D142" s="157" t="str">
        <f>IF(A!BA140=0,"",A!BA140)</f>
        <v/>
      </c>
    </row>
    <row r="143" spans="1:4" ht="20.100000000000001" customHeight="1">
      <c r="A143" s="155" t="str">
        <f>IF(A!BA141=0,"",IF(OR(D143=D144,D143=D142),"Tie",ROW(A143)-6))</f>
        <v/>
      </c>
      <c r="B143" s="156" t="str">
        <f>IF(A!BB141=0,"",A!BB141)</f>
        <v/>
      </c>
      <c r="C143" s="156" t="str">
        <f>IF(A!BC141=0,"",A!BC141)</f>
        <v/>
      </c>
      <c r="D143" s="157" t="str">
        <f>IF(A!BA141=0,"",A!BA141)</f>
        <v/>
      </c>
    </row>
    <row r="144" spans="1:4" ht="20.100000000000001" customHeight="1">
      <c r="A144" s="155" t="str">
        <f>IF(A!BA142=0,"",IF(OR(D144=D145,D144=D143),"Tie",ROW(A144)-6))</f>
        <v/>
      </c>
      <c r="B144" s="156" t="str">
        <f>IF(A!BB142=0,"",A!BB142)</f>
        <v/>
      </c>
      <c r="C144" s="156" t="str">
        <f>IF(A!BC142=0,"",A!BC142)</f>
        <v/>
      </c>
      <c r="D144" s="157" t="str">
        <f>IF(A!BA142=0,"",A!BA142)</f>
        <v/>
      </c>
    </row>
    <row r="145" spans="1:4" ht="20.100000000000001" customHeight="1">
      <c r="A145" s="155" t="str">
        <f>IF(A!BA143=0,"",IF(OR(D145=D146,D145=D144),"Tie",ROW(A145)-6))</f>
        <v/>
      </c>
      <c r="B145" s="156" t="str">
        <f>IF(A!BB143=0,"",A!BB143)</f>
        <v/>
      </c>
      <c r="C145" s="156" t="str">
        <f>IF(A!BC143=0,"",A!BC143)</f>
        <v/>
      </c>
      <c r="D145" s="157" t="str">
        <f>IF(A!BA143=0,"",A!BA143)</f>
        <v/>
      </c>
    </row>
    <row r="146" spans="1:4" ht="20.100000000000001" customHeight="1">
      <c r="A146" s="155" t="str">
        <f>IF(A!BA144=0,"",IF(OR(D146=D147,D146=D145),"Tie",ROW(A146)-6))</f>
        <v/>
      </c>
      <c r="B146" s="156" t="str">
        <f>IF(A!BB144=0,"",A!BB144)</f>
        <v/>
      </c>
      <c r="C146" s="156" t="str">
        <f>IF(A!BC144=0,"",A!BC144)</f>
        <v/>
      </c>
      <c r="D146" s="157" t="str">
        <f>IF(A!BA144=0,"",A!BA144)</f>
        <v/>
      </c>
    </row>
    <row r="147" spans="1:4" ht="20.100000000000001" customHeight="1">
      <c r="A147" s="155" t="str">
        <f>IF(A!BA145=0,"",IF(OR(D147=D148,D147=D146),"Tie",ROW(A147)-6))</f>
        <v/>
      </c>
      <c r="B147" s="156" t="str">
        <f>IF(A!BB145=0,"",A!BB145)</f>
        <v/>
      </c>
      <c r="C147" s="156" t="str">
        <f>IF(A!BC145=0,"",A!BC145)</f>
        <v/>
      </c>
      <c r="D147" s="157" t="str">
        <f>IF(A!BA145=0,"",A!BA145)</f>
        <v/>
      </c>
    </row>
    <row r="148" spans="1:4" ht="20.100000000000001" customHeight="1">
      <c r="A148" s="155" t="str">
        <f>IF(A!BA146=0,"",IF(OR(D148=D149,D148=D147),"Tie",ROW(A148)-6))</f>
        <v/>
      </c>
      <c r="B148" s="156" t="str">
        <f>IF(A!BB146=0,"",A!BB146)</f>
        <v/>
      </c>
      <c r="C148" s="156" t="str">
        <f>IF(A!BC146=0,"",A!BC146)</f>
        <v/>
      </c>
      <c r="D148" s="157" t="str">
        <f>IF(A!BA146=0,"",A!BA146)</f>
        <v/>
      </c>
    </row>
    <row r="149" spans="1:4" ht="20.100000000000001" customHeight="1">
      <c r="A149" s="155" t="str">
        <f>IF(A!BA147=0,"",IF(OR(D149=D150,D149=D148),"Tie",ROW(A149)-6))</f>
        <v/>
      </c>
      <c r="B149" s="156" t="str">
        <f>IF(A!BB147=0,"",A!BB147)</f>
        <v/>
      </c>
      <c r="C149" s="156" t="str">
        <f>IF(A!BC147=0,"",A!BC147)</f>
        <v/>
      </c>
      <c r="D149" s="157" t="str">
        <f>IF(A!BA147=0,"",A!BA147)</f>
        <v/>
      </c>
    </row>
    <row r="150" spans="1:4" ht="20.100000000000001" customHeight="1">
      <c r="A150" s="155" t="str">
        <f>IF(A!BA148=0,"",IF(OR(D150=D151,D150=D149),"Tie",ROW(A150)-6))</f>
        <v/>
      </c>
      <c r="B150" s="156" t="str">
        <f>IF(A!BB148=0,"",A!BB148)</f>
        <v/>
      </c>
      <c r="C150" s="156" t="str">
        <f>IF(A!BC148=0,"",A!BC148)</f>
        <v/>
      </c>
      <c r="D150" s="157" t="str">
        <f>IF(A!BA148=0,"",A!BA148)</f>
        <v/>
      </c>
    </row>
    <row r="151" spans="1:4" ht="20.100000000000001" customHeight="1">
      <c r="A151" s="155" t="str">
        <f>IF(A!BA149=0,"",IF(OR(D151=D152,D151=D150),"Tie",ROW(A151)-6))</f>
        <v/>
      </c>
      <c r="B151" s="156" t="str">
        <f>IF(A!BB149=0,"",A!BB149)</f>
        <v/>
      </c>
      <c r="C151" s="156" t="str">
        <f>IF(A!BC149=0,"",A!BC149)</f>
        <v/>
      </c>
      <c r="D151" s="157" t="str">
        <f>IF(A!BA149=0,"",A!BA149)</f>
        <v/>
      </c>
    </row>
    <row r="152" spans="1:4" ht="20.100000000000001" customHeight="1">
      <c r="A152" s="155" t="str">
        <f>IF(A!BA150=0,"",IF(OR(D152=D153,D152=D151),"Tie",ROW(A152)-6))</f>
        <v/>
      </c>
      <c r="B152" s="156" t="str">
        <f>IF(A!BB150=0,"",A!BB150)</f>
        <v/>
      </c>
      <c r="C152" s="156" t="str">
        <f>IF(A!BC150=0,"",A!BC150)</f>
        <v/>
      </c>
      <c r="D152" s="157" t="str">
        <f>IF(A!BA150=0,"",A!BA150)</f>
        <v/>
      </c>
    </row>
    <row r="153" spans="1:4" ht="20.100000000000001" customHeight="1">
      <c r="A153" s="155" t="str">
        <f>IF(A!BA151=0,"",IF(OR(D153=D154,D153=D152),"Tie",ROW(A153)-6))</f>
        <v/>
      </c>
      <c r="B153" s="156" t="str">
        <f>IF(A!BB151=0,"",A!BB151)</f>
        <v/>
      </c>
      <c r="C153" s="156" t="str">
        <f>IF(A!BC151=0,"",A!BC151)</f>
        <v/>
      </c>
      <c r="D153" s="157" t="str">
        <f>IF(A!BA151=0,"",A!BA151)</f>
        <v/>
      </c>
    </row>
    <row r="154" spans="1:4" ht="20.100000000000001" customHeight="1">
      <c r="A154" s="155" t="str">
        <f>IF(A!BA152=0,"",IF(OR(D154=D155,D154=D153),"Tie",ROW(A154)-6))</f>
        <v/>
      </c>
      <c r="B154" s="156" t="str">
        <f>IF(A!BB152=0,"",A!BB152)</f>
        <v/>
      </c>
      <c r="C154" s="156" t="str">
        <f>IF(A!BC152=0,"",A!BC152)</f>
        <v/>
      </c>
      <c r="D154" s="157" t="str">
        <f>IF(A!BA152=0,"",A!BA152)</f>
        <v/>
      </c>
    </row>
    <row r="155" spans="1:4" ht="20.100000000000001" customHeight="1">
      <c r="A155" s="155" t="str">
        <f>IF(A!BA153=0,"",IF(OR(D155=D156,D155=D154),"Tie",ROW(A155)-6))</f>
        <v/>
      </c>
      <c r="B155" s="156" t="str">
        <f>IF(A!BB153=0,"",A!BB153)</f>
        <v/>
      </c>
      <c r="C155" s="156" t="str">
        <f>IF(A!BC153=0,"",A!BC153)</f>
        <v/>
      </c>
      <c r="D155" s="157" t="str">
        <f>IF(A!BA153=0,"",A!BA153)</f>
        <v/>
      </c>
    </row>
    <row r="156" spans="1:4" ht="20.100000000000001" customHeight="1">
      <c r="A156" s="155" t="str">
        <f>IF(A!BA154=0,"",IF(OR(D156=D157,D156=D155),"Tie",ROW(A156)-6))</f>
        <v/>
      </c>
      <c r="B156" s="156" t="str">
        <f>IF(A!BB154=0,"",A!BB154)</f>
        <v/>
      </c>
      <c r="C156" s="156" t="str">
        <f>IF(A!BC154=0,"",A!BC154)</f>
        <v/>
      </c>
      <c r="D156" s="157" t="str">
        <f>IF(A!BA154=0,"",A!BA154)</f>
        <v/>
      </c>
    </row>
    <row r="157" spans="1:4" ht="20.100000000000001" customHeight="1">
      <c r="A157" s="155" t="str">
        <f>IF(A!BA155=0,"",IF(OR(D157=D158,D157=D156),"Tie",ROW(A157)-6))</f>
        <v/>
      </c>
      <c r="B157" s="156" t="str">
        <f>IF(A!BB155=0,"",A!BB155)</f>
        <v/>
      </c>
      <c r="C157" s="156" t="str">
        <f>IF(A!BC155=0,"",A!BC155)</f>
        <v/>
      </c>
      <c r="D157" s="157" t="str">
        <f>IF(A!BA155=0,"",A!BA155)</f>
        <v/>
      </c>
    </row>
    <row r="158" spans="1:4" ht="20.100000000000001" customHeight="1">
      <c r="A158" s="155" t="str">
        <f>IF(A!BA156=0,"",IF(OR(D158=D159,D158=D157),"Tie",ROW(A158)-6))</f>
        <v/>
      </c>
      <c r="B158" s="156" t="str">
        <f>IF(A!BB156=0,"",A!BB156)</f>
        <v/>
      </c>
      <c r="C158" s="156" t="str">
        <f>IF(A!BC156=0,"",A!BC156)</f>
        <v/>
      </c>
      <c r="D158" s="157" t="str">
        <f>IF(A!BA156=0,"",A!BA156)</f>
        <v/>
      </c>
    </row>
    <row r="159" spans="1:4" ht="20.100000000000001" customHeight="1">
      <c r="A159" s="155" t="str">
        <f>IF(A!BA157=0,"",IF(OR(D159=D160,D159=D158),"Tie",ROW(A159)-6))</f>
        <v/>
      </c>
      <c r="B159" s="156" t="str">
        <f>IF(A!BB157=0,"",A!BB157)</f>
        <v/>
      </c>
      <c r="C159" s="156" t="str">
        <f>IF(A!BC157=0,"",A!BC157)</f>
        <v/>
      </c>
      <c r="D159" s="157" t="str">
        <f>IF(A!BA157=0,"",A!BA157)</f>
        <v/>
      </c>
    </row>
    <row r="160" spans="1:4" ht="20.100000000000001" customHeight="1">
      <c r="A160" s="155" t="str">
        <f>IF(A!BA158=0,"",IF(OR(D160=D161,D160=D159),"Tie",ROW(A160)-6))</f>
        <v/>
      </c>
      <c r="B160" s="156" t="str">
        <f>IF(A!BB158=0,"",A!BB158)</f>
        <v/>
      </c>
      <c r="C160" s="156" t="str">
        <f>IF(A!BC158=0,"",A!BC158)</f>
        <v/>
      </c>
      <c r="D160" s="157" t="str">
        <f>IF(A!BA158=0,"",A!BA158)</f>
        <v/>
      </c>
    </row>
    <row r="161" spans="1:4" ht="20.100000000000001" customHeight="1">
      <c r="A161" s="155" t="str">
        <f>IF(A!BA159=0,"",IF(OR(D161=D162,D161=D160),"Tie",ROW(A161)-6))</f>
        <v/>
      </c>
      <c r="B161" s="156" t="str">
        <f>IF(A!BB159=0,"",A!BB159)</f>
        <v/>
      </c>
      <c r="C161" s="156" t="str">
        <f>IF(A!BC159=0,"",A!BC159)</f>
        <v/>
      </c>
      <c r="D161" s="157" t="str">
        <f>IF(A!BA159=0,"",A!BA159)</f>
        <v/>
      </c>
    </row>
    <row r="162" spans="1:4" ht="20.100000000000001" customHeight="1">
      <c r="A162" s="155" t="str">
        <f>IF(A!BA160=0,"",IF(OR(D162=D163,D162=D161),"Tie",ROW(A162)-6))</f>
        <v/>
      </c>
      <c r="B162" s="156" t="str">
        <f>IF(A!BB160=0,"",A!BB160)</f>
        <v/>
      </c>
      <c r="C162" s="156" t="str">
        <f>IF(A!BC160=0,"",A!BC160)</f>
        <v/>
      </c>
      <c r="D162" s="157" t="str">
        <f>IF(A!BA160=0,"",A!BA160)</f>
        <v/>
      </c>
    </row>
    <row r="163" spans="1:4" ht="20.100000000000001" customHeight="1">
      <c r="A163" s="155" t="str">
        <f>IF(A!BA161=0,"",IF(OR(D163=D164,D163=D162),"Tie",ROW(A163)-6))</f>
        <v/>
      </c>
      <c r="B163" s="156" t="str">
        <f>IF(A!BB161=0,"",A!BB161)</f>
        <v/>
      </c>
      <c r="C163" s="156" t="str">
        <f>IF(A!BC161=0,"",A!BC161)</f>
        <v/>
      </c>
      <c r="D163" s="157" t="str">
        <f>IF(A!BA161=0,"",A!BA161)</f>
        <v/>
      </c>
    </row>
    <row r="164" spans="1:4" ht="20.100000000000001" customHeight="1">
      <c r="A164" s="155" t="str">
        <f>IF(A!BA162=0,"",IF(OR(D164=D165,D164=D163),"Tie",ROW(A164)-6))</f>
        <v/>
      </c>
      <c r="B164" s="156" t="str">
        <f>IF(A!BB162=0,"",A!BB162)</f>
        <v/>
      </c>
      <c r="C164" s="156" t="str">
        <f>IF(A!BC162=0,"",A!BC162)</f>
        <v/>
      </c>
      <c r="D164" s="157" t="str">
        <f>IF(A!BA162=0,"",A!BA162)</f>
        <v/>
      </c>
    </row>
    <row r="165" spans="1:4" ht="20.100000000000001" customHeight="1">
      <c r="A165" s="155" t="str">
        <f>IF(A!BA163=0,"",IF(OR(D165=D166,D165=D164),"Tie",ROW(A165)-6))</f>
        <v/>
      </c>
      <c r="B165" s="156" t="str">
        <f>IF(A!BB163=0,"",A!BB163)</f>
        <v/>
      </c>
      <c r="C165" s="156" t="str">
        <f>IF(A!BC163=0,"",A!BC163)</f>
        <v/>
      </c>
      <c r="D165" s="157" t="str">
        <f>IF(A!BA163=0,"",A!BA163)</f>
        <v/>
      </c>
    </row>
    <row r="166" spans="1:4" ht="20.100000000000001" customHeight="1" thickBot="1">
      <c r="A166" s="158" t="str">
        <f>IF(A!BA164=0,"",IF(OR(D166=D167,D166=D165),"Tie",ROW(A166)-6))</f>
        <v/>
      </c>
      <c r="B166" s="159" t="str">
        <f>IF(A!BB164=0,"",A!BB164)</f>
        <v/>
      </c>
      <c r="C166" s="159" t="str">
        <f>IF(A!BC164=0,"",A!BC164)</f>
        <v/>
      </c>
      <c r="D166" s="160" t="str">
        <f>IF(A!BA164=0,"",A!BA164)</f>
        <v/>
      </c>
    </row>
  </sheetData>
  <sheetProtection sheet="1" objects="1" scenarios="1"/>
  <mergeCells count="1">
    <mergeCell ref="A3:D3"/>
  </mergeCells>
  <phoneticPr fontId="15" type="noConversion"/>
  <printOptions horizontalCentered="1"/>
  <pageMargins left="0.5" right="0.5" top="0.4" bottom="0.4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DC666-36D1-4EC2-9CCD-B707994BBC2D}">
  <sheetPr codeName="Sheet27"/>
  <dimension ref="A1:AA160"/>
  <sheetViews>
    <sheetView showGridLines="0" topLeftCell="A73" workbookViewId="0">
      <selection activeCell="A73" sqref="A73"/>
    </sheetView>
  </sheetViews>
  <sheetFormatPr defaultRowHeight="15"/>
  <cols>
    <col min="1" max="1" width="12.77734375" style="3" customWidth="1"/>
    <col min="2" max="2" width="8.33203125" style="3" customWidth="1"/>
    <col min="3" max="24" width="8.33203125" customWidth="1"/>
    <col min="25" max="27" width="9.77734375" customWidth="1"/>
  </cols>
  <sheetData>
    <row r="1" spans="1:27" ht="18">
      <c r="Y1" s="182" t="s">
        <v>97</v>
      </c>
      <c r="Z1" s="182" t="s">
        <v>97</v>
      </c>
      <c r="AA1" s="182" t="s">
        <v>97</v>
      </c>
    </row>
    <row r="2" spans="1:27" ht="18.75" thickBot="1">
      <c r="A2" s="178" t="str">
        <f>'C'!A4</f>
        <v>PIRATES OF THE TABLE</v>
      </c>
      <c r="B2" s="178" t="s">
        <v>199</v>
      </c>
      <c r="C2" s="31" t="s">
        <v>75</v>
      </c>
      <c r="D2" s="31" t="s">
        <v>76</v>
      </c>
      <c r="E2" s="31" t="s">
        <v>77</v>
      </c>
      <c r="F2" s="31" t="s">
        <v>78</v>
      </c>
      <c r="G2" s="31" t="s">
        <v>79</v>
      </c>
      <c r="H2" s="31" t="s">
        <v>80</v>
      </c>
      <c r="I2" s="31" t="s">
        <v>81</v>
      </c>
      <c r="J2" s="31" t="s">
        <v>82</v>
      </c>
      <c r="K2" s="31" t="s">
        <v>83</v>
      </c>
      <c r="L2" s="31" t="s">
        <v>84</v>
      </c>
      <c r="M2" s="31" t="s">
        <v>85</v>
      </c>
      <c r="N2" s="31" t="s">
        <v>86</v>
      </c>
      <c r="O2" s="31" t="s">
        <v>87</v>
      </c>
      <c r="P2" s="31" t="s">
        <v>88</v>
      </c>
      <c r="Q2" s="31" t="s">
        <v>89</v>
      </c>
      <c r="R2" s="31" t="s">
        <v>90</v>
      </c>
      <c r="S2" s="31" t="s">
        <v>91</v>
      </c>
      <c r="T2" s="31" t="s">
        <v>92</v>
      </c>
      <c r="U2" s="31" t="s">
        <v>93</v>
      </c>
      <c r="V2" s="31" t="s">
        <v>94</v>
      </c>
      <c r="W2" s="31" t="s">
        <v>95</v>
      </c>
      <c r="X2" s="32" t="s">
        <v>96</v>
      </c>
      <c r="Y2" s="183" t="s">
        <v>139</v>
      </c>
      <c r="Z2" s="183" t="s">
        <v>201</v>
      </c>
      <c r="AA2" s="183" t="s">
        <v>202</v>
      </c>
    </row>
    <row r="3" spans="1:27" ht="15.75">
      <c r="A3" s="193" t="str">
        <f>'C'!A5</f>
        <v>JASON</v>
      </c>
      <c r="B3" s="34">
        <f>IF(B!C18=TRUE,14,0)</f>
        <v>0</v>
      </c>
      <c r="C3" s="34">
        <f>'C'!$C5</f>
        <v>0</v>
      </c>
      <c r="D3" s="34">
        <f>D!$C5</f>
        <v>0</v>
      </c>
      <c r="E3" s="34">
        <f>E!$C5</f>
        <v>0</v>
      </c>
      <c r="F3" s="34">
        <f>F!$C5</f>
        <v>0</v>
      </c>
      <c r="G3" s="34">
        <f>G!$C5</f>
        <v>0</v>
      </c>
      <c r="H3" s="34">
        <f>H!$C5</f>
        <v>0</v>
      </c>
      <c r="I3" s="34">
        <f>I!$C5</f>
        <v>0</v>
      </c>
      <c r="J3" s="34">
        <f>J!$C5</f>
        <v>0</v>
      </c>
      <c r="K3" s="34">
        <f>K!$C5</f>
        <v>0</v>
      </c>
      <c r="L3" s="34">
        <f>L!$C5</f>
        <v>0</v>
      </c>
      <c r="M3" s="34">
        <f>M!$C5</f>
        <v>0</v>
      </c>
      <c r="N3" s="34">
        <f>N!$C5</f>
        <v>0</v>
      </c>
      <c r="O3" s="34">
        <f>O!$C5</f>
        <v>0</v>
      </c>
      <c r="P3" s="34">
        <f>P!$C5</f>
        <v>0</v>
      </c>
      <c r="Q3" s="34">
        <f>Q!$C5</f>
        <v>0</v>
      </c>
      <c r="R3" s="34">
        <f>'R'!$C5</f>
        <v>0</v>
      </c>
      <c r="S3" s="34">
        <f>S!$C5</f>
        <v>0</v>
      </c>
      <c r="T3" s="34">
        <f>T!$C5</f>
        <v>0</v>
      </c>
      <c r="U3" s="34">
        <f>U!$C5</f>
        <v>0</v>
      </c>
      <c r="V3" s="34">
        <f>V!$C5</f>
        <v>0</v>
      </c>
      <c r="W3" s="34">
        <f>W!$C5</f>
        <v>0</v>
      </c>
      <c r="X3" s="34">
        <f>X!$C5</f>
        <v>0</v>
      </c>
      <c r="Y3" s="181">
        <f>SUM(B3:X3)</f>
        <v>0</v>
      </c>
      <c r="Z3" s="181">
        <f>IF(B!B18="",0,B!$C$11+B!$C$8*B!C20)</f>
        <v>240</v>
      </c>
      <c r="AA3" s="181">
        <f>Y3-Z3</f>
        <v>-240</v>
      </c>
    </row>
    <row r="4" spans="1:27" ht="15.75">
      <c r="A4" s="193" t="str">
        <f>'C'!A6</f>
        <v>TRAYE</v>
      </c>
      <c r="B4" s="34">
        <f>IF(B!C23=TRUE,14,0)</f>
        <v>0</v>
      </c>
      <c r="C4" s="34">
        <f>'C'!$C6</f>
        <v>0</v>
      </c>
      <c r="D4" s="34">
        <f>D!$C6</f>
        <v>0</v>
      </c>
      <c r="E4" s="34">
        <f>E!$C6</f>
        <v>10</v>
      </c>
      <c r="F4" s="34">
        <f>F!$C6</f>
        <v>0</v>
      </c>
      <c r="G4" s="34">
        <f>G!$C6</f>
        <v>0</v>
      </c>
      <c r="H4" s="34">
        <f>H!$C6</f>
        <v>0</v>
      </c>
      <c r="I4" s="34">
        <f>I!$C6</f>
        <v>0</v>
      </c>
      <c r="J4" s="34">
        <f>J!$C6</f>
        <v>0</v>
      </c>
      <c r="K4" s="34">
        <f>K!$C6</f>
        <v>0</v>
      </c>
      <c r="L4" s="34">
        <f>L!$C6</f>
        <v>0</v>
      </c>
      <c r="M4" s="34">
        <f>M!$C6</f>
        <v>0</v>
      </c>
      <c r="N4" s="34">
        <f>N!$C6</f>
        <v>0</v>
      </c>
      <c r="O4" s="34">
        <f>O!$C6</f>
        <v>0</v>
      </c>
      <c r="P4" s="34">
        <f>P!$C6</f>
        <v>0</v>
      </c>
      <c r="Q4" s="34">
        <f>Q!$C6</f>
        <v>0</v>
      </c>
      <c r="R4" s="34">
        <f>'R'!$C6</f>
        <v>0</v>
      </c>
      <c r="S4" s="34">
        <f>S!$C6</f>
        <v>0</v>
      </c>
      <c r="T4" s="34">
        <f>T!$C6</f>
        <v>0</v>
      </c>
      <c r="U4" s="34">
        <f>U!$C6</f>
        <v>0</v>
      </c>
      <c r="V4" s="34">
        <f>V!$C6</f>
        <v>0</v>
      </c>
      <c r="W4" s="34">
        <f>W!$C6</f>
        <v>0</v>
      </c>
      <c r="X4" s="34">
        <f>X!$C6</f>
        <v>0</v>
      </c>
      <c r="Y4" s="181">
        <f>SUM(B4:X4)</f>
        <v>10</v>
      </c>
      <c r="Z4" s="181">
        <f>IF(B!B23="",0,B!$C$11+B!$C$8*B!C25)</f>
        <v>240</v>
      </c>
      <c r="AA4" s="181">
        <f>Y4-Z4</f>
        <v>-230</v>
      </c>
    </row>
    <row r="5" spans="1:27" ht="15.75">
      <c r="A5" s="193" t="str">
        <f>'C'!A7</f>
        <v>WC</v>
      </c>
      <c r="B5" s="34">
        <f>IF(B!C28=TRUE,14,0)</f>
        <v>0</v>
      </c>
      <c r="C5" s="34">
        <f>'C'!$C7</f>
        <v>0</v>
      </c>
      <c r="D5" s="34">
        <f>D!$C7</f>
        <v>0</v>
      </c>
      <c r="E5" s="34">
        <f>E!$C7</f>
        <v>0</v>
      </c>
      <c r="F5" s="34">
        <f>F!$C7</f>
        <v>0</v>
      </c>
      <c r="G5" s="34">
        <f>G!$C7</f>
        <v>0</v>
      </c>
      <c r="H5" s="34">
        <f>H!$C7</f>
        <v>0</v>
      </c>
      <c r="I5" s="34">
        <f>I!$C7</f>
        <v>0</v>
      </c>
      <c r="J5" s="34">
        <f>J!$C7</f>
        <v>0</v>
      </c>
      <c r="K5" s="34">
        <f>K!$C7</f>
        <v>0</v>
      </c>
      <c r="L5" s="34">
        <f>L!$C7</f>
        <v>0</v>
      </c>
      <c r="M5" s="34">
        <f>M!$C7</f>
        <v>0</v>
      </c>
      <c r="N5" s="34">
        <f>N!$C7</f>
        <v>0</v>
      </c>
      <c r="O5" s="34">
        <f>O!$C7</f>
        <v>0</v>
      </c>
      <c r="P5" s="34">
        <f>P!$C7</f>
        <v>0</v>
      </c>
      <c r="Q5" s="34">
        <f>Q!$C7</f>
        <v>0</v>
      </c>
      <c r="R5" s="34">
        <f>'R'!$C7</f>
        <v>0</v>
      </c>
      <c r="S5" s="34">
        <f>S!$C7</f>
        <v>0</v>
      </c>
      <c r="T5" s="34">
        <f>T!$C7</f>
        <v>0</v>
      </c>
      <c r="U5" s="34">
        <f>U!$C7</f>
        <v>0</v>
      </c>
      <c r="V5" s="34">
        <f>V!$C7</f>
        <v>0</v>
      </c>
      <c r="W5" s="34">
        <f>W!$C7</f>
        <v>0</v>
      </c>
      <c r="X5" s="34">
        <f>X!$C7</f>
        <v>0</v>
      </c>
      <c r="Y5" s="181">
        <f>SUM(B5:X5)</f>
        <v>0</v>
      </c>
      <c r="Z5" s="181">
        <f>IF(B!B28="",0,B!$C$11+B!$C$8*B!C30)</f>
        <v>240</v>
      </c>
      <c r="AA5" s="181">
        <f>Y5-Z5</f>
        <v>-240</v>
      </c>
    </row>
    <row r="6" spans="1:27" ht="15.75">
      <c r="A6" s="193" t="str">
        <f>'C'!A8</f>
        <v>DON</v>
      </c>
      <c r="B6" s="34">
        <f>IF(B!C33=TRUE,14,0)</f>
        <v>0</v>
      </c>
      <c r="C6" s="34">
        <f>'C'!$C8</f>
        <v>0</v>
      </c>
      <c r="D6" s="34">
        <f>D!$C8</f>
        <v>0</v>
      </c>
      <c r="E6" s="34">
        <f>E!$C8</f>
        <v>0</v>
      </c>
      <c r="F6" s="34">
        <f>F!$C8</f>
        <v>0</v>
      </c>
      <c r="G6" s="34">
        <f>G!$C8</f>
        <v>0</v>
      </c>
      <c r="H6" s="34">
        <f>H!$C8</f>
        <v>0</v>
      </c>
      <c r="I6" s="34">
        <f>I!$C8</f>
        <v>0</v>
      </c>
      <c r="J6" s="34">
        <f>J!$C8</f>
        <v>0</v>
      </c>
      <c r="K6" s="34">
        <f>K!$C8</f>
        <v>0</v>
      </c>
      <c r="L6" s="34">
        <f>L!$C8</f>
        <v>0</v>
      </c>
      <c r="M6" s="34">
        <f>M!$C8</f>
        <v>0</v>
      </c>
      <c r="N6" s="34">
        <f>N!$C8</f>
        <v>0</v>
      </c>
      <c r="O6" s="34">
        <f>O!$C8</f>
        <v>0</v>
      </c>
      <c r="P6" s="34">
        <f>P!$C8</f>
        <v>0</v>
      </c>
      <c r="Q6" s="34">
        <f>Q!$C8</f>
        <v>0</v>
      </c>
      <c r="R6" s="34">
        <f>'R'!$C8</f>
        <v>0</v>
      </c>
      <c r="S6" s="34">
        <f>S!$C8</f>
        <v>0</v>
      </c>
      <c r="T6" s="34">
        <f>T!$C8</f>
        <v>0</v>
      </c>
      <c r="U6" s="34">
        <f>U!$C8</f>
        <v>0</v>
      </c>
      <c r="V6" s="34">
        <f>V!$C8</f>
        <v>0</v>
      </c>
      <c r="W6" s="34">
        <f>W!$C8</f>
        <v>0</v>
      </c>
      <c r="X6" s="34">
        <f>X!$C8</f>
        <v>0</v>
      </c>
      <c r="Y6" s="181">
        <f>SUM(B6:X6)</f>
        <v>0</v>
      </c>
      <c r="Z6" s="181">
        <f>IF(B!B33="",0,B!$C$11+B!$C$8*B!C35)</f>
        <v>240</v>
      </c>
      <c r="AA6" s="181">
        <f>Y6-Z6</f>
        <v>-240</v>
      </c>
    </row>
    <row r="7" spans="1:27" ht="16.5" thickBot="1">
      <c r="A7" s="193" t="str">
        <f>'C'!A9</f>
        <v>SAM</v>
      </c>
      <c r="B7" s="34">
        <f>IF(B!C38=TRUE,14,0)</f>
        <v>0</v>
      </c>
      <c r="C7" s="34">
        <f>'C'!$C9</f>
        <v>0</v>
      </c>
      <c r="D7" s="34">
        <f>D!$C9</f>
        <v>0</v>
      </c>
      <c r="E7" s="34">
        <f>E!$C9</f>
        <v>60</v>
      </c>
      <c r="F7" s="34">
        <f>F!$C9</f>
        <v>0</v>
      </c>
      <c r="G7" s="34">
        <f>G!$C9</f>
        <v>0</v>
      </c>
      <c r="H7" s="34">
        <f>H!$C9</f>
        <v>0</v>
      </c>
      <c r="I7" s="34">
        <f>I!$C9</f>
        <v>0</v>
      </c>
      <c r="J7" s="34">
        <f>J!$C9</f>
        <v>0</v>
      </c>
      <c r="K7" s="34">
        <f>K!$C9</f>
        <v>0</v>
      </c>
      <c r="L7" s="34">
        <f>L!$C9</f>
        <v>0</v>
      </c>
      <c r="M7" s="34">
        <f>M!$C9</f>
        <v>0</v>
      </c>
      <c r="N7" s="34">
        <f>N!$C9</f>
        <v>0</v>
      </c>
      <c r="O7" s="34">
        <f>O!$C9</f>
        <v>0</v>
      </c>
      <c r="P7" s="34">
        <f>P!$C9</f>
        <v>0</v>
      </c>
      <c r="Q7" s="34">
        <f>Q!$C9</f>
        <v>0</v>
      </c>
      <c r="R7" s="34">
        <f>'R'!$C9</f>
        <v>0</v>
      </c>
      <c r="S7" s="34">
        <f>S!$C9</f>
        <v>0</v>
      </c>
      <c r="T7" s="34">
        <f>T!$C9</f>
        <v>0</v>
      </c>
      <c r="U7" s="34">
        <f>U!$C9</f>
        <v>0</v>
      </c>
      <c r="V7" s="34">
        <f>V!$C9</f>
        <v>0</v>
      </c>
      <c r="W7" s="34">
        <f>W!$C9</f>
        <v>0</v>
      </c>
      <c r="X7" s="34">
        <f>X!$C9</f>
        <v>0</v>
      </c>
      <c r="Y7" s="184">
        <f>SUM(B7:X7)</f>
        <v>60</v>
      </c>
      <c r="Z7" s="181">
        <f>IF(B!B38="",0,B!$C$11+B!$C$8*B!C40)</f>
        <v>240</v>
      </c>
      <c r="AA7" s="181">
        <f>Y7-Z7</f>
        <v>-180</v>
      </c>
    </row>
    <row r="8" spans="1:27" ht="16.5" thickBot="1">
      <c r="A8" s="194" t="s">
        <v>200</v>
      </c>
      <c r="B8" s="36">
        <f t="shared" ref="B8:AA8" si="0">SUM(B3:B7)</f>
        <v>0</v>
      </c>
      <c r="C8" s="36">
        <f t="shared" si="0"/>
        <v>0</v>
      </c>
      <c r="D8" s="36">
        <f t="shared" si="0"/>
        <v>0</v>
      </c>
      <c r="E8" s="36">
        <f t="shared" si="0"/>
        <v>70</v>
      </c>
      <c r="F8" s="36">
        <f t="shared" si="0"/>
        <v>0</v>
      </c>
      <c r="G8" s="36">
        <f t="shared" si="0"/>
        <v>0</v>
      </c>
      <c r="H8" s="36">
        <f t="shared" si="0"/>
        <v>0</v>
      </c>
      <c r="I8" s="36">
        <f t="shared" si="0"/>
        <v>0</v>
      </c>
      <c r="J8" s="36">
        <f t="shared" si="0"/>
        <v>0</v>
      </c>
      <c r="K8" s="36">
        <f t="shared" si="0"/>
        <v>0</v>
      </c>
      <c r="L8" s="36">
        <f t="shared" si="0"/>
        <v>0</v>
      </c>
      <c r="M8" s="36">
        <f t="shared" si="0"/>
        <v>0</v>
      </c>
      <c r="N8" s="36">
        <f t="shared" si="0"/>
        <v>0</v>
      </c>
      <c r="O8" s="36">
        <f t="shared" si="0"/>
        <v>0</v>
      </c>
      <c r="P8" s="36">
        <f t="shared" si="0"/>
        <v>0</v>
      </c>
      <c r="Q8" s="36">
        <f t="shared" si="0"/>
        <v>0</v>
      </c>
      <c r="R8" s="36">
        <f t="shared" si="0"/>
        <v>0</v>
      </c>
      <c r="S8" s="36">
        <f t="shared" si="0"/>
        <v>0</v>
      </c>
      <c r="T8" s="36">
        <f t="shared" si="0"/>
        <v>0</v>
      </c>
      <c r="U8" s="36">
        <f t="shared" si="0"/>
        <v>0</v>
      </c>
      <c r="V8" s="36">
        <f t="shared" si="0"/>
        <v>0</v>
      </c>
      <c r="W8" s="36">
        <f t="shared" si="0"/>
        <v>0</v>
      </c>
      <c r="X8" s="37">
        <f t="shared" si="0"/>
        <v>0</v>
      </c>
      <c r="Y8" s="185">
        <f>SUM(Y3:Y7)</f>
        <v>70</v>
      </c>
      <c r="Z8" s="185">
        <f t="shared" si="0"/>
        <v>1200</v>
      </c>
      <c r="AA8" s="185">
        <f t="shared" si="0"/>
        <v>-1130</v>
      </c>
    </row>
    <row r="9" spans="1:27" ht="18">
      <c r="A9" s="179"/>
      <c r="B9" s="179"/>
      <c r="Y9" s="182" t="s">
        <v>97</v>
      </c>
      <c r="Z9" s="182" t="s">
        <v>97</v>
      </c>
      <c r="AA9" s="182" t="s">
        <v>97</v>
      </c>
    </row>
    <row r="10" spans="1:27" ht="18.75" thickBot="1">
      <c r="A10" s="178" t="str">
        <f>'C'!A17</f>
        <v>VLADIMIR POOLIN</v>
      </c>
      <c r="B10" s="178" t="s">
        <v>199</v>
      </c>
      <c r="C10" s="31" t="s">
        <v>75</v>
      </c>
      <c r="D10" s="31" t="s">
        <v>76</v>
      </c>
      <c r="E10" s="31" t="s">
        <v>77</v>
      </c>
      <c r="F10" s="31" t="s">
        <v>78</v>
      </c>
      <c r="G10" s="31" t="s">
        <v>79</v>
      </c>
      <c r="H10" s="31" t="s">
        <v>80</v>
      </c>
      <c r="I10" s="31" t="s">
        <v>81</v>
      </c>
      <c r="J10" s="31" t="s">
        <v>82</v>
      </c>
      <c r="K10" s="31" t="s">
        <v>83</v>
      </c>
      <c r="L10" s="31" t="s">
        <v>84</v>
      </c>
      <c r="M10" s="31" t="s">
        <v>85</v>
      </c>
      <c r="N10" s="31" t="s">
        <v>86</v>
      </c>
      <c r="O10" s="31" t="s">
        <v>87</v>
      </c>
      <c r="P10" s="31" t="s">
        <v>88</v>
      </c>
      <c r="Q10" s="31" t="s">
        <v>89</v>
      </c>
      <c r="R10" s="31" t="s">
        <v>90</v>
      </c>
      <c r="S10" s="31" t="s">
        <v>91</v>
      </c>
      <c r="T10" s="31" t="s">
        <v>92</v>
      </c>
      <c r="U10" s="31" t="s">
        <v>93</v>
      </c>
      <c r="V10" s="31" t="s">
        <v>94</v>
      </c>
      <c r="W10" s="31" t="s">
        <v>95</v>
      </c>
      <c r="X10" s="32" t="s">
        <v>96</v>
      </c>
      <c r="Y10" s="183" t="s">
        <v>139</v>
      </c>
      <c r="Z10" s="183" t="s">
        <v>201</v>
      </c>
      <c r="AA10" s="183" t="s">
        <v>202</v>
      </c>
    </row>
    <row r="11" spans="1:27" ht="15.75">
      <c r="A11" s="193" t="str">
        <f>'C'!A18</f>
        <v>LEIGH</v>
      </c>
      <c r="B11" s="34">
        <f>IF(B!C61=TRUE,14,0)</f>
        <v>0</v>
      </c>
      <c r="C11" s="34">
        <f>'C'!$C18</f>
        <v>0</v>
      </c>
      <c r="D11" s="34">
        <f>D!$C18</f>
        <v>0</v>
      </c>
      <c r="E11" s="34">
        <f>E!$C18</f>
        <v>20</v>
      </c>
      <c r="F11" s="34">
        <f>F!$C18</f>
        <v>0</v>
      </c>
      <c r="G11" s="34">
        <f>G!$C18</f>
        <v>0</v>
      </c>
      <c r="H11" s="34">
        <f>H!$C18</f>
        <v>0</v>
      </c>
      <c r="I11" s="34">
        <f>I!$C18</f>
        <v>0</v>
      </c>
      <c r="J11" s="34">
        <f>J!$C18</f>
        <v>0</v>
      </c>
      <c r="K11" s="34">
        <f>K!$C18</f>
        <v>0</v>
      </c>
      <c r="L11" s="34">
        <f>L!$C18</f>
        <v>0</v>
      </c>
      <c r="M11" s="34">
        <f>M!$C18</f>
        <v>0</v>
      </c>
      <c r="N11" s="34">
        <f>N!$C18</f>
        <v>0</v>
      </c>
      <c r="O11" s="34">
        <f>O!$C18</f>
        <v>0</v>
      </c>
      <c r="P11" s="34">
        <f>P!$C18</f>
        <v>0</v>
      </c>
      <c r="Q11" s="34">
        <f>Q!$C18</f>
        <v>0</v>
      </c>
      <c r="R11" s="34">
        <f>'R'!$C18</f>
        <v>0</v>
      </c>
      <c r="S11" s="34">
        <f>S!$C18</f>
        <v>0</v>
      </c>
      <c r="T11" s="34">
        <f>T!$C18</f>
        <v>0</v>
      </c>
      <c r="U11" s="34">
        <f>U!$C18</f>
        <v>0</v>
      </c>
      <c r="V11" s="34">
        <f>V!$C18</f>
        <v>0</v>
      </c>
      <c r="W11" s="34">
        <f>W!$C18</f>
        <v>0</v>
      </c>
      <c r="X11" s="34">
        <f>X!$C18</f>
        <v>0</v>
      </c>
      <c r="Y11" s="181">
        <f>SUM(B11:X11)</f>
        <v>20</v>
      </c>
      <c r="Z11" s="181">
        <f>IF(B!B61="",0,B!$C$11+B!$C$8*B!C63)</f>
        <v>240</v>
      </c>
      <c r="AA11" s="181">
        <f>Y11-Z11</f>
        <v>-220</v>
      </c>
    </row>
    <row r="12" spans="1:27" ht="15.75">
      <c r="A12" s="193" t="str">
        <f>'C'!A19</f>
        <v>IAN</v>
      </c>
      <c r="B12" s="34">
        <f>IF(B!C66=TRUE,14,0)</f>
        <v>0</v>
      </c>
      <c r="C12" s="34">
        <f>'C'!$C19</f>
        <v>0</v>
      </c>
      <c r="D12" s="34">
        <f>D!$C19</f>
        <v>0</v>
      </c>
      <c r="E12" s="34">
        <f>E!$C19</f>
        <v>0</v>
      </c>
      <c r="F12" s="34">
        <f>F!$C19</f>
        <v>0</v>
      </c>
      <c r="G12" s="34">
        <f>G!$C19</f>
        <v>0</v>
      </c>
      <c r="H12" s="34">
        <f>H!$C19</f>
        <v>0</v>
      </c>
      <c r="I12" s="34">
        <f>I!$C19</f>
        <v>0</v>
      </c>
      <c r="J12" s="34">
        <f>J!$C19</f>
        <v>0</v>
      </c>
      <c r="K12" s="34">
        <f>K!$C19</f>
        <v>0</v>
      </c>
      <c r="L12" s="34">
        <f>L!$C19</f>
        <v>0</v>
      </c>
      <c r="M12" s="34">
        <f>M!$C19</f>
        <v>0</v>
      </c>
      <c r="N12" s="34">
        <f>N!$C19</f>
        <v>0</v>
      </c>
      <c r="O12" s="34">
        <f>O!$C19</f>
        <v>0</v>
      </c>
      <c r="P12" s="34">
        <f>P!$C19</f>
        <v>0</v>
      </c>
      <c r="Q12" s="34">
        <f>Q!$C19</f>
        <v>0</v>
      </c>
      <c r="R12" s="34">
        <f>'R'!$C19</f>
        <v>0</v>
      </c>
      <c r="S12" s="34">
        <f>S!$C19</f>
        <v>0</v>
      </c>
      <c r="T12" s="34">
        <f>T!$C19</f>
        <v>0</v>
      </c>
      <c r="U12" s="34">
        <f>U!$C19</f>
        <v>0</v>
      </c>
      <c r="V12" s="34">
        <f>V!$C19</f>
        <v>0</v>
      </c>
      <c r="W12" s="34">
        <f>W!$C19</f>
        <v>0</v>
      </c>
      <c r="X12" s="34">
        <f>X!$C19</f>
        <v>0</v>
      </c>
      <c r="Y12" s="181">
        <f>SUM(B12:X12)</f>
        <v>0</v>
      </c>
      <c r="Z12" s="181">
        <f>IF(B!B66="",0,B!$C$11+B!$C$8*B!C68)</f>
        <v>240</v>
      </c>
      <c r="AA12" s="181">
        <f>Y12-Z12</f>
        <v>-240</v>
      </c>
    </row>
    <row r="13" spans="1:27" ht="15.75">
      <c r="A13" s="193" t="str">
        <f>'C'!A20</f>
        <v>ELI</v>
      </c>
      <c r="B13" s="34">
        <f>IF(B!C71=TRUE,14,0)</f>
        <v>0</v>
      </c>
      <c r="C13" s="34">
        <f>'C'!$C20</f>
        <v>0</v>
      </c>
      <c r="D13" s="34">
        <f>D!$C20</f>
        <v>0</v>
      </c>
      <c r="E13" s="34">
        <f>E!$C20</f>
        <v>0</v>
      </c>
      <c r="F13" s="34">
        <f>F!$C20</f>
        <v>0</v>
      </c>
      <c r="G13" s="34">
        <f>G!$C20</f>
        <v>0</v>
      </c>
      <c r="H13" s="34">
        <f>H!$C20</f>
        <v>0</v>
      </c>
      <c r="I13" s="34">
        <f>I!$C20</f>
        <v>0</v>
      </c>
      <c r="J13" s="34">
        <f>J!$C20</f>
        <v>0</v>
      </c>
      <c r="K13" s="34">
        <f>K!$C20</f>
        <v>0</v>
      </c>
      <c r="L13" s="34">
        <f>L!$C20</f>
        <v>0</v>
      </c>
      <c r="M13" s="34">
        <f>M!$C20</f>
        <v>0</v>
      </c>
      <c r="N13" s="34">
        <f>N!$C20</f>
        <v>0</v>
      </c>
      <c r="O13" s="34">
        <f>O!$C20</f>
        <v>0</v>
      </c>
      <c r="P13" s="34">
        <f>P!$C20</f>
        <v>0</v>
      </c>
      <c r="Q13" s="34">
        <f>Q!$C20</f>
        <v>0</v>
      </c>
      <c r="R13" s="34">
        <f>'R'!$C20</f>
        <v>0</v>
      </c>
      <c r="S13" s="34">
        <f>S!$C20</f>
        <v>0</v>
      </c>
      <c r="T13" s="34">
        <f>T!$C20</f>
        <v>0</v>
      </c>
      <c r="U13" s="34">
        <f>U!$C20</f>
        <v>0</v>
      </c>
      <c r="V13" s="34">
        <f>V!$C20</f>
        <v>0</v>
      </c>
      <c r="W13" s="34">
        <f>W!$C20</f>
        <v>0</v>
      </c>
      <c r="X13" s="34">
        <f>X!$C20</f>
        <v>0</v>
      </c>
      <c r="Y13" s="181">
        <f>SUM(B13:X13)</f>
        <v>0</v>
      </c>
      <c r="Z13" s="181">
        <f>IF(B!B71="",0,B!$C$11+B!$C$8*B!C73)</f>
        <v>240</v>
      </c>
      <c r="AA13" s="181">
        <f>Y13-Z13</f>
        <v>-240</v>
      </c>
    </row>
    <row r="14" spans="1:27" ht="15.75">
      <c r="A14" s="193" t="str">
        <f>'C'!A21</f>
        <v>COLE</v>
      </c>
      <c r="B14" s="34">
        <f>IF(B!C76=TRUE,14,0)</f>
        <v>0</v>
      </c>
      <c r="C14" s="34">
        <f>'C'!$C21</f>
        <v>0</v>
      </c>
      <c r="D14" s="34">
        <f>D!$C21</f>
        <v>0</v>
      </c>
      <c r="E14" s="34">
        <f>E!$C21</f>
        <v>0</v>
      </c>
      <c r="F14" s="34">
        <f>F!$C21</f>
        <v>0</v>
      </c>
      <c r="G14" s="34">
        <f>G!$C21</f>
        <v>0</v>
      </c>
      <c r="H14" s="34">
        <f>H!$C21</f>
        <v>0</v>
      </c>
      <c r="I14" s="34">
        <f>I!$C21</f>
        <v>0</v>
      </c>
      <c r="J14" s="34">
        <f>J!$C21</f>
        <v>0</v>
      </c>
      <c r="K14" s="34">
        <f>K!$C21</f>
        <v>0</v>
      </c>
      <c r="L14" s="34">
        <f>L!$C21</f>
        <v>0</v>
      </c>
      <c r="M14" s="34">
        <f>M!$C21</f>
        <v>0</v>
      </c>
      <c r="N14" s="34">
        <f>N!$C21</f>
        <v>0</v>
      </c>
      <c r="O14" s="34">
        <f>O!$C21</f>
        <v>0</v>
      </c>
      <c r="P14" s="34">
        <f>P!$C21</f>
        <v>0</v>
      </c>
      <c r="Q14" s="34">
        <f>Q!$C21</f>
        <v>0</v>
      </c>
      <c r="R14" s="34">
        <f>'R'!$C21</f>
        <v>0</v>
      </c>
      <c r="S14" s="34">
        <f>S!$C21</f>
        <v>0</v>
      </c>
      <c r="T14" s="34">
        <f>T!$C21</f>
        <v>0</v>
      </c>
      <c r="U14" s="34">
        <f>U!$C21</f>
        <v>0</v>
      </c>
      <c r="V14" s="34">
        <f>V!$C21</f>
        <v>0</v>
      </c>
      <c r="W14" s="34">
        <f>W!$C21</f>
        <v>0</v>
      </c>
      <c r="X14" s="34">
        <f>X!$C21</f>
        <v>0</v>
      </c>
      <c r="Y14" s="181">
        <f>SUM(B14:X14)</f>
        <v>0</v>
      </c>
      <c r="Z14" s="181">
        <f>IF(B!B76="",0,B!$C$11+B!$C$8*B!C78)</f>
        <v>240</v>
      </c>
      <c r="AA14" s="181">
        <f>Y14-Z14</f>
        <v>-240</v>
      </c>
    </row>
    <row r="15" spans="1:27" ht="16.5" thickBot="1">
      <c r="A15" s="193" t="str">
        <f>'C'!A22</f>
        <v>JAMES</v>
      </c>
      <c r="B15" s="34">
        <f>IF(B!C81=TRUE,14,0)</f>
        <v>0</v>
      </c>
      <c r="C15" s="34">
        <f>'C'!$C22</f>
        <v>0</v>
      </c>
      <c r="D15" s="34">
        <f>D!$C22</f>
        <v>0</v>
      </c>
      <c r="E15" s="34">
        <f>E!$C22</f>
        <v>0</v>
      </c>
      <c r="F15" s="34">
        <f>F!$C22</f>
        <v>0</v>
      </c>
      <c r="G15" s="34">
        <f>G!$C22</f>
        <v>0</v>
      </c>
      <c r="H15" s="34">
        <f>H!$C22</f>
        <v>0</v>
      </c>
      <c r="I15" s="34">
        <f>I!$C22</f>
        <v>0</v>
      </c>
      <c r="J15" s="34">
        <f>J!$C22</f>
        <v>0</v>
      </c>
      <c r="K15" s="34">
        <f>K!$C22</f>
        <v>0</v>
      </c>
      <c r="L15" s="34">
        <f>L!$C22</f>
        <v>0</v>
      </c>
      <c r="M15" s="34">
        <f>M!$C22</f>
        <v>0</v>
      </c>
      <c r="N15" s="34">
        <f>N!$C22</f>
        <v>0</v>
      </c>
      <c r="O15" s="34">
        <f>O!$C22</f>
        <v>0</v>
      </c>
      <c r="P15" s="34">
        <f>P!$C22</f>
        <v>0</v>
      </c>
      <c r="Q15" s="34">
        <f>Q!$C22</f>
        <v>0</v>
      </c>
      <c r="R15" s="34">
        <f>'R'!$C22</f>
        <v>0</v>
      </c>
      <c r="S15" s="34">
        <f>S!$C22</f>
        <v>0</v>
      </c>
      <c r="T15" s="34">
        <f>T!$C22</f>
        <v>0</v>
      </c>
      <c r="U15" s="34">
        <f>U!$C22</f>
        <v>0</v>
      </c>
      <c r="V15" s="34">
        <f>V!$C22</f>
        <v>0</v>
      </c>
      <c r="W15" s="34">
        <f>W!$C22</f>
        <v>0</v>
      </c>
      <c r="X15" s="34">
        <f>X!$C22</f>
        <v>0</v>
      </c>
      <c r="Y15" s="181">
        <f>SUM(B15:X15)</f>
        <v>0</v>
      </c>
      <c r="Z15" s="181">
        <f>IF(B!B81="",0,B!$C$11+B!$C$8*B!C83)</f>
        <v>240</v>
      </c>
      <c r="AA15" s="181">
        <f>Y15-Z15</f>
        <v>-240</v>
      </c>
    </row>
    <row r="16" spans="1:27" ht="16.5" thickBot="1">
      <c r="A16" s="194" t="s">
        <v>200</v>
      </c>
      <c r="B16" s="36">
        <f t="shared" ref="B16:AA16" si="1">SUM(B11:B15)</f>
        <v>0</v>
      </c>
      <c r="C16" s="36">
        <f t="shared" si="1"/>
        <v>0</v>
      </c>
      <c r="D16" s="36">
        <f t="shared" si="1"/>
        <v>0</v>
      </c>
      <c r="E16" s="36">
        <f t="shared" si="1"/>
        <v>20</v>
      </c>
      <c r="F16" s="36">
        <f t="shared" si="1"/>
        <v>0</v>
      </c>
      <c r="G16" s="36">
        <f t="shared" si="1"/>
        <v>0</v>
      </c>
      <c r="H16" s="36">
        <f t="shared" si="1"/>
        <v>0</v>
      </c>
      <c r="I16" s="36">
        <f t="shared" si="1"/>
        <v>0</v>
      </c>
      <c r="J16" s="36">
        <f t="shared" si="1"/>
        <v>0</v>
      </c>
      <c r="K16" s="36">
        <f t="shared" si="1"/>
        <v>0</v>
      </c>
      <c r="L16" s="36">
        <f t="shared" si="1"/>
        <v>0</v>
      </c>
      <c r="M16" s="36">
        <f t="shared" si="1"/>
        <v>0</v>
      </c>
      <c r="N16" s="36">
        <f t="shared" si="1"/>
        <v>0</v>
      </c>
      <c r="O16" s="36">
        <f t="shared" si="1"/>
        <v>0</v>
      </c>
      <c r="P16" s="36">
        <f t="shared" si="1"/>
        <v>0</v>
      </c>
      <c r="Q16" s="36">
        <f t="shared" si="1"/>
        <v>0</v>
      </c>
      <c r="R16" s="36">
        <f t="shared" si="1"/>
        <v>0</v>
      </c>
      <c r="S16" s="36">
        <f t="shared" si="1"/>
        <v>0</v>
      </c>
      <c r="T16" s="36">
        <f t="shared" si="1"/>
        <v>0</v>
      </c>
      <c r="U16" s="36">
        <f t="shared" si="1"/>
        <v>0</v>
      </c>
      <c r="V16" s="36">
        <f t="shared" si="1"/>
        <v>0</v>
      </c>
      <c r="W16" s="36">
        <f t="shared" si="1"/>
        <v>0</v>
      </c>
      <c r="X16" s="37">
        <f t="shared" si="1"/>
        <v>0</v>
      </c>
      <c r="Y16" s="185">
        <f>SUM(Y11:Y15)</f>
        <v>20</v>
      </c>
      <c r="Z16" s="185">
        <f t="shared" si="1"/>
        <v>1200</v>
      </c>
      <c r="AA16" s="185">
        <f t="shared" si="1"/>
        <v>-1180</v>
      </c>
    </row>
    <row r="17" spans="1:27" ht="18">
      <c r="A17" s="179"/>
      <c r="B17" s="179"/>
      <c r="Y17" s="182" t="s">
        <v>97</v>
      </c>
      <c r="Z17" s="182" t="s">
        <v>97</v>
      </c>
      <c r="AA17" s="182" t="s">
        <v>97</v>
      </c>
    </row>
    <row r="18" spans="1:27" ht="18.75" thickBot="1">
      <c r="A18" s="178" t="str">
        <f>'C'!A30</f>
        <v>RACK PACK</v>
      </c>
      <c r="B18" s="178" t="s">
        <v>199</v>
      </c>
      <c r="C18" s="31" t="s">
        <v>75</v>
      </c>
      <c r="D18" s="31" t="s">
        <v>76</v>
      </c>
      <c r="E18" s="31" t="s">
        <v>77</v>
      </c>
      <c r="F18" s="31" t="s">
        <v>78</v>
      </c>
      <c r="G18" s="31" t="s">
        <v>79</v>
      </c>
      <c r="H18" s="31" t="s">
        <v>80</v>
      </c>
      <c r="I18" s="31" t="s">
        <v>81</v>
      </c>
      <c r="J18" s="31" t="s">
        <v>82</v>
      </c>
      <c r="K18" s="31" t="s">
        <v>83</v>
      </c>
      <c r="L18" s="31" t="s">
        <v>84</v>
      </c>
      <c r="M18" s="31" t="s">
        <v>85</v>
      </c>
      <c r="N18" s="31" t="s">
        <v>86</v>
      </c>
      <c r="O18" s="31" t="s">
        <v>87</v>
      </c>
      <c r="P18" s="31" t="s">
        <v>88</v>
      </c>
      <c r="Q18" s="31" t="s">
        <v>89</v>
      </c>
      <c r="R18" s="31" t="s">
        <v>90</v>
      </c>
      <c r="S18" s="31" t="s">
        <v>91</v>
      </c>
      <c r="T18" s="31" t="s">
        <v>92</v>
      </c>
      <c r="U18" s="31" t="s">
        <v>93</v>
      </c>
      <c r="V18" s="31" t="s">
        <v>94</v>
      </c>
      <c r="W18" s="31" t="s">
        <v>95</v>
      </c>
      <c r="X18" s="32" t="s">
        <v>96</v>
      </c>
      <c r="Y18" s="183" t="s">
        <v>139</v>
      </c>
      <c r="Z18" s="183" t="s">
        <v>201</v>
      </c>
      <c r="AA18" s="183" t="s">
        <v>202</v>
      </c>
    </row>
    <row r="19" spans="1:27" ht="15.75">
      <c r="A19" s="193" t="str">
        <f>'C'!A31</f>
        <v>BRENNEN</v>
      </c>
      <c r="B19" s="34">
        <f>IF(B!C104=TRUE,14,0)</f>
        <v>0</v>
      </c>
      <c r="C19" s="34">
        <f>'C'!$C31</f>
        <v>0</v>
      </c>
      <c r="D19" s="34">
        <f>D!$C31</f>
        <v>10</v>
      </c>
      <c r="E19" s="34">
        <f>E!$C31</f>
        <v>0</v>
      </c>
      <c r="F19" s="34">
        <f>F!$C31</f>
        <v>0</v>
      </c>
      <c r="G19" s="34">
        <f>G!$C31</f>
        <v>0</v>
      </c>
      <c r="H19" s="34">
        <f>H!$C31</f>
        <v>0</v>
      </c>
      <c r="I19" s="34">
        <f>I!$C31</f>
        <v>0</v>
      </c>
      <c r="J19" s="34">
        <f>J!$C31</f>
        <v>0</v>
      </c>
      <c r="K19" s="34">
        <f>K!$C31</f>
        <v>0</v>
      </c>
      <c r="L19" s="34">
        <f>L!$C31</f>
        <v>0</v>
      </c>
      <c r="M19" s="34">
        <f>M!$C31</f>
        <v>0</v>
      </c>
      <c r="N19" s="34">
        <f>N!$C31</f>
        <v>0</v>
      </c>
      <c r="O19" s="34">
        <f>O!$C31</f>
        <v>0</v>
      </c>
      <c r="P19" s="34">
        <f>P!$C31</f>
        <v>0</v>
      </c>
      <c r="Q19" s="34">
        <f>Q!$C31</f>
        <v>0</v>
      </c>
      <c r="R19" s="34">
        <f>'R'!$C31</f>
        <v>0</v>
      </c>
      <c r="S19" s="34">
        <f>S!$C31</f>
        <v>0</v>
      </c>
      <c r="T19" s="34">
        <f>T!$C31</f>
        <v>0</v>
      </c>
      <c r="U19" s="34">
        <f>U!$C31</f>
        <v>0</v>
      </c>
      <c r="V19" s="34">
        <f>V!$C31</f>
        <v>0</v>
      </c>
      <c r="W19" s="34">
        <f>W!$C31</f>
        <v>0</v>
      </c>
      <c r="X19" s="34">
        <f>X!$C31</f>
        <v>0</v>
      </c>
      <c r="Y19" s="181">
        <f>SUM(B19:X19)</f>
        <v>10</v>
      </c>
      <c r="Z19" s="181">
        <f>IF(B!B104="",0,B!$C$11+B!$C$8*B!C106)</f>
        <v>240</v>
      </c>
      <c r="AA19" s="181">
        <f>Y19-Z19</f>
        <v>-230</v>
      </c>
    </row>
    <row r="20" spans="1:27" ht="15.75">
      <c r="A20" s="193" t="str">
        <f>'C'!A32</f>
        <v>NICK</v>
      </c>
      <c r="B20" s="34">
        <f>IF(B!C109=TRUE,14,0)</f>
        <v>0</v>
      </c>
      <c r="C20" s="34">
        <f>'C'!$C32</f>
        <v>0</v>
      </c>
      <c r="D20" s="34">
        <f>D!$C32</f>
        <v>0</v>
      </c>
      <c r="E20" s="34">
        <f>E!$C32</f>
        <v>0</v>
      </c>
      <c r="F20" s="34">
        <f>F!$C32</f>
        <v>0</v>
      </c>
      <c r="G20" s="34">
        <f>G!$C32</f>
        <v>0</v>
      </c>
      <c r="H20" s="34">
        <f>H!$C32</f>
        <v>0</v>
      </c>
      <c r="I20" s="34">
        <f>I!$C32</f>
        <v>0</v>
      </c>
      <c r="J20" s="34">
        <f>J!$C32</f>
        <v>0</v>
      </c>
      <c r="K20" s="34">
        <f>K!$C32</f>
        <v>0</v>
      </c>
      <c r="L20" s="34">
        <f>L!$C32</f>
        <v>0</v>
      </c>
      <c r="M20" s="34">
        <f>M!$C32</f>
        <v>0</v>
      </c>
      <c r="N20" s="34">
        <f>N!$C32</f>
        <v>0</v>
      </c>
      <c r="O20" s="34">
        <f>O!$C32</f>
        <v>0</v>
      </c>
      <c r="P20" s="34">
        <f>P!$C32</f>
        <v>0</v>
      </c>
      <c r="Q20" s="34">
        <f>Q!$C32</f>
        <v>0</v>
      </c>
      <c r="R20" s="34">
        <f>'R'!$C32</f>
        <v>0</v>
      </c>
      <c r="S20" s="34">
        <f>S!$C32</f>
        <v>0</v>
      </c>
      <c r="T20" s="34">
        <f>T!$C32</f>
        <v>0</v>
      </c>
      <c r="U20" s="34">
        <f>U!$C32</f>
        <v>0</v>
      </c>
      <c r="V20" s="34">
        <f>V!$C32</f>
        <v>0</v>
      </c>
      <c r="W20" s="34">
        <f>W!$C32</f>
        <v>0</v>
      </c>
      <c r="X20" s="34">
        <f>X!$C32</f>
        <v>0</v>
      </c>
      <c r="Y20" s="181">
        <f>SUM(B20:X20)</f>
        <v>0</v>
      </c>
      <c r="Z20" s="181">
        <f>IF(B!B109="",0,B!$C$11+B!$C$8*B!C111)</f>
        <v>240</v>
      </c>
      <c r="AA20" s="181">
        <f>Y20-Z20</f>
        <v>-240</v>
      </c>
    </row>
    <row r="21" spans="1:27" ht="15.75">
      <c r="A21" s="193" t="str">
        <f>'C'!A33</f>
        <v>IAN</v>
      </c>
      <c r="B21" s="34">
        <f>IF(B!C114=TRUE,14,0)</f>
        <v>0</v>
      </c>
      <c r="C21" s="34">
        <f>'C'!$C33</f>
        <v>0</v>
      </c>
      <c r="D21" s="34">
        <f>D!$C33</f>
        <v>0</v>
      </c>
      <c r="E21" s="34">
        <f>E!$C33</f>
        <v>0</v>
      </c>
      <c r="F21" s="34">
        <f>F!$C33</f>
        <v>0</v>
      </c>
      <c r="G21" s="34">
        <f>G!$C33</f>
        <v>0</v>
      </c>
      <c r="H21" s="34">
        <f>H!$C33</f>
        <v>0</v>
      </c>
      <c r="I21" s="34">
        <f>I!$C33</f>
        <v>0</v>
      </c>
      <c r="J21" s="34">
        <f>J!$C33</f>
        <v>0</v>
      </c>
      <c r="K21" s="34">
        <f>K!$C33</f>
        <v>0</v>
      </c>
      <c r="L21" s="34">
        <f>L!$C33</f>
        <v>0</v>
      </c>
      <c r="M21" s="34">
        <f>M!$C33</f>
        <v>0</v>
      </c>
      <c r="N21" s="34">
        <f>N!$C33</f>
        <v>0</v>
      </c>
      <c r="O21" s="34">
        <f>O!$C33</f>
        <v>0</v>
      </c>
      <c r="P21" s="34">
        <f>P!$C33</f>
        <v>0</v>
      </c>
      <c r="Q21" s="34">
        <f>Q!$C33</f>
        <v>0</v>
      </c>
      <c r="R21" s="34">
        <f>'R'!$C33</f>
        <v>0</v>
      </c>
      <c r="S21" s="34">
        <f>S!$C33</f>
        <v>0</v>
      </c>
      <c r="T21" s="34">
        <f>T!$C33</f>
        <v>0</v>
      </c>
      <c r="U21" s="34">
        <f>U!$C33</f>
        <v>0</v>
      </c>
      <c r="V21" s="34">
        <f>V!$C33</f>
        <v>0</v>
      </c>
      <c r="W21" s="34">
        <f>W!$C33</f>
        <v>0</v>
      </c>
      <c r="X21" s="34">
        <f>X!$C33</f>
        <v>0</v>
      </c>
      <c r="Y21" s="181">
        <f>SUM(B21:X21)</f>
        <v>0</v>
      </c>
      <c r="Z21" s="181">
        <f>IF(B!B114="",0,B!$C$11+B!$C$8*B!C116)</f>
        <v>240</v>
      </c>
      <c r="AA21" s="181">
        <f>Y21-Z21</f>
        <v>-240</v>
      </c>
    </row>
    <row r="22" spans="1:27" ht="15.75">
      <c r="A22" s="193" t="str">
        <f>'C'!A34</f>
        <v>SCOTT</v>
      </c>
      <c r="B22" s="34">
        <f>IF(B!C119=TRUE,14,0)</f>
        <v>0</v>
      </c>
      <c r="C22" s="34">
        <f>'C'!$C34</f>
        <v>0</v>
      </c>
      <c r="D22" s="34">
        <f>D!$C34</f>
        <v>10</v>
      </c>
      <c r="E22" s="34">
        <f>E!$C34</f>
        <v>5</v>
      </c>
      <c r="F22" s="34">
        <f>F!$C34</f>
        <v>5</v>
      </c>
      <c r="G22" s="34">
        <f>G!$C34</f>
        <v>0</v>
      </c>
      <c r="H22" s="34">
        <f>H!$C34</f>
        <v>0</v>
      </c>
      <c r="I22" s="34">
        <f>I!$C34</f>
        <v>0</v>
      </c>
      <c r="J22" s="34">
        <f>J!$C34</f>
        <v>0</v>
      </c>
      <c r="K22" s="34">
        <f>K!$C34</f>
        <v>0</v>
      </c>
      <c r="L22" s="34">
        <f>L!$C34</f>
        <v>0</v>
      </c>
      <c r="M22" s="34">
        <f>M!$C34</f>
        <v>0</v>
      </c>
      <c r="N22" s="34">
        <f>N!$C34</f>
        <v>0</v>
      </c>
      <c r="O22" s="34">
        <f>O!$C34</f>
        <v>0</v>
      </c>
      <c r="P22" s="34">
        <f>P!$C34</f>
        <v>0</v>
      </c>
      <c r="Q22" s="34">
        <f>Q!$C34</f>
        <v>0</v>
      </c>
      <c r="R22" s="34">
        <f>'R'!$C34</f>
        <v>0</v>
      </c>
      <c r="S22" s="34">
        <f>S!$C34</f>
        <v>0</v>
      </c>
      <c r="T22" s="34">
        <f>T!$C34</f>
        <v>0</v>
      </c>
      <c r="U22" s="34">
        <f>U!$C34</f>
        <v>0</v>
      </c>
      <c r="V22" s="34">
        <f>V!$C34</f>
        <v>0</v>
      </c>
      <c r="W22" s="34">
        <f>W!$C34</f>
        <v>0</v>
      </c>
      <c r="X22" s="34">
        <f>X!$C34</f>
        <v>0</v>
      </c>
      <c r="Y22" s="181">
        <f>SUM(B22:X22)</f>
        <v>20</v>
      </c>
      <c r="Z22" s="181">
        <f>IF(B!B119="",0,B!$C$11+B!$C$8*B!C121)</f>
        <v>240</v>
      </c>
      <c r="AA22" s="181">
        <f>Y22-Z22</f>
        <v>-220</v>
      </c>
    </row>
    <row r="23" spans="1:27" ht="16.5" thickBot="1">
      <c r="A23" s="193" t="str">
        <f>'C'!A35</f>
        <v>TIM</v>
      </c>
      <c r="B23" s="34">
        <f>IF(B!C124=TRUE,14,0)</f>
        <v>0</v>
      </c>
      <c r="C23" s="34">
        <f>'C'!$C35</f>
        <v>0</v>
      </c>
      <c r="D23" s="34">
        <f>D!$C35</f>
        <v>0</v>
      </c>
      <c r="E23" s="34">
        <f>E!$C35</f>
        <v>0</v>
      </c>
      <c r="F23" s="34">
        <f>F!$C35</f>
        <v>0</v>
      </c>
      <c r="G23" s="34">
        <f>G!$C35</f>
        <v>0</v>
      </c>
      <c r="H23" s="34">
        <f>H!$C35</f>
        <v>0</v>
      </c>
      <c r="I23" s="34">
        <f>I!$C35</f>
        <v>0</v>
      </c>
      <c r="J23" s="34">
        <f>J!$C35</f>
        <v>0</v>
      </c>
      <c r="K23" s="34">
        <f>K!$C35</f>
        <v>0</v>
      </c>
      <c r="L23" s="34">
        <f>L!$C35</f>
        <v>0</v>
      </c>
      <c r="M23" s="34">
        <f>M!$C35</f>
        <v>0</v>
      </c>
      <c r="N23" s="34">
        <f>N!$C35</f>
        <v>0</v>
      </c>
      <c r="O23" s="34">
        <f>O!$C35</f>
        <v>0</v>
      </c>
      <c r="P23" s="34">
        <f>P!$C35</f>
        <v>0</v>
      </c>
      <c r="Q23" s="34">
        <f>Q!$C35</f>
        <v>0</v>
      </c>
      <c r="R23" s="34">
        <f>'R'!$C35</f>
        <v>0</v>
      </c>
      <c r="S23" s="34">
        <f>S!$C35</f>
        <v>0</v>
      </c>
      <c r="T23" s="34">
        <f>T!$C35</f>
        <v>0</v>
      </c>
      <c r="U23" s="34">
        <f>U!$C35</f>
        <v>0</v>
      </c>
      <c r="V23" s="34">
        <f>V!$C35</f>
        <v>0</v>
      </c>
      <c r="W23" s="34">
        <f>W!$C35</f>
        <v>0</v>
      </c>
      <c r="X23" s="34">
        <f>X!$C35</f>
        <v>0</v>
      </c>
      <c r="Y23" s="181">
        <f>SUM(B23:X23)</f>
        <v>0</v>
      </c>
      <c r="Z23" s="181">
        <f>IF(B!B124="",0,B!$C$11+B!$C$8*B!C126)</f>
        <v>240</v>
      </c>
      <c r="AA23" s="181">
        <f>Y23-Z23</f>
        <v>-240</v>
      </c>
    </row>
    <row r="24" spans="1:27" ht="16.5" thickBot="1">
      <c r="A24" s="194" t="s">
        <v>200</v>
      </c>
      <c r="B24" s="36">
        <f t="shared" ref="B24:AA24" si="2">SUM(B19:B23)</f>
        <v>0</v>
      </c>
      <c r="C24" s="36">
        <f t="shared" si="2"/>
        <v>0</v>
      </c>
      <c r="D24" s="36">
        <f t="shared" si="2"/>
        <v>20</v>
      </c>
      <c r="E24" s="36">
        <f t="shared" si="2"/>
        <v>5</v>
      </c>
      <c r="F24" s="36">
        <f t="shared" si="2"/>
        <v>5</v>
      </c>
      <c r="G24" s="36">
        <f t="shared" si="2"/>
        <v>0</v>
      </c>
      <c r="H24" s="36">
        <f t="shared" si="2"/>
        <v>0</v>
      </c>
      <c r="I24" s="36">
        <f t="shared" si="2"/>
        <v>0</v>
      </c>
      <c r="J24" s="36">
        <f t="shared" si="2"/>
        <v>0</v>
      </c>
      <c r="K24" s="36">
        <f t="shared" si="2"/>
        <v>0</v>
      </c>
      <c r="L24" s="36">
        <f t="shared" si="2"/>
        <v>0</v>
      </c>
      <c r="M24" s="36">
        <f t="shared" si="2"/>
        <v>0</v>
      </c>
      <c r="N24" s="36">
        <f t="shared" si="2"/>
        <v>0</v>
      </c>
      <c r="O24" s="36">
        <f t="shared" si="2"/>
        <v>0</v>
      </c>
      <c r="P24" s="36">
        <f t="shared" si="2"/>
        <v>0</v>
      </c>
      <c r="Q24" s="36">
        <f t="shared" si="2"/>
        <v>0</v>
      </c>
      <c r="R24" s="36">
        <f t="shared" si="2"/>
        <v>0</v>
      </c>
      <c r="S24" s="36">
        <f t="shared" si="2"/>
        <v>0</v>
      </c>
      <c r="T24" s="36">
        <f t="shared" si="2"/>
        <v>0</v>
      </c>
      <c r="U24" s="36">
        <f t="shared" si="2"/>
        <v>0</v>
      </c>
      <c r="V24" s="36">
        <f t="shared" si="2"/>
        <v>0</v>
      </c>
      <c r="W24" s="36">
        <f t="shared" si="2"/>
        <v>0</v>
      </c>
      <c r="X24" s="37">
        <f t="shared" si="2"/>
        <v>0</v>
      </c>
      <c r="Y24" s="185">
        <f>SUM(Y19:Y23)</f>
        <v>30</v>
      </c>
      <c r="Z24" s="185">
        <f t="shared" si="2"/>
        <v>1200</v>
      </c>
      <c r="AA24" s="185">
        <f t="shared" si="2"/>
        <v>-1170</v>
      </c>
    </row>
    <row r="25" spans="1:27" ht="18">
      <c r="A25" s="179"/>
      <c r="B25" s="179"/>
      <c r="Y25" s="182" t="s">
        <v>97</v>
      </c>
      <c r="Z25" s="182" t="s">
        <v>97</v>
      </c>
      <c r="AA25" s="182" t="s">
        <v>97</v>
      </c>
    </row>
    <row r="26" spans="1:27" ht="18.75" thickBot="1">
      <c r="A26" s="178" t="str">
        <f>'C'!A43</f>
        <v>HOT WHEELS</v>
      </c>
      <c r="B26" s="178" t="s">
        <v>199</v>
      </c>
      <c r="C26" s="31" t="s">
        <v>75</v>
      </c>
      <c r="D26" s="31" t="s">
        <v>76</v>
      </c>
      <c r="E26" s="31" t="s">
        <v>77</v>
      </c>
      <c r="F26" s="31" t="s">
        <v>78</v>
      </c>
      <c r="G26" s="31" t="s">
        <v>79</v>
      </c>
      <c r="H26" s="31" t="s">
        <v>80</v>
      </c>
      <c r="I26" s="31" t="s">
        <v>81</v>
      </c>
      <c r="J26" s="31" t="s">
        <v>82</v>
      </c>
      <c r="K26" s="31" t="s">
        <v>83</v>
      </c>
      <c r="L26" s="31" t="s">
        <v>84</v>
      </c>
      <c r="M26" s="31" t="s">
        <v>85</v>
      </c>
      <c r="N26" s="31" t="s">
        <v>86</v>
      </c>
      <c r="O26" s="31" t="s">
        <v>87</v>
      </c>
      <c r="P26" s="31" t="s">
        <v>88</v>
      </c>
      <c r="Q26" s="31" t="s">
        <v>89</v>
      </c>
      <c r="R26" s="31" t="s">
        <v>90</v>
      </c>
      <c r="S26" s="31" t="s">
        <v>91</v>
      </c>
      <c r="T26" s="31" t="s">
        <v>92</v>
      </c>
      <c r="U26" s="31" t="s">
        <v>93</v>
      </c>
      <c r="V26" s="31" t="s">
        <v>94</v>
      </c>
      <c r="W26" s="31" t="s">
        <v>95</v>
      </c>
      <c r="X26" s="32" t="s">
        <v>96</v>
      </c>
      <c r="Y26" s="183" t="s">
        <v>139</v>
      </c>
      <c r="Z26" s="183" t="s">
        <v>201</v>
      </c>
      <c r="AA26" s="183" t="s">
        <v>202</v>
      </c>
    </row>
    <row r="27" spans="1:27" ht="15.75">
      <c r="A27" s="193" t="str">
        <f>'C'!A44</f>
        <v>PATRICK</v>
      </c>
      <c r="B27" s="34">
        <f>IF(B!C147=TRUE,14,0)</f>
        <v>0</v>
      </c>
      <c r="C27" s="34">
        <f>'C'!$C44</f>
        <v>0</v>
      </c>
      <c r="D27" s="34">
        <f>D!$C44</f>
        <v>0</v>
      </c>
      <c r="E27" s="34">
        <f>E!$C44</f>
        <v>0</v>
      </c>
      <c r="F27" s="34">
        <f>F!$C44</f>
        <v>20</v>
      </c>
      <c r="G27" s="34">
        <f>G!$C44</f>
        <v>0</v>
      </c>
      <c r="H27" s="34">
        <f>H!$C44</f>
        <v>0</v>
      </c>
      <c r="I27" s="34">
        <f>I!$C44</f>
        <v>0</v>
      </c>
      <c r="J27" s="34">
        <f>J!$C44</f>
        <v>0</v>
      </c>
      <c r="K27" s="34">
        <f>K!$C44</f>
        <v>0</v>
      </c>
      <c r="L27" s="34">
        <f>L!$C44</f>
        <v>0</v>
      </c>
      <c r="M27" s="34">
        <f>M!$C44</f>
        <v>0</v>
      </c>
      <c r="N27" s="34">
        <f>N!$C44</f>
        <v>0</v>
      </c>
      <c r="O27" s="34">
        <f>O!$C44</f>
        <v>0</v>
      </c>
      <c r="P27" s="34">
        <f>P!$C44</f>
        <v>0</v>
      </c>
      <c r="Q27" s="34">
        <f>Q!$C44</f>
        <v>0</v>
      </c>
      <c r="R27" s="34">
        <f>'R'!$C44</f>
        <v>0</v>
      </c>
      <c r="S27" s="34">
        <f>S!$C44</f>
        <v>0</v>
      </c>
      <c r="T27" s="34">
        <f>T!$C44</f>
        <v>0</v>
      </c>
      <c r="U27" s="34">
        <f>U!$C44</f>
        <v>0</v>
      </c>
      <c r="V27" s="34">
        <f>V!$C44</f>
        <v>0</v>
      </c>
      <c r="W27" s="34">
        <f>W!$C44</f>
        <v>0</v>
      </c>
      <c r="X27" s="34">
        <f>X!$C44</f>
        <v>0</v>
      </c>
      <c r="Y27" s="181">
        <f>SUM(B27:X27)</f>
        <v>20</v>
      </c>
      <c r="Z27" s="181">
        <f>IF(B!B147="",0,B!$C$11+B!$C$8*B!C149)</f>
        <v>240</v>
      </c>
      <c r="AA27" s="181">
        <f>Y27-Z27</f>
        <v>-220</v>
      </c>
    </row>
    <row r="28" spans="1:27" ht="15.75">
      <c r="A28" s="193" t="str">
        <f>'C'!A45</f>
        <v>BRANDY</v>
      </c>
      <c r="B28" s="34">
        <f>IF(B!C152=TRUE,14,0)</f>
        <v>14</v>
      </c>
      <c r="C28" s="34">
        <f>'C'!$C45</f>
        <v>0</v>
      </c>
      <c r="D28" s="34">
        <f>D!$C45</f>
        <v>0</v>
      </c>
      <c r="E28" s="34">
        <f>E!$C45</f>
        <v>0</v>
      </c>
      <c r="F28" s="34">
        <f>F!$C45</f>
        <v>20</v>
      </c>
      <c r="G28" s="34">
        <f>G!$C45</f>
        <v>0</v>
      </c>
      <c r="H28" s="34">
        <f>H!$C45</f>
        <v>0</v>
      </c>
      <c r="I28" s="34">
        <f>I!$C45</f>
        <v>0</v>
      </c>
      <c r="J28" s="34">
        <f>J!$C45</f>
        <v>0</v>
      </c>
      <c r="K28" s="34">
        <f>K!$C45</f>
        <v>0</v>
      </c>
      <c r="L28" s="34">
        <f>L!$C45</f>
        <v>0</v>
      </c>
      <c r="M28" s="34">
        <f>M!$C45</f>
        <v>0</v>
      </c>
      <c r="N28" s="34">
        <f>N!$C45</f>
        <v>0</v>
      </c>
      <c r="O28" s="34">
        <f>O!$C45</f>
        <v>0</v>
      </c>
      <c r="P28" s="34">
        <f>P!$C45</f>
        <v>0</v>
      </c>
      <c r="Q28" s="34">
        <f>Q!$C45</f>
        <v>0</v>
      </c>
      <c r="R28" s="34">
        <f>'R'!$C45</f>
        <v>0</v>
      </c>
      <c r="S28" s="34">
        <f>S!$C45</f>
        <v>0</v>
      </c>
      <c r="T28" s="34">
        <f>T!$C45</f>
        <v>0</v>
      </c>
      <c r="U28" s="34">
        <f>U!$C45</f>
        <v>0</v>
      </c>
      <c r="V28" s="34">
        <f>V!$C45</f>
        <v>0</v>
      </c>
      <c r="W28" s="34">
        <f>W!$C45</f>
        <v>0</v>
      </c>
      <c r="X28" s="34">
        <f>X!$C45</f>
        <v>0</v>
      </c>
      <c r="Y28" s="181">
        <f>SUM(B28:X28)</f>
        <v>34</v>
      </c>
      <c r="Z28" s="181">
        <f>IF(B!B152="",0,B!$C$11+B!$C$8*B!C154)</f>
        <v>240</v>
      </c>
      <c r="AA28" s="181">
        <f>Y28-Z28</f>
        <v>-206</v>
      </c>
    </row>
    <row r="29" spans="1:27" ht="15.75">
      <c r="A29" s="193" t="str">
        <f>'C'!A46</f>
        <v>PJ</v>
      </c>
      <c r="B29" s="34">
        <f>IF(B!C157=TRUE,14,0)</f>
        <v>0</v>
      </c>
      <c r="C29" s="34">
        <f>'C'!$C46</f>
        <v>0</v>
      </c>
      <c r="D29" s="34">
        <f>D!$C46</f>
        <v>0</v>
      </c>
      <c r="E29" s="34">
        <f>E!$C46</f>
        <v>0</v>
      </c>
      <c r="F29" s="34">
        <f>F!$C46</f>
        <v>20</v>
      </c>
      <c r="G29" s="34">
        <f>G!$C46</f>
        <v>0</v>
      </c>
      <c r="H29" s="34">
        <f>H!$C46</f>
        <v>0</v>
      </c>
      <c r="I29" s="34">
        <f>I!$C46</f>
        <v>0</v>
      </c>
      <c r="J29" s="34">
        <f>J!$C46</f>
        <v>0</v>
      </c>
      <c r="K29" s="34">
        <f>K!$C46</f>
        <v>0</v>
      </c>
      <c r="L29" s="34">
        <f>L!$C46</f>
        <v>0</v>
      </c>
      <c r="M29" s="34">
        <f>M!$C46</f>
        <v>0</v>
      </c>
      <c r="N29" s="34">
        <f>N!$C46</f>
        <v>0</v>
      </c>
      <c r="O29" s="34">
        <f>O!$C46</f>
        <v>0</v>
      </c>
      <c r="P29" s="34">
        <f>P!$C46</f>
        <v>0</v>
      </c>
      <c r="Q29" s="34">
        <f>Q!$C46</f>
        <v>0</v>
      </c>
      <c r="R29" s="34">
        <f>'R'!$C46</f>
        <v>0</v>
      </c>
      <c r="S29" s="34">
        <f>S!$C46</f>
        <v>0</v>
      </c>
      <c r="T29" s="34">
        <f>T!$C46</f>
        <v>0</v>
      </c>
      <c r="U29" s="34">
        <f>U!$C46</f>
        <v>0</v>
      </c>
      <c r="V29" s="34">
        <f>V!$C46</f>
        <v>0</v>
      </c>
      <c r="W29" s="34">
        <f>W!$C46</f>
        <v>0</v>
      </c>
      <c r="X29" s="34">
        <f>X!$C46</f>
        <v>0</v>
      </c>
      <c r="Y29" s="181">
        <f>SUM(B29:X29)</f>
        <v>20</v>
      </c>
      <c r="Z29" s="181">
        <f>IF(B!B157="",0,B!$C$11+B!$C$8*B!C159)</f>
        <v>240</v>
      </c>
      <c r="AA29" s="181">
        <f>Y29-Z29</f>
        <v>-220</v>
      </c>
    </row>
    <row r="30" spans="1:27" ht="15.75">
      <c r="A30" s="193" t="str">
        <f>'C'!A47</f>
        <v>CARA</v>
      </c>
      <c r="B30" s="34">
        <f>IF(B!C162=TRUE,14,0)</f>
        <v>0</v>
      </c>
      <c r="C30" s="34">
        <f>'C'!$C47</f>
        <v>0</v>
      </c>
      <c r="D30" s="34">
        <f>D!$C47</f>
        <v>0</v>
      </c>
      <c r="E30" s="34">
        <f>E!$C47</f>
        <v>0</v>
      </c>
      <c r="F30" s="34">
        <f>F!$C47</f>
        <v>0</v>
      </c>
      <c r="G30" s="34">
        <f>G!$C47</f>
        <v>0</v>
      </c>
      <c r="H30" s="34">
        <f>H!$C47</f>
        <v>0</v>
      </c>
      <c r="I30" s="34">
        <f>I!$C47</f>
        <v>0</v>
      </c>
      <c r="J30" s="34">
        <f>J!$C47</f>
        <v>0</v>
      </c>
      <c r="K30" s="34">
        <f>K!$C47</f>
        <v>0</v>
      </c>
      <c r="L30" s="34">
        <f>L!$C47</f>
        <v>0</v>
      </c>
      <c r="M30" s="34">
        <f>M!$C47</f>
        <v>0</v>
      </c>
      <c r="N30" s="34">
        <f>N!$C47</f>
        <v>0</v>
      </c>
      <c r="O30" s="34">
        <f>O!$C47</f>
        <v>0</v>
      </c>
      <c r="P30" s="34">
        <f>P!$C47</f>
        <v>0</v>
      </c>
      <c r="Q30" s="34">
        <f>Q!$C47</f>
        <v>0</v>
      </c>
      <c r="R30" s="34">
        <f>'R'!$C47</f>
        <v>0</v>
      </c>
      <c r="S30" s="34">
        <f>S!$C47</f>
        <v>0</v>
      </c>
      <c r="T30" s="34">
        <f>T!$C47</f>
        <v>0</v>
      </c>
      <c r="U30" s="34">
        <f>U!$C47</f>
        <v>0</v>
      </c>
      <c r="V30" s="34">
        <f>V!$C47</f>
        <v>0</v>
      </c>
      <c r="W30" s="34">
        <f>W!$C47</f>
        <v>0</v>
      </c>
      <c r="X30" s="34">
        <f>X!$C47</f>
        <v>0</v>
      </c>
      <c r="Y30" s="181">
        <f>SUM(B30:X30)</f>
        <v>0</v>
      </c>
      <c r="Z30" s="181">
        <f>IF(B!B162="",0,B!$C$11+B!$C$8*B!C164)</f>
        <v>240</v>
      </c>
      <c r="AA30" s="181">
        <f>Y30-Z30</f>
        <v>-240</v>
      </c>
    </row>
    <row r="31" spans="1:27" ht="16.5" thickBot="1">
      <c r="A31" s="193">
        <f>'C'!A48</f>
        <v>0</v>
      </c>
      <c r="B31" s="34">
        <f>IF(B!C167=TRUE,14,0)</f>
        <v>0</v>
      </c>
      <c r="C31" s="34">
        <f>'C'!$C48</f>
        <v>0</v>
      </c>
      <c r="D31" s="34">
        <f>D!$C48</f>
        <v>0</v>
      </c>
      <c r="E31" s="34">
        <f>E!$C48</f>
        <v>0</v>
      </c>
      <c r="F31" s="34">
        <f>F!$C48</f>
        <v>0</v>
      </c>
      <c r="G31" s="34">
        <f>G!$C48</f>
        <v>0</v>
      </c>
      <c r="H31" s="34">
        <f>H!$C48</f>
        <v>0</v>
      </c>
      <c r="I31" s="34">
        <f>I!$C48</f>
        <v>0</v>
      </c>
      <c r="J31" s="34">
        <f>J!$C48</f>
        <v>0</v>
      </c>
      <c r="K31" s="34">
        <f>K!$C48</f>
        <v>0</v>
      </c>
      <c r="L31" s="34">
        <f>L!$C48</f>
        <v>0</v>
      </c>
      <c r="M31" s="34">
        <f>M!$C48</f>
        <v>0</v>
      </c>
      <c r="N31" s="34">
        <f>N!$C48</f>
        <v>0</v>
      </c>
      <c r="O31" s="34">
        <f>O!$C48</f>
        <v>0</v>
      </c>
      <c r="P31" s="34">
        <f>P!$C48</f>
        <v>0</v>
      </c>
      <c r="Q31" s="34">
        <f>Q!$C48</f>
        <v>0</v>
      </c>
      <c r="R31" s="34">
        <f>'R'!$C48</f>
        <v>0</v>
      </c>
      <c r="S31" s="34">
        <f>S!$C48</f>
        <v>0</v>
      </c>
      <c r="T31" s="34">
        <f>T!$C48</f>
        <v>0</v>
      </c>
      <c r="U31" s="34">
        <f>U!$C48</f>
        <v>0</v>
      </c>
      <c r="V31" s="34">
        <f>V!$C48</f>
        <v>0</v>
      </c>
      <c r="W31" s="34">
        <f>W!$C48</f>
        <v>0</v>
      </c>
      <c r="X31" s="34">
        <f>X!$C48</f>
        <v>0</v>
      </c>
      <c r="Y31" s="181">
        <f>SUM(B31:X31)</f>
        <v>0</v>
      </c>
      <c r="Z31" s="181">
        <f>IF(B!B167="",0,B!$C$11+B!$C$8*B!C169)</f>
        <v>0</v>
      </c>
      <c r="AA31" s="181">
        <f>Y31-Z31</f>
        <v>0</v>
      </c>
    </row>
    <row r="32" spans="1:27" ht="16.5" thickBot="1">
      <c r="A32" s="194" t="s">
        <v>200</v>
      </c>
      <c r="B32" s="36">
        <f t="shared" ref="B32:AA32" si="3">SUM(B27:B31)</f>
        <v>14</v>
      </c>
      <c r="C32" s="36">
        <f t="shared" si="3"/>
        <v>0</v>
      </c>
      <c r="D32" s="36">
        <f t="shared" si="3"/>
        <v>0</v>
      </c>
      <c r="E32" s="36">
        <f t="shared" si="3"/>
        <v>0</v>
      </c>
      <c r="F32" s="36">
        <f t="shared" si="3"/>
        <v>60</v>
      </c>
      <c r="G32" s="36">
        <f t="shared" si="3"/>
        <v>0</v>
      </c>
      <c r="H32" s="36">
        <f t="shared" si="3"/>
        <v>0</v>
      </c>
      <c r="I32" s="36">
        <f t="shared" si="3"/>
        <v>0</v>
      </c>
      <c r="J32" s="36">
        <f t="shared" si="3"/>
        <v>0</v>
      </c>
      <c r="K32" s="36">
        <f t="shared" si="3"/>
        <v>0</v>
      </c>
      <c r="L32" s="36">
        <f t="shared" si="3"/>
        <v>0</v>
      </c>
      <c r="M32" s="36">
        <f t="shared" si="3"/>
        <v>0</v>
      </c>
      <c r="N32" s="36">
        <f t="shared" si="3"/>
        <v>0</v>
      </c>
      <c r="O32" s="36">
        <f t="shared" si="3"/>
        <v>0</v>
      </c>
      <c r="P32" s="36">
        <f t="shared" si="3"/>
        <v>0</v>
      </c>
      <c r="Q32" s="36">
        <f t="shared" si="3"/>
        <v>0</v>
      </c>
      <c r="R32" s="36">
        <f t="shared" si="3"/>
        <v>0</v>
      </c>
      <c r="S32" s="36">
        <f t="shared" si="3"/>
        <v>0</v>
      </c>
      <c r="T32" s="36">
        <f t="shared" si="3"/>
        <v>0</v>
      </c>
      <c r="U32" s="36">
        <f t="shared" si="3"/>
        <v>0</v>
      </c>
      <c r="V32" s="36">
        <f t="shared" si="3"/>
        <v>0</v>
      </c>
      <c r="W32" s="36">
        <f t="shared" si="3"/>
        <v>0</v>
      </c>
      <c r="X32" s="37">
        <f t="shared" si="3"/>
        <v>0</v>
      </c>
      <c r="Y32" s="185">
        <f>SUM(Y27:Y31)</f>
        <v>74</v>
      </c>
      <c r="Z32" s="185">
        <f t="shared" si="3"/>
        <v>960</v>
      </c>
      <c r="AA32" s="185">
        <f t="shared" si="3"/>
        <v>-886</v>
      </c>
    </row>
    <row r="33" spans="1:27" ht="18">
      <c r="A33" s="179"/>
      <c r="B33" s="179"/>
      <c r="Y33" s="182" t="s">
        <v>97</v>
      </c>
      <c r="Z33" s="182" t="s">
        <v>97</v>
      </c>
      <c r="AA33" s="182" t="s">
        <v>97</v>
      </c>
    </row>
    <row r="34" spans="1:27" ht="18.75" thickBot="1">
      <c r="A34" s="178" t="str">
        <f>'C'!A56</f>
        <v>HABOOBS</v>
      </c>
      <c r="B34" s="178" t="s">
        <v>199</v>
      </c>
      <c r="C34" s="31" t="s">
        <v>75</v>
      </c>
      <c r="D34" s="31" t="s">
        <v>76</v>
      </c>
      <c r="E34" s="31" t="s">
        <v>77</v>
      </c>
      <c r="F34" s="31" t="s">
        <v>78</v>
      </c>
      <c r="G34" s="31" t="s">
        <v>79</v>
      </c>
      <c r="H34" s="31" t="s">
        <v>80</v>
      </c>
      <c r="I34" s="31" t="s">
        <v>81</v>
      </c>
      <c r="J34" s="31" t="s">
        <v>82</v>
      </c>
      <c r="K34" s="31" t="s">
        <v>83</v>
      </c>
      <c r="L34" s="31" t="s">
        <v>84</v>
      </c>
      <c r="M34" s="31" t="s">
        <v>85</v>
      </c>
      <c r="N34" s="31" t="s">
        <v>86</v>
      </c>
      <c r="O34" s="31" t="s">
        <v>87</v>
      </c>
      <c r="P34" s="31" t="s">
        <v>88</v>
      </c>
      <c r="Q34" s="31" t="s">
        <v>89</v>
      </c>
      <c r="R34" s="31" t="s">
        <v>90</v>
      </c>
      <c r="S34" s="31" t="s">
        <v>91</v>
      </c>
      <c r="T34" s="31" t="s">
        <v>92</v>
      </c>
      <c r="U34" s="31" t="s">
        <v>93</v>
      </c>
      <c r="V34" s="31" t="s">
        <v>94</v>
      </c>
      <c r="W34" s="31" t="s">
        <v>95</v>
      </c>
      <c r="X34" s="32" t="s">
        <v>96</v>
      </c>
      <c r="Y34" s="183" t="s">
        <v>139</v>
      </c>
      <c r="Z34" s="183" t="s">
        <v>201</v>
      </c>
      <c r="AA34" s="183" t="s">
        <v>202</v>
      </c>
    </row>
    <row r="35" spans="1:27" ht="15.75">
      <c r="A35" s="193" t="str">
        <f>'C'!A57</f>
        <v>MIKE</v>
      </c>
      <c r="B35" s="34">
        <f>IF(B!C190=TRUE,14,0)</f>
        <v>0</v>
      </c>
      <c r="C35" s="34">
        <f>'C'!$C57</f>
        <v>10</v>
      </c>
      <c r="D35" s="34">
        <f>D!$C57</f>
        <v>10</v>
      </c>
      <c r="E35" s="34">
        <f>E!$C57</f>
        <v>10</v>
      </c>
      <c r="F35" s="34">
        <f>F!$C57</f>
        <v>5</v>
      </c>
      <c r="G35" s="34">
        <f>G!$C57</f>
        <v>0</v>
      </c>
      <c r="H35" s="34">
        <f>H!$C57</f>
        <v>0</v>
      </c>
      <c r="I35" s="34">
        <f>I!$C57</f>
        <v>0</v>
      </c>
      <c r="J35" s="34">
        <f>J!$C57</f>
        <v>0</v>
      </c>
      <c r="K35" s="34">
        <f>K!$C57</f>
        <v>0</v>
      </c>
      <c r="L35" s="34">
        <f>L!$C57</f>
        <v>0</v>
      </c>
      <c r="M35" s="34">
        <f>M!$C57</f>
        <v>0</v>
      </c>
      <c r="N35" s="34">
        <f>N!$C57</f>
        <v>0</v>
      </c>
      <c r="O35" s="34">
        <f>O!$C57</f>
        <v>0</v>
      </c>
      <c r="P35" s="34">
        <f>P!$C57</f>
        <v>0</v>
      </c>
      <c r="Q35" s="34">
        <f>Q!$C57</f>
        <v>0</v>
      </c>
      <c r="R35" s="34">
        <f>'R'!$C57</f>
        <v>0</v>
      </c>
      <c r="S35" s="34">
        <f>S!$C57</f>
        <v>0</v>
      </c>
      <c r="T35" s="34">
        <f>T!$C57</f>
        <v>0</v>
      </c>
      <c r="U35" s="34">
        <f>U!$C57</f>
        <v>0</v>
      </c>
      <c r="V35" s="34">
        <f>V!$C57</f>
        <v>0</v>
      </c>
      <c r="W35" s="34">
        <f>W!$C57</f>
        <v>0</v>
      </c>
      <c r="X35" s="34">
        <f>X!$C57</f>
        <v>0</v>
      </c>
      <c r="Y35" s="181">
        <f>SUM(B35:X35)</f>
        <v>35</v>
      </c>
      <c r="Z35" s="181">
        <f>IF(B!B190="",0,B!$C$11+B!$C$8*B!C192)</f>
        <v>240</v>
      </c>
      <c r="AA35" s="181">
        <f>Y35-Z35</f>
        <v>-205</v>
      </c>
    </row>
    <row r="36" spans="1:27" ht="15.75">
      <c r="A36" s="193" t="str">
        <f>'C'!A58</f>
        <v>OLGA</v>
      </c>
      <c r="B36" s="34">
        <f>IF(B!C195=TRUE,14,0)</f>
        <v>0</v>
      </c>
      <c r="C36" s="34">
        <f>'C'!$C58</f>
        <v>10</v>
      </c>
      <c r="D36" s="34">
        <f>D!$C58</f>
        <v>10</v>
      </c>
      <c r="E36" s="34">
        <f>E!$C58</f>
        <v>10</v>
      </c>
      <c r="F36" s="34">
        <f>F!$C58</f>
        <v>5</v>
      </c>
      <c r="G36" s="34">
        <f>G!$C58</f>
        <v>0</v>
      </c>
      <c r="H36" s="34">
        <f>H!$C58</f>
        <v>0</v>
      </c>
      <c r="I36" s="34">
        <f>I!$C58</f>
        <v>0</v>
      </c>
      <c r="J36" s="34">
        <f>J!$C58</f>
        <v>0</v>
      </c>
      <c r="K36" s="34">
        <f>K!$C58</f>
        <v>0</v>
      </c>
      <c r="L36" s="34">
        <f>L!$C58</f>
        <v>0</v>
      </c>
      <c r="M36" s="34">
        <f>M!$C58</f>
        <v>0</v>
      </c>
      <c r="N36" s="34">
        <f>N!$C58</f>
        <v>0</v>
      </c>
      <c r="O36" s="34">
        <f>O!$C58</f>
        <v>0</v>
      </c>
      <c r="P36" s="34">
        <f>P!$C58</f>
        <v>0</v>
      </c>
      <c r="Q36" s="34">
        <f>Q!$C58</f>
        <v>0</v>
      </c>
      <c r="R36" s="34">
        <f>'R'!$C58</f>
        <v>0</v>
      </c>
      <c r="S36" s="34">
        <f>S!$C58</f>
        <v>0</v>
      </c>
      <c r="T36" s="34">
        <f>T!$C58</f>
        <v>0</v>
      </c>
      <c r="U36" s="34">
        <f>U!$C58</f>
        <v>0</v>
      </c>
      <c r="V36" s="34">
        <f>V!$C58</f>
        <v>0</v>
      </c>
      <c r="W36" s="34">
        <f>W!$C58</f>
        <v>0</v>
      </c>
      <c r="X36" s="34">
        <f>X!$C58</f>
        <v>0</v>
      </c>
      <c r="Y36" s="181">
        <f>SUM(B36:X36)</f>
        <v>35</v>
      </c>
      <c r="Z36" s="181">
        <f>IF(B!B195="",0,B!$C$11+B!$C$8*B!C197)</f>
        <v>240</v>
      </c>
      <c r="AA36" s="181">
        <f>Y36-Z36</f>
        <v>-205</v>
      </c>
    </row>
    <row r="37" spans="1:27" ht="15.75">
      <c r="A37" s="193" t="str">
        <f>'C'!A59</f>
        <v>DAN</v>
      </c>
      <c r="B37" s="34">
        <f>IF(B!C200=TRUE,14,0)</f>
        <v>0</v>
      </c>
      <c r="C37" s="34">
        <f>'C'!$C59</f>
        <v>0</v>
      </c>
      <c r="D37" s="34">
        <f>D!$C59</f>
        <v>0</v>
      </c>
      <c r="E37" s="34">
        <f>E!$C59</f>
        <v>0</v>
      </c>
      <c r="F37" s="34">
        <f>F!$C59</f>
        <v>0</v>
      </c>
      <c r="G37" s="34">
        <f>G!$C59</f>
        <v>0</v>
      </c>
      <c r="H37" s="34">
        <f>H!$C59</f>
        <v>0</v>
      </c>
      <c r="I37" s="34">
        <f>I!$C59</f>
        <v>0</v>
      </c>
      <c r="J37" s="34">
        <f>J!$C59</f>
        <v>0</v>
      </c>
      <c r="K37" s="34">
        <f>K!$C59</f>
        <v>0</v>
      </c>
      <c r="L37" s="34">
        <f>L!$C59</f>
        <v>0</v>
      </c>
      <c r="M37" s="34">
        <f>M!$C59</f>
        <v>0</v>
      </c>
      <c r="N37" s="34">
        <f>N!$C59</f>
        <v>0</v>
      </c>
      <c r="O37" s="34">
        <f>O!$C59</f>
        <v>0</v>
      </c>
      <c r="P37" s="34">
        <f>P!$C59</f>
        <v>0</v>
      </c>
      <c r="Q37" s="34">
        <f>Q!$C59</f>
        <v>0</v>
      </c>
      <c r="R37" s="34">
        <f>'R'!$C59</f>
        <v>0</v>
      </c>
      <c r="S37" s="34">
        <f>S!$C59</f>
        <v>0</v>
      </c>
      <c r="T37" s="34">
        <f>T!$C59</f>
        <v>0</v>
      </c>
      <c r="U37" s="34">
        <f>U!$C59</f>
        <v>0</v>
      </c>
      <c r="V37" s="34">
        <f>V!$C59</f>
        <v>0</v>
      </c>
      <c r="W37" s="34">
        <f>W!$C59</f>
        <v>0</v>
      </c>
      <c r="X37" s="34">
        <f>X!$C59</f>
        <v>0</v>
      </c>
      <c r="Y37" s="181">
        <f>SUM(B37:X37)</f>
        <v>0</v>
      </c>
      <c r="Z37" s="181">
        <f>IF(B!B200="",0,B!$C$11+B!$C$8*B!C202)</f>
        <v>240</v>
      </c>
      <c r="AA37" s="181">
        <f>Y37-Z37</f>
        <v>-240</v>
      </c>
    </row>
    <row r="38" spans="1:27" ht="15.75">
      <c r="A38" s="193" t="str">
        <f>'C'!A60</f>
        <v>MIKE MO</v>
      </c>
      <c r="B38" s="34">
        <f>IF(B!C205=TRUE,14,0)</f>
        <v>0</v>
      </c>
      <c r="C38" s="34">
        <f>'C'!$C60</f>
        <v>0</v>
      </c>
      <c r="D38" s="34">
        <f>D!$C60</f>
        <v>0</v>
      </c>
      <c r="E38" s="34">
        <f>E!$C60</f>
        <v>10</v>
      </c>
      <c r="F38" s="34">
        <f>F!$C60</f>
        <v>10</v>
      </c>
      <c r="G38" s="34">
        <f>G!$C60</f>
        <v>0</v>
      </c>
      <c r="H38" s="34">
        <f>H!$C60</f>
        <v>0</v>
      </c>
      <c r="I38" s="34">
        <f>I!$C60</f>
        <v>0</v>
      </c>
      <c r="J38" s="34">
        <f>J!$C60</f>
        <v>0</v>
      </c>
      <c r="K38" s="34">
        <f>K!$C60</f>
        <v>0</v>
      </c>
      <c r="L38" s="34">
        <f>L!$C60</f>
        <v>0</v>
      </c>
      <c r="M38" s="34">
        <f>M!$C60</f>
        <v>0</v>
      </c>
      <c r="N38" s="34">
        <f>N!$C60</f>
        <v>0</v>
      </c>
      <c r="O38" s="34">
        <f>O!$C60</f>
        <v>0</v>
      </c>
      <c r="P38" s="34">
        <f>P!$C60</f>
        <v>0</v>
      </c>
      <c r="Q38" s="34">
        <f>Q!$C60</f>
        <v>0</v>
      </c>
      <c r="R38" s="34">
        <f>'R'!$C60</f>
        <v>0</v>
      </c>
      <c r="S38" s="34">
        <f>S!$C60</f>
        <v>0</v>
      </c>
      <c r="T38" s="34">
        <f>T!$C60</f>
        <v>0</v>
      </c>
      <c r="U38" s="34">
        <f>U!$C60</f>
        <v>0</v>
      </c>
      <c r="V38" s="34">
        <f>V!$C60</f>
        <v>0</v>
      </c>
      <c r="W38" s="34">
        <f>W!$C60</f>
        <v>0</v>
      </c>
      <c r="X38" s="34">
        <f>X!$C60</f>
        <v>0</v>
      </c>
      <c r="Y38" s="181">
        <f>SUM(B38:X38)</f>
        <v>20</v>
      </c>
      <c r="Z38" s="181">
        <f>IF(B!B205="",0,B!$C$11+B!$C$8*B!C207)</f>
        <v>240</v>
      </c>
      <c r="AA38" s="181">
        <f>Y38-Z38</f>
        <v>-220</v>
      </c>
    </row>
    <row r="39" spans="1:27" ht="16.5" thickBot="1">
      <c r="A39" s="193" t="str">
        <f>'C'!A61</f>
        <v>VICKIE</v>
      </c>
      <c r="B39" s="34">
        <f>IF(B!C210=TRUE,14,0)</f>
        <v>0</v>
      </c>
      <c r="C39" s="34">
        <f>'C'!$C61</f>
        <v>0</v>
      </c>
      <c r="D39" s="34">
        <f>D!$C61</f>
        <v>0</v>
      </c>
      <c r="E39" s="34">
        <f>E!$C61</f>
        <v>10</v>
      </c>
      <c r="F39" s="34">
        <f>F!$C61</f>
        <v>10</v>
      </c>
      <c r="G39" s="34">
        <f>G!$C61</f>
        <v>0</v>
      </c>
      <c r="H39" s="34">
        <f>H!$C61</f>
        <v>0</v>
      </c>
      <c r="I39" s="34">
        <f>I!$C61</f>
        <v>0</v>
      </c>
      <c r="J39" s="34">
        <f>J!$C61</f>
        <v>0</v>
      </c>
      <c r="K39" s="34">
        <f>K!$C61</f>
        <v>0</v>
      </c>
      <c r="L39" s="34">
        <f>L!$C61</f>
        <v>0</v>
      </c>
      <c r="M39" s="34">
        <f>M!$C61</f>
        <v>0</v>
      </c>
      <c r="N39" s="34">
        <f>N!$C61</f>
        <v>0</v>
      </c>
      <c r="O39" s="34">
        <f>O!$C61</f>
        <v>0</v>
      </c>
      <c r="P39" s="34">
        <f>P!$C61</f>
        <v>0</v>
      </c>
      <c r="Q39" s="34">
        <f>Q!$C61</f>
        <v>0</v>
      </c>
      <c r="R39" s="34">
        <f>'R'!$C61</f>
        <v>0</v>
      </c>
      <c r="S39" s="34">
        <f>S!$C61</f>
        <v>0</v>
      </c>
      <c r="T39" s="34">
        <f>T!$C61</f>
        <v>0</v>
      </c>
      <c r="U39" s="34">
        <f>U!$C61</f>
        <v>0</v>
      </c>
      <c r="V39" s="34">
        <f>V!$C61</f>
        <v>0</v>
      </c>
      <c r="W39" s="34">
        <f>W!$C61</f>
        <v>0</v>
      </c>
      <c r="X39" s="34">
        <f>X!$C61</f>
        <v>0</v>
      </c>
      <c r="Y39" s="181">
        <f>SUM(B39:X39)</f>
        <v>20</v>
      </c>
      <c r="Z39" s="181">
        <f>IF(B!B210="",0,B!$C$11+B!$C$8*B!C212)</f>
        <v>240</v>
      </c>
      <c r="AA39" s="181">
        <f>Y39-Z39</f>
        <v>-220</v>
      </c>
    </row>
    <row r="40" spans="1:27" ht="16.5" thickBot="1">
      <c r="A40" s="194" t="s">
        <v>200</v>
      </c>
      <c r="B40" s="36">
        <f t="shared" ref="B40:AA40" si="4">SUM(B35:B39)</f>
        <v>0</v>
      </c>
      <c r="C40" s="36">
        <f t="shared" si="4"/>
        <v>20</v>
      </c>
      <c r="D40" s="36">
        <f t="shared" si="4"/>
        <v>20</v>
      </c>
      <c r="E40" s="36">
        <f t="shared" si="4"/>
        <v>40</v>
      </c>
      <c r="F40" s="36">
        <f t="shared" si="4"/>
        <v>30</v>
      </c>
      <c r="G40" s="36">
        <f t="shared" si="4"/>
        <v>0</v>
      </c>
      <c r="H40" s="36">
        <f t="shared" si="4"/>
        <v>0</v>
      </c>
      <c r="I40" s="36">
        <f t="shared" si="4"/>
        <v>0</v>
      </c>
      <c r="J40" s="36">
        <f t="shared" si="4"/>
        <v>0</v>
      </c>
      <c r="K40" s="36">
        <f t="shared" si="4"/>
        <v>0</v>
      </c>
      <c r="L40" s="36">
        <f t="shared" si="4"/>
        <v>0</v>
      </c>
      <c r="M40" s="36">
        <f t="shared" si="4"/>
        <v>0</v>
      </c>
      <c r="N40" s="36">
        <f t="shared" si="4"/>
        <v>0</v>
      </c>
      <c r="O40" s="36">
        <f t="shared" si="4"/>
        <v>0</v>
      </c>
      <c r="P40" s="36">
        <f t="shared" si="4"/>
        <v>0</v>
      </c>
      <c r="Q40" s="36">
        <f t="shared" si="4"/>
        <v>0</v>
      </c>
      <c r="R40" s="36">
        <f t="shared" si="4"/>
        <v>0</v>
      </c>
      <c r="S40" s="36">
        <f t="shared" si="4"/>
        <v>0</v>
      </c>
      <c r="T40" s="36">
        <f t="shared" si="4"/>
        <v>0</v>
      </c>
      <c r="U40" s="36">
        <f t="shared" si="4"/>
        <v>0</v>
      </c>
      <c r="V40" s="36">
        <f t="shared" si="4"/>
        <v>0</v>
      </c>
      <c r="W40" s="36">
        <f t="shared" si="4"/>
        <v>0</v>
      </c>
      <c r="X40" s="37">
        <f t="shared" si="4"/>
        <v>0</v>
      </c>
      <c r="Y40" s="185">
        <f>SUM(Y35:Y39)</f>
        <v>110</v>
      </c>
      <c r="Z40" s="185">
        <f t="shared" si="4"/>
        <v>1200</v>
      </c>
      <c r="AA40" s="185">
        <f t="shared" si="4"/>
        <v>-1090</v>
      </c>
    </row>
    <row r="41" spans="1:27" ht="18">
      <c r="A41" s="179"/>
      <c r="B41" s="179"/>
      <c r="Y41" s="182" t="s">
        <v>97</v>
      </c>
      <c r="Z41" s="182" t="s">
        <v>97</v>
      </c>
      <c r="AA41" s="182" t="s">
        <v>97</v>
      </c>
    </row>
    <row r="42" spans="1:27" ht="18.75" thickBot="1">
      <c r="A42" s="178" t="str">
        <f>'C'!A69</f>
        <v>FFFFF TO THE 1OTH POWER</v>
      </c>
      <c r="B42" s="178" t="s">
        <v>199</v>
      </c>
      <c r="C42" s="31" t="s">
        <v>75</v>
      </c>
      <c r="D42" s="31" t="s">
        <v>76</v>
      </c>
      <c r="E42" s="31" t="s">
        <v>77</v>
      </c>
      <c r="F42" s="31" t="s">
        <v>78</v>
      </c>
      <c r="G42" s="31" t="s">
        <v>79</v>
      </c>
      <c r="H42" s="31" t="s">
        <v>80</v>
      </c>
      <c r="I42" s="31" t="s">
        <v>81</v>
      </c>
      <c r="J42" s="31" t="s">
        <v>82</v>
      </c>
      <c r="K42" s="31" t="s">
        <v>83</v>
      </c>
      <c r="L42" s="31" t="s">
        <v>84</v>
      </c>
      <c r="M42" s="31" t="s">
        <v>85</v>
      </c>
      <c r="N42" s="31" t="s">
        <v>86</v>
      </c>
      <c r="O42" s="31" t="s">
        <v>87</v>
      </c>
      <c r="P42" s="31" t="s">
        <v>88</v>
      </c>
      <c r="Q42" s="31" t="s">
        <v>89</v>
      </c>
      <c r="R42" s="31" t="s">
        <v>90</v>
      </c>
      <c r="S42" s="31" t="s">
        <v>91</v>
      </c>
      <c r="T42" s="31" t="s">
        <v>92</v>
      </c>
      <c r="U42" s="31" t="s">
        <v>93</v>
      </c>
      <c r="V42" s="31" t="s">
        <v>94</v>
      </c>
      <c r="W42" s="31" t="s">
        <v>95</v>
      </c>
      <c r="X42" s="32" t="s">
        <v>96</v>
      </c>
      <c r="Y42" s="183" t="s">
        <v>139</v>
      </c>
      <c r="Z42" s="183" t="s">
        <v>201</v>
      </c>
      <c r="AA42" s="183" t="s">
        <v>202</v>
      </c>
    </row>
    <row r="43" spans="1:27" ht="15.75">
      <c r="A43" s="193" t="str">
        <f>'C'!A70</f>
        <v>RICHARD</v>
      </c>
      <c r="B43" s="34">
        <f>IF(B!C233=TRUE,14,0)</f>
        <v>0</v>
      </c>
      <c r="C43" s="34">
        <f>'C'!$C70</f>
        <v>5</v>
      </c>
      <c r="D43" s="34">
        <f>D!$C70</f>
        <v>5</v>
      </c>
      <c r="E43" s="34">
        <f>E!$C70</f>
        <v>5</v>
      </c>
      <c r="F43" s="34">
        <f>F!$C70</f>
        <v>5</v>
      </c>
      <c r="G43" s="34">
        <f>G!$C70</f>
        <v>0</v>
      </c>
      <c r="H43" s="34">
        <f>H!$C70</f>
        <v>0</v>
      </c>
      <c r="I43" s="34">
        <f>I!$C70</f>
        <v>0</v>
      </c>
      <c r="J43" s="34">
        <f>J!$C70</f>
        <v>0</v>
      </c>
      <c r="K43" s="34">
        <f>K!$C70</f>
        <v>0</v>
      </c>
      <c r="L43" s="34">
        <f>L!$C70</f>
        <v>0</v>
      </c>
      <c r="M43" s="34">
        <f>M!$C70</f>
        <v>0</v>
      </c>
      <c r="N43" s="34">
        <f>N!$C70</f>
        <v>0</v>
      </c>
      <c r="O43" s="34">
        <f>O!$C70</f>
        <v>0</v>
      </c>
      <c r="P43" s="34">
        <f>P!$C70</f>
        <v>0</v>
      </c>
      <c r="Q43" s="34">
        <f>Q!$C70</f>
        <v>0</v>
      </c>
      <c r="R43" s="34">
        <f>'R'!$C70</f>
        <v>0</v>
      </c>
      <c r="S43" s="34">
        <f>S!$C70</f>
        <v>0</v>
      </c>
      <c r="T43" s="34">
        <f>T!$C70</f>
        <v>0</v>
      </c>
      <c r="U43" s="34">
        <f>U!$C70</f>
        <v>0</v>
      </c>
      <c r="V43" s="34">
        <f>V!$C70</f>
        <v>0</v>
      </c>
      <c r="W43" s="34">
        <f>W!$C70</f>
        <v>0</v>
      </c>
      <c r="X43" s="34">
        <f>X!$C70</f>
        <v>0</v>
      </c>
      <c r="Y43" s="181">
        <f>SUM(B43:X43)</f>
        <v>20</v>
      </c>
      <c r="Z43" s="181">
        <f>IF(B!B233="",0,B!$C$11+B!$C$8*B!C235)</f>
        <v>240</v>
      </c>
      <c r="AA43" s="181">
        <f>Y43-Z43</f>
        <v>-220</v>
      </c>
    </row>
    <row r="44" spans="1:27" ht="15.75">
      <c r="A44" s="193" t="str">
        <f>'C'!A71</f>
        <v>JUSTIN</v>
      </c>
      <c r="B44" s="34">
        <f>IF(B!C238=TRUE,14,0)</f>
        <v>0</v>
      </c>
      <c r="C44" s="34">
        <f>'C'!$C71</f>
        <v>0</v>
      </c>
      <c r="D44" s="34">
        <f>D!$C71</f>
        <v>5</v>
      </c>
      <c r="E44" s="34">
        <f>E!$C71</f>
        <v>0</v>
      </c>
      <c r="F44" s="34">
        <f>F!$C71</f>
        <v>0</v>
      </c>
      <c r="G44" s="34">
        <f>G!$C71</f>
        <v>0</v>
      </c>
      <c r="H44" s="34">
        <f>H!$C71</f>
        <v>0</v>
      </c>
      <c r="I44" s="34">
        <f>I!$C71</f>
        <v>0</v>
      </c>
      <c r="J44" s="34">
        <f>J!$C71</f>
        <v>0</v>
      </c>
      <c r="K44" s="34">
        <f>K!$C71</f>
        <v>0</v>
      </c>
      <c r="L44" s="34">
        <f>L!$C71</f>
        <v>0</v>
      </c>
      <c r="M44" s="34">
        <f>M!$C71</f>
        <v>0</v>
      </c>
      <c r="N44" s="34">
        <f>N!$C71</f>
        <v>0</v>
      </c>
      <c r="O44" s="34">
        <f>O!$C71</f>
        <v>0</v>
      </c>
      <c r="P44" s="34">
        <f>P!$C71</f>
        <v>0</v>
      </c>
      <c r="Q44" s="34">
        <f>Q!$C71</f>
        <v>0</v>
      </c>
      <c r="R44" s="34">
        <f>'R'!$C71</f>
        <v>0</v>
      </c>
      <c r="S44" s="34">
        <f>S!$C71</f>
        <v>0</v>
      </c>
      <c r="T44" s="34">
        <f>T!$C71</f>
        <v>0</v>
      </c>
      <c r="U44" s="34">
        <f>U!$C71</f>
        <v>0</v>
      </c>
      <c r="V44" s="34">
        <f>V!$C71</f>
        <v>0</v>
      </c>
      <c r="W44" s="34">
        <f>W!$C71</f>
        <v>0</v>
      </c>
      <c r="X44" s="34">
        <f>X!$C71</f>
        <v>0</v>
      </c>
      <c r="Y44" s="181">
        <f>SUM(B44:X44)</f>
        <v>5</v>
      </c>
      <c r="Z44" s="181">
        <f>IF(B!B238="",0,B!$C$11+B!$C$8*B!C240)</f>
        <v>240</v>
      </c>
      <c r="AA44" s="181">
        <f>Y44-Z44</f>
        <v>-235</v>
      </c>
    </row>
    <row r="45" spans="1:27" ht="15.75">
      <c r="A45" s="193" t="str">
        <f>'C'!A72</f>
        <v>SANDY</v>
      </c>
      <c r="B45" s="34">
        <f>IF(B!C243=TRUE,14,0)</f>
        <v>0</v>
      </c>
      <c r="C45" s="34">
        <f>'C'!$C72</f>
        <v>10</v>
      </c>
      <c r="D45" s="34">
        <f>D!$C72</f>
        <v>10</v>
      </c>
      <c r="E45" s="34">
        <f>E!$C72</f>
        <v>0</v>
      </c>
      <c r="F45" s="34">
        <f>F!$C72</f>
        <v>0</v>
      </c>
      <c r="G45" s="34">
        <f>G!$C72</f>
        <v>0</v>
      </c>
      <c r="H45" s="34">
        <f>H!$C72</f>
        <v>0</v>
      </c>
      <c r="I45" s="34">
        <f>I!$C72</f>
        <v>0</v>
      </c>
      <c r="J45" s="34">
        <f>J!$C72</f>
        <v>0</v>
      </c>
      <c r="K45" s="34">
        <f>K!$C72</f>
        <v>0</v>
      </c>
      <c r="L45" s="34">
        <f>L!$C72</f>
        <v>0</v>
      </c>
      <c r="M45" s="34">
        <f>M!$C72</f>
        <v>0</v>
      </c>
      <c r="N45" s="34">
        <f>N!$C72</f>
        <v>0</v>
      </c>
      <c r="O45" s="34">
        <f>O!$C72</f>
        <v>0</v>
      </c>
      <c r="P45" s="34">
        <f>P!$C72</f>
        <v>0</v>
      </c>
      <c r="Q45" s="34">
        <f>Q!$C72</f>
        <v>0</v>
      </c>
      <c r="R45" s="34">
        <f>'R'!$C72</f>
        <v>0</v>
      </c>
      <c r="S45" s="34">
        <f>S!$C72</f>
        <v>0</v>
      </c>
      <c r="T45" s="34">
        <f>T!$C72</f>
        <v>0</v>
      </c>
      <c r="U45" s="34">
        <f>U!$C72</f>
        <v>0</v>
      </c>
      <c r="V45" s="34">
        <f>V!$C72</f>
        <v>0</v>
      </c>
      <c r="W45" s="34">
        <f>W!$C72</f>
        <v>0</v>
      </c>
      <c r="X45" s="34">
        <f>X!$C72</f>
        <v>0</v>
      </c>
      <c r="Y45" s="181">
        <f>SUM(B45:X45)</f>
        <v>20</v>
      </c>
      <c r="Z45" s="181">
        <f>IF(B!B243="",0,B!$C$11+B!$C$8*B!C245)</f>
        <v>240</v>
      </c>
      <c r="AA45" s="181">
        <f>Y45-Z45</f>
        <v>-220</v>
      </c>
    </row>
    <row r="46" spans="1:27" ht="15.75">
      <c r="A46" s="193" t="str">
        <f>'C'!A73</f>
        <v>DENNIS</v>
      </c>
      <c r="B46" s="34">
        <f>IF(B!C248=TRUE,14,0)</f>
        <v>0</v>
      </c>
      <c r="C46" s="34">
        <f>'C'!$C73</f>
        <v>10</v>
      </c>
      <c r="D46" s="34">
        <f>D!$C73</f>
        <v>10</v>
      </c>
      <c r="E46" s="34">
        <f>E!$C73</f>
        <v>0</v>
      </c>
      <c r="F46" s="34">
        <f>F!$C73</f>
        <v>0</v>
      </c>
      <c r="G46" s="34">
        <f>G!$C73</f>
        <v>0</v>
      </c>
      <c r="H46" s="34">
        <f>H!$C73</f>
        <v>0</v>
      </c>
      <c r="I46" s="34">
        <f>I!$C73</f>
        <v>0</v>
      </c>
      <c r="J46" s="34">
        <f>J!$C73</f>
        <v>0</v>
      </c>
      <c r="K46" s="34">
        <f>K!$C73</f>
        <v>0</v>
      </c>
      <c r="L46" s="34">
        <f>L!$C73</f>
        <v>0</v>
      </c>
      <c r="M46" s="34">
        <f>M!$C73</f>
        <v>0</v>
      </c>
      <c r="N46" s="34">
        <f>N!$C73</f>
        <v>0</v>
      </c>
      <c r="O46" s="34">
        <f>O!$C73</f>
        <v>0</v>
      </c>
      <c r="P46" s="34">
        <f>P!$C73</f>
        <v>0</v>
      </c>
      <c r="Q46" s="34">
        <f>Q!$C73</f>
        <v>0</v>
      </c>
      <c r="R46" s="34">
        <f>'R'!$C73</f>
        <v>0</v>
      </c>
      <c r="S46" s="34">
        <f>S!$C73</f>
        <v>0</v>
      </c>
      <c r="T46" s="34">
        <f>T!$C73</f>
        <v>0</v>
      </c>
      <c r="U46" s="34">
        <f>U!$C73</f>
        <v>0</v>
      </c>
      <c r="V46" s="34">
        <f>V!$C73</f>
        <v>0</v>
      </c>
      <c r="W46" s="34">
        <f>W!$C73</f>
        <v>0</v>
      </c>
      <c r="X46" s="34">
        <f>X!$C73</f>
        <v>0</v>
      </c>
      <c r="Y46" s="181">
        <f>SUM(B46:X46)</f>
        <v>20</v>
      </c>
      <c r="Z46" s="181">
        <f>IF(B!B248="",0,B!$C$11+B!$C$8*B!C250)</f>
        <v>240</v>
      </c>
      <c r="AA46" s="181">
        <f>Y46-Z46</f>
        <v>-220</v>
      </c>
    </row>
    <row r="47" spans="1:27" ht="16.5" thickBot="1">
      <c r="A47" s="193" t="str">
        <f>'C'!A74</f>
        <v>VE</v>
      </c>
      <c r="B47" s="34">
        <f>IF(B!C253=TRUE,14,0)</f>
        <v>0</v>
      </c>
      <c r="C47" s="34">
        <f>'C'!$C74</f>
        <v>0</v>
      </c>
      <c r="D47" s="34">
        <f>D!$C74</f>
        <v>0</v>
      </c>
      <c r="E47" s="34">
        <f>E!$C74</f>
        <v>0</v>
      </c>
      <c r="F47" s="34">
        <f>F!$C74</f>
        <v>0</v>
      </c>
      <c r="G47" s="34">
        <f>G!$C74</f>
        <v>0</v>
      </c>
      <c r="H47" s="34">
        <f>H!$C74</f>
        <v>0</v>
      </c>
      <c r="I47" s="34">
        <f>I!$C74</f>
        <v>0</v>
      </c>
      <c r="J47" s="34">
        <f>J!$C74</f>
        <v>0</v>
      </c>
      <c r="K47" s="34">
        <f>K!$C74</f>
        <v>0</v>
      </c>
      <c r="L47" s="34">
        <f>L!$C74</f>
        <v>0</v>
      </c>
      <c r="M47" s="34">
        <f>M!$C74</f>
        <v>0</v>
      </c>
      <c r="N47" s="34">
        <f>N!$C74</f>
        <v>0</v>
      </c>
      <c r="O47" s="34">
        <f>O!$C74</f>
        <v>0</v>
      </c>
      <c r="P47" s="34">
        <f>P!$C74</f>
        <v>0</v>
      </c>
      <c r="Q47" s="34">
        <f>Q!$C74</f>
        <v>0</v>
      </c>
      <c r="R47" s="34">
        <f>'R'!$C74</f>
        <v>0</v>
      </c>
      <c r="S47" s="34">
        <f>S!$C74</f>
        <v>0</v>
      </c>
      <c r="T47" s="34">
        <f>T!$C74</f>
        <v>0</v>
      </c>
      <c r="U47" s="34">
        <f>U!$C74</f>
        <v>0</v>
      </c>
      <c r="V47" s="34">
        <f>V!$C74</f>
        <v>0</v>
      </c>
      <c r="W47" s="34">
        <f>W!$C74</f>
        <v>0</v>
      </c>
      <c r="X47" s="34">
        <f>X!$C74</f>
        <v>0</v>
      </c>
      <c r="Y47" s="181">
        <f>SUM(B47:X47)</f>
        <v>0</v>
      </c>
      <c r="Z47" s="181">
        <f>IF(B!B253="",0,B!$C$11+B!$C$8*B!C255)</f>
        <v>240</v>
      </c>
      <c r="AA47" s="181">
        <f>Y47-Z47</f>
        <v>-240</v>
      </c>
    </row>
    <row r="48" spans="1:27" ht="16.5" thickBot="1">
      <c r="A48" s="194" t="s">
        <v>200</v>
      </c>
      <c r="B48" s="36">
        <f t="shared" ref="B48:AA48" si="5">SUM(B43:B47)</f>
        <v>0</v>
      </c>
      <c r="C48" s="36">
        <f t="shared" si="5"/>
        <v>25</v>
      </c>
      <c r="D48" s="36">
        <f t="shared" si="5"/>
        <v>30</v>
      </c>
      <c r="E48" s="36">
        <f t="shared" si="5"/>
        <v>5</v>
      </c>
      <c r="F48" s="36">
        <f t="shared" si="5"/>
        <v>5</v>
      </c>
      <c r="G48" s="36">
        <f t="shared" si="5"/>
        <v>0</v>
      </c>
      <c r="H48" s="36">
        <f t="shared" si="5"/>
        <v>0</v>
      </c>
      <c r="I48" s="36">
        <f t="shared" si="5"/>
        <v>0</v>
      </c>
      <c r="J48" s="36">
        <f t="shared" si="5"/>
        <v>0</v>
      </c>
      <c r="K48" s="36">
        <f t="shared" si="5"/>
        <v>0</v>
      </c>
      <c r="L48" s="36">
        <f t="shared" si="5"/>
        <v>0</v>
      </c>
      <c r="M48" s="36">
        <f t="shared" si="5"/>
        <v>0</v>
      </c>
      <c r="N48" s="36">
        <f t="shared" si="5"/>
        <v>0</v>
      </c>
      <c r="O48" s="36">
        <f t="shared" si="5"/>
        <v>0</v>
      </c>
      <c r="P48" s="36">
        <f t="shared" si="5"/>
        <v>0</v>
      </c>
      <c r="Q48" s="36">
        <f t="shared" si="5"/>
        <v>0</v>
      </c>
      <c r="R48" s="36">
        <f t="shared" si="5"/>
        <v>0</v>
      </c>
      <c r="S48" s="36">
        <f t="shared" si="5"/>
        <v>0</v>
      </c>
      <c r="T48" s="36">
        <f t="shared" si="5"/>
        <v>0</v>
      </c>
      <c r="U48" s="36">
        <f t="shared" si="5"/>
        <v>0</v>
      </c>
      <c r="V48" s="36">
        <f t="shared" si="5"/>
        <v>0</v>
      </c>
      <c r="W48" s="36">
        <f t="shared" si="5"/>
        <v>0</v>
      </c>
      <c r="X48" s="37">
        <f t="shared" si="5"/>
        <v>0</v>
      </c>
      <c r="Y48" s="185">
        <f>SUM(Y43:Y47)</f>
        <v>65</v>
      </c>
      <c r="Z48" s="185">
        <f t="shared" si="5"/>
        <v>1200</v>
      </c>
      <c r="AA48" s="185">
        <f t="shared" si="5"/>
        <v>-1135</v>
      </c>
    </row>
    <row r="49" spans="1:27" ht="18">
      <c r="A49" s="179"/>
      <c r="B49" s="179"/>
      <c r="Y49" s="182" t="s">
        <v>97</v>
      </c>
      <c r="Z49" s="182" t="s">
        <v>97</v>
      </c>
      <c r="AA49" s="182" t="s">
        <v>97</v>
      </c>
    </row>
    <row r="50" spans="1:27" ht="18.75" thickBot="1">
      <c r="A50" s="178" t="str">
        <f>'C'!A82</f>
        <v>YOUNG BLOODS</v>
      </c>
      <c r="B50" s="178" t="s">
        <v>199</v>
      </c>
      <c r="C50" s="31" t="s">
        <v>75</v>
      </c>
      <c r="D50" s="31" t="s">
        <v>76</v>
      </c>
      <c r="E50" s="31" t="s">
        <v>77</v>
      </c>
      <c r="F50" s="31" t="s">
        <v>78</v>
      </c>
      <c r="G50" s="31" t="s">
        <v>79</v>
      </c>
      <c r="H50" s="31" t="s">
        <v>80</v>
      </c>
      <c r="I50" s="31" t="s">
        <v>81</v>
      </c>
      <c r="J50" s="31" t="s">
        <v>82</v>
      </c>
      <c r="K50" s="31" t="s">
        <v>83</v>
      </c>
      <c r="L50" s="31" t="s">
        <v>84</v>
      </c>
      <c r="M50" s="31" t="s">
        <v>85</v>
      </c>
      <c r="N50" s="31" t="s">
        <v>86</v>
      </c>
      <c r="O50" s="31" t="s">
        <v>87</v>
      </c>
      <c r="P50" s="31" t="s">
        <v>88</v>
      </c>
      <c r="Q50" s="31" t="s">
        <v>89</v>
      </c>
      <c r="R50" s="31" t="s">
        <v>90</v>
      </c>
      <c r="S50" s="31" t="s">
        <v>91</v>
      </c>
      <c r="T50" s="31" t="s">
        <v>92</v>
      </c>
      <c r="U50" s="31" t="s">
        <v>93</v>
      </c>
      <c r="V50" s="31" t="s">
        <v>94</v>
      </c>
      <c r="W50" s="31" t="s">
        <v>95</v>
      </c>
      <c r="X50" s="32" t="s">
        <v>96</v>
      </c>
      <c r="Y50" s="183" t="s">
        <v>139</v>
      </c>
      <c r="Z50" s="183" t="s">
        <v>201</v>
      </c>
      <c r="AA50" s="183" t="s">
        <v>202</v>
      </c>
    </row>
    <row r="51" spans="1:27" ht="15.75">
      <c r="A51" s="193" t="str">
        <f>'C'!A83</f>
        <v>GARY</v>
      </c>
      <c r="B51" s="34">
        <f>IF(B!C276=TRUE,14,0)</f>
        <v>0</v>
      </c>
      <c r="C51" s="34">
        <f>'C'!$C83</f>
        <v>0</v>
      </c>
      <c r="D51" s="34">
        <f>D!$C83</f>
        <v>40</v>
      </c>
      <c r="E51" s="34">
        <f>E!$C83</f>
        <v>5</v>
      </c>
      <c r="F51" s="34">
        <f>F!$C83</f>
        <v>5</v>
      </c>
      <c r="G51" s="34">
        <f>G!$C83</f>
        <v>0</v>
      </c>
      <c r="H51" s="34">
        <f>H!$C83</f>
        <v>0</v>
      </c>
      <c r="I51" s="34">
        <f>I!$C83</f>
        <v>0</v>
      </c>
      <c r="J51" s="34">
        <f>J!$C83</f>
        <v>0</v>
      </c>
      <c r="K51" s="34">
        <f>K!$C83</f>
        <v>0</v>
      </c>
      <c r="L51" s="34">
        <f>L!$C83</f>
        <v>0</v>
      </c>
      <c r="M51" s="34">
        <f>M!$C83</f>
        <v>0</v>
      </c>
      <c r="N51" s="34">
        <f>N!$C83</f>
        <v>0</v>
      </c>
      <c r="O51" s="34">
        <f>O!$C83</f>
        <v>0</v>
      </c>
      <c r="P51" s="34">
        <f>P!$C83</f>
        <v>0</v>
      </c>
      <c r="Q51" s="34">
        <f>Q!$C83</f>
        <v>0</v>
      </c>
      <c r="R51" s="34">
        <f>'R'!$C83</f>
        <v>0</v>
      </c>
      <c r="S51" s="34">
        <f>S!$C83</f>
        <v>0</v>
      </c>
      <c r="T51" s="34">
        <f>T!$C83</f>
        <v>0</v>
      </c>
      <c r="U51" s="34">
        <f>U!$C83</f>
        <v>0</v>
      </c>
      <c r="V51" s="34">
        <f>V!$C83</f>
        <v>0</v>
      </c>
      <c r="W51" s="34">
        <f>W!$C83</f>
        <v>0</v>
      </c>
      <c r="X51" s="34">
        <f>X!$C83</f>
        <v>0</v>
      </c>
      <c r="Y51" s="181">
        <f>SUM(B51:X51)</f>
        <v>50</v>
      </c>
      <c r="Z51" s="181">
        <f>IF(B!B276="",0,B!$C$11+B!$C$8*B!C278)</f>
        <v>240</v>
      </c>
      <c r="AA51" s="181">
        <f>Y51-Z51</f>
        <v>-190</v>
      </c>
    </row>
    <row r="52" spans="1:27" ht="15.75">
      <c r="A52" s="193" t="str">
        <f>'C'!A84</f>
        <v>RICH</v>
      </c>
      <c r="B52" s="34">
        <f>IF(B!C281=TRUE,14,0)</f>
        <v>0</v>
      </c>
      <c r="C52" s="34">
        <f>'C'!$C84</f>
        <v>0</v>
      </c>
      <c r="D52" s="34">
        <f>D!$C84</f>
        <v>30</v>
      </c>
      <c r="E52" s="34">
        <f>E!$C84</f>
        <v>5</v>
      </c>
      <c r="F52" s="34">
        <f>F!$C84</f>
        <v>5</v>
      </c>
      <c r="G52" s="34">
        <f>G!$C84</f>
        <v>0</v>
      </c>
      <c r="H52" s="34">
        <f>H!$C84</f>
        <v>0</v>
      </c>
      <c r="I52" s="34">
        <f>I!$C84</f>
        <v>0</v>
      </c>
      <c r="J52" s="34">
        <f>J!$C84</f>
        <v>0</v>
      </c>
      <c r="K52" s="34">
        <f>K!$C84</f>
        <v>0</v>
      </c>
      <c r="L52" s="34">
        <f>L!$C84</f>
        <v>0</v>
      </c>
      <c r="M52" s="34">
        <f>M!$C84</f>
        <v>0</v>
      </c>
      <c r="N52" s="34">
        <f>N!$C84</f>
        <v>0</v>
      </c>
      <c r="O52" s="34">
        <f>O!$C84</f>
        <v>0</v>
      </c>
      <c r="P52" s="34">
        <f>P!$C84</f>
        <v>0</v>
      </c>
      <c r="Q52" s="34">
        <f>Q!$C84</f>
        <v>0</v>
      </c>
      <c r="R52" s="34">
        <f>'R'!$C84</f>
        <v>0</v>
      </c>
      <c r="S52" s="34">
        <f>S!$C84</f>
        <v>0</v>
      </c>
      <c r="T52" s="34">
        <f>T!$C84</f>
        <v>0</v>
      </c>
      <c r="U52" s="34">
        <f>U!$C84</f>
        <v>0</v>
      </c>
      <c r="V52" s="34">
        <f>V!$C84</f>
        <v>0</v>
      </c>
      <c r="W52" s="34">
        <f>W!$C84</f>
        <v>0</v>
      </c>
      <c r="X52" s="34">
        <f>X!$C84</f>
        <v>0</v>
      </c>
      <c r="Y52" s="181">
        <f>SUM(B52:X52)</f>
        <v>40</v>
      </c>
      <c r="Z52" s="181">
        <f>IF(B!B281="",0,B!$C$11+B!$C$8*B!C283)</f>
        <v>240</v>
      </c>
      <c r="AA52" s="181">
        <f>Y52-Z52</f>
        <v>-200</v>
      </c>
    </row>
    <row r="53" spans="1:27" ht="15.75">
      <c r="A53" s="193" t="str">
        <f>'C'!A85</f>
        <v>VIC</v>
      </c>
      <c r="B53" s="34">
        <f>IF(B!C286=TRUE,14,0)</f>
        <v>0</v>
      </c>
      <c r="C53" s="34">
        <f>'C'!$C85</f>
        <v>0</v>
      </c>
      <c r="D53" s="34">
        <f>D!$C85</f>
        <v>0</v>
      </c>
      <c r="E53" s="34">
        <f>E!$C85</f>
        <v>5</v>
      </c>
      <c r="F53" s="34">
        <f>F!$C85</f>
        <v>5</v>
      </c>
      <c r="G53" s="34">
        <f>G!$C85</f>
        <v>0</v>
      </c>
      <c r="H53" s="34">
        <f>H!$C85</f>
        <v>0</v>
      </c>
      <c r="I53" s="34">
        <f>I!$C85</f>
        <v>0</v>
      </c>
      <c r="J53" s="34">
        <f>J!$C85</f>
        <v>0</v>
      </c>
      <c r="K53" s="34">
        <f>K!$C85</f>
        <v>0</v>
      </c>
      <c r="L53" s="34">
        <f>L!$C85</f>
        <v>0</v>
      </c>
      <c r="M53" s="34">
        <f>M!$C85</f>
        <v>0</v>
      </c>
      <c r="N53" s="34">
        <f>N!$C85</f>
        <v>0</v>
      </c>
      <c r="O53" s="34">
        <f>O!$C85</f>
        <v>0</v>
      </c>
      <c r="P53" s="34">
        <f>P!$C85</f>
        <v>0</v>
      </c>
      <c r="Q53" s="34">
        <f>Q!$C85</f>
        <v>0</v>
      </c>
      <c r="R53" s="34">
        <f>'R'!$C85</f>
        <v>0</v>
      </c>
      <c r="S53" s="34">
        <f>S!$C85</f>
        <v>0</v>
      </c>
      <c r="T53" s="34">
        <f>T!$C85</f>
        <v>0</v>
      </c>
      <c r="U53" s="34">
        <f>U!$C85</f>
        <v>0</v>
      </c>
      <c r="V53" s="34">
        <f>V!$C85</f>
        <v>0</v>
      </c>
      <c r="W53" s="34">
        <f>W!$C85</f>
        <v>0</v>
      </c>
      <c r="X53" s="34">
        <f>X!$C85</f>
        <v>0</v>
      </c>
      <c r="Y53" s="181">
        <f>SUM(B53:X53)</f>
        <v>10</v>
      </c>
      <c r="Z53" s="181">
        <f>IF(B!B286="",0,B!$C$11+B!$C$8*B!C288)</f>
        <v>240</v>
      </c>
      <c r="AA53" s="181">
        <f>Y53-Z53</f>
        <v>-230</v>
      </c>
    </row>
    <row r="54" spans="1:27" ht="15.75">
      <c r="A54" s="193" t="str">
        <f>'C'!A86</f>
        <v>JIM</v>
      </c>
      <c r="B54" s="34">
        <f>IF(B!C291=TRUE,14,0)</f>
        <v>0</v>
      </c>
      <c r="C54" s="34">
        <f>'C'!$C86</f>
        <v>10</v>
      </c>
      <c r="D54" s="34">
        <f>D!$C86</f>
        <v>20</v>
      </c>
      <c r="E54" s="34">
        <f>E!$C86</f>
        <v>5</v>
      </c>
      <c r="F54" s="34">
        <f>F!$C86</f>
        <v>10</v>
      </c>
      <c r="G54" s="34">
        <f>G!$C86</f>
        <v>0</v>
      </c>
      <c r="H54" s="34">
        <f>H!$C86</f>
        <v>0</v>
      </c>
      <c r="I54" s="34">
        <f>I!$C86</f>
        <v>0</v>
      </c>
      <c r="J54" s="34">
        <f>J!$C86</f>
        <v>0</v>
      </c>
      <c r="K54" s="34">
        <f>K!$C86</f>
        <v>0</v>
      </c>
      <c r="L54" s="34">
        <f>L!$C86</f>
        <v>0</v>
      </c>
      <c r="M54" s="34">
        <f>M!$C86</f>
        <v>0</v>
      </c>
      <c r="N54" s="34">
        <f>N!$C86</f>
        <v>0</v>
      </c>
      <c r="O54" s="34">
        <f>O!$C86</f>
        <v>0</v>
      </c>
      <c r="P54" s="34">
        <f>P!$C86</f>
        <v>0</v>
      </c>
      <c r="Q54" s="34">
        <f>Q!$C86</f>
        <v>0</v>
      </c>
      <c r="R54" s="34">
        <f>'R'!$C86</f>
        <v>0</v>
      </c>
      <c r="S54" s="34">
        <f>S!$C86</f>
        <v>0</v>
      </c>
      <c r="T54" s="34">
        <f>T!$C86</f>
        <v>0</v>
      </c>
      <c r="U54" s="34">
        <f>U!$C86</f>
        <v>0</v>
      </c>
      <c r="V54" s="34">
        <f>V!$C86</f>
        <v>0</v>
      </c>
      <c r="W54" s="34">
        <f>W!$C86</f>
        <v>0</v>
      </c>
      <c r="X54" s="34">
        <f>X!$C86</f>
        <v>0</v>
      </c>
      <c r="Y54" s="181">
        <f>SUM(B54:X54)</f>
        <v>45</v>
      </c>
      <c r="Z54" s="181">
        <f>IF(B!B291="",0,B!$C$11+B!$C$8*B!C293)</f>
        <v>240</v>
      </c>
      <c r="AA54" s="181">
        <f>Y54-Z54</f>
        <v>-195</v>
      </c>
    </row>
    <row r="55" spans="1:27" ht="16.5" thickBot="1">
      <c r="A55" s="193" t="str">
        <f>'C'!A87</f>
        <v>PAM</v>
      </c>
      <c r="B55" s="34">
        <f>IF(B!C296=TRUE,14,0)</f>
        <v>0</v>
      </c>
      <c r="C55" s="34">
        <f>'C'!$C87</f>
        <v>10</v>
      </c>
      <c r="D55" s="34">
        <f>D!$C87</f>
        <v>20</v>
      </c>
      <c r="E55" s="34">
        <f>E!$C87</f>
        <v>5</v>
      </c>
      <c r="F55" s="34">
        <f>F!$C87</f>
        <v>10</v>
      </c>
      <c r="G55" s="34">
        <f>G!$C87</f>
        <v>0</v>
      </c>
      <c r="H55" s="34">
        <f>H!$C87</f>
        <v>0</v>
      </c>
      <c r="I55" s="34">
        <f>I!$C87</f>
        <v>0</v>
      </c>
      <c r="J55" s="34">
        <f>J!$C87</f>
        <v>0</v>
      </c>
      <c r="K55" s="34">
        <f>K!$C87</f>
        <v>0</v>
      </c>
      <c r="L55" s="34">
        <f>L!$C87</f>
        <v>0</v>
      </c>
      <c r="M55" s="34">
        <f>M!$C87</f>
        <v>0</v>
      </c>
      <c r="N55" s="34">
        <f>N!$C87</f>
        <v>0</v>
      </c>
      <c r="O55" s="34">
        <f>O!$C87</f>
        <v>0</v>
      </c>
      <c r="P55" s="34">
        <f>P!$C87</f>
        <v>0</v>
      </c>
      <c r="Q55" s="34">
        <f>Q!$C87</f>
        <v>0</v>
      </c>
      <c r="R55" s="34">
        <f>'R'!$C87</f>
        <v>0</v>
      </c>
      <c r="S55" s="34">
        <f>S!$C87</f>
        <v>0</v>
      </c>
      <c r="T55" s="34">
        <f>T!$C87</f>
        <v>0</v>
      </c>
      <c r="U55" s="34">
        <f>U!$C87</f>
        <v>0</v>
      </c>
      <c r="V55" s="34">
        <f>V!$C87</f>
        <v>0</v>
      </c>
      <c r="W55" s="34">
        <f>W!$C87</f>
        <v>0</v>
      </c>
      <c r="X55" s="34">
        <f>X!$C87</f>
        <v>0</v>
      </c>
      <c r="Y55" s="181">
        <f>SUM(B55:X55)</f>
        <v>45</v>
      </c>
      <c r="Z55" s="181">
        <f>IF(B!B296="",0,B!$C$11+B!$C$8*B!C298)</f>
        <v>240</v>
      </c>
      <c r="AA55" s="181">
        <f>Y55-Z55</f>
        <v>-195</v>
      </c>
    </row>
    <row r="56" spans="1:27" ht="16.5" thickBot="1">
      <c r="A56" s="194" t="s">
        <v>200</v>
      </c>
      <c r="B56" s="36">
        <f t="shared" ref="B56:AA56" si="6">SUM(B51:B55)</f>
        <v>0</v>
      </c>
      <c r="C56" s="36">
        <f t="shared" si="6"/>
        <v>20</v>
      </c>
      <c r="D56" s="36">
        <f t="shared" si="6"/>
        <v>110</v>
      </c>
      <c r="E56" s="36">
        <f t="shared" si="6"/>
        <v>25</v>
      </c>
      <c r="F56" s="36">
        <f t="shared" si="6"/>
        <v>35</v>
      </c>
      <c r="G56" s="36">
        <f t="shared" si="6"/>
        <v>0</v>
      </c>
      <c r="H56" s="36">
        <f t="shared" si="6"/>
        <v>0</v>
      </c>
      <c r="I56" s="36">
        <f t="shared" si="6"/>
        <v>0</v>
      </c>
      <c r="J56" s="36">
        <f t="shared" si="6"/>
        <v>0</v>
      </c>
      <c r="K56" s="36">
        <f t="shared" si="6"/>
        <v>0</v>
      </c>
      <c r="L56" s="36">
        <f t="shared" si="6"/>
        <v>0</v>
      </c>
      <c r="M56" s="36">
        <f t="shared" si="6"/>
        <v>0</v>
      </c>
      <c r="N56" s="36">
        <f t="shared" si="6"/>
        <v>0</v>
      </c>
      <c r="O56" s="36">
        <f t="shared" si="6"/>
        <v>0</v>
      </c>
      <c r="P56" s="36">
        <f t="shared" si="6"/>
        <v>0</v>
      </c>
      <c r="Q56" s="36">
        <f t="shared" si="6"/>
        <v>0</v>
      </c>
      <c r="R56" s="36">
        <f t="shared" si="6"/>
        <v>0</v>
      </c>
      <c r="S56" s="36">
        <f t="shared" si="6"/>
        <v>0</v>
      </c>
      <c r="T56" s="36">
        <f t="shared" si="6"/>
        <v>0</v>
      </c>
      <c r="U56" s="36">
        <f t="shared" si="6"/>
        <v>0</v>
      </c>
      <c r="V56" s="36">
        <f t="shared" si="6"/>
        <v>0</v>
      </c>
      <c r="W56" s="36">
        <f t="shared" si="6"/>
        <v>0</v>
      </c>
      <c r="X56" s="37">
        <f t="shared" si="6"/>
        <v>0</v>
      </c>
      <c r="Y56" s="185">
        <f>SUM(Y51:Y55)</f>
        <v>190</v>
      </c>
      <c r="Z56" s="185">
        <f t="shared" si="6"/>
        <v>1200</v>
      </c>
      <c r="AA56" s="185">
        <f t="shared" si="6"/>
        <v>-1010</v>
      </c>
    </row>
    <row r="57" spans="1:27" ht="18">
      <c r="A57" s="179"/>
      <c r="B57" s="179"/>
      <c r="Y57" s="182" t="s">
        <v>97</v>
      </c>
      <c r="Z57" s="182" t="s">
        <v>97</v>
      </c>
      <c r="AA57" s="182" t="s">
        <v>97</v>
      </c>
    </row>
    <row r="58" spans="1:27" ht="18.75" thickBot="1">
      <c r="A58" s="178" t="str">
        <f>'C'!A95</f>
        <v>THE BOYS</v>
      </c>
      <c r="B58" s="178" t="s">
        <v>199</v>
      </c>
      <c r="C58" s="31" t="s">
        <v>75</v>
      </c>
      <c r="D58" s="31" t="s">
        <v>76</v>
      </c>
      <c r="E58" s="31" t="s">
        <v>77</v>
      </c>
      <c r="F58" s="31" t="s">
        <v>78</v>
      </c>
      <c r="G58" s="31" t="s">
        <v>79</v>
      </c>
      <c r="H58" s="31" t="s">
        <v>80</v>
      </c>
      <c r="I58" s="31" t="s">
        <v>81</v>
      </c>
      <c r="J58" s="31" t="s">
        <v>82</v>
      </c>
      <c r="K58" s="31" t="s">
        <v>83</v>
      </c>
      <c r="L58" s="31" t="s">
        <v>84</v>
      </c>
      <c r="M58" s="31" t="s">
        <v>85</v>
      </c>
      <c r="N58" s="31" t="s">
        <v>86</v>
      </c>
      <c r="O58" s="31" t="s">
        <v>87</v>
      </c>
      <c r="P58" s="31" t="s">
        <v>88</v>
      </c>
      <c r="Q58" s="31" t="s">
        <v>89</v>
      </c>
      <c r="R58" s="31" t="s">
        <v>90</v>
      </c>
      <c r="S58" s="31" t="s">
        <v>91</v>
      </c>
      <c r="T58" s="31" t="s">
        <v>92</v>
      </c>
      <c r="U58" s="31" t="s">
        <v>93</v>
      </c>
      <c r="V58" s="31" t="s">
        <v>94</v>
      </c>
      <c r="W58" s="31" t="s">
        <v>95</v>
      </c>
      <c r="X58" s="32" t="s">
        <v>96</v>
      </c>
      <c r="Y58" s="183" t="s">
        <v>139</v>
      </c>
      <c r="Z58" s="183" t="s">
        <v>201</v>
      </c>
      <c r="AA58" s="183" t="s">
        <v>202</v>
      </c>
    </row>
    <row r="59" spans="1:27" ht="15.75">
      <c r="A59" s="193" t="str">
        <f>'C'!A96</f>
        <v>JOHN A</v>
      </c>
      <c r="B59" s="34">
        <f>IF(B!C319=TRUE,14,0)</f>
        <v>0</v>
      </c>
      <c r="C59" s="34">
        <f>'C'!$C96</f>
        <v>20</v>
      </c>
      <c r="D59" s="34">
        <f>D!$C96</f>
        <v>0</v>
      </c>
      <c r="E59" s="34">
        <f>E!$C96</f>
        <v>0</v>
      </c>
      <c r="F59" s="34">
        <f>F!$C96</f>
        <v>0</v>
      </c>
      <c r="G59" s="34">
        <f>G!$C96</f>
        <v>0</v>
      </c>
      <c r="H59" s="34">
        <f>H!$C96</f>
        <v>0</v>
      </c>
      <c r="I59" s="34">
        <f>I!$C96</f>
        <v>0</v>
      </c>
      <c r="J59" s="34">
        <f>J!$C96</f>
        <v>0</v>
      </c>
      <c r="K59" s="34">
        <f>K!$C96</f>
        <v>0</v>
      </c>
      <c r="L59" s="34">
        <f>L!$C96</f>
        <v>0</v>
      </c>
      <c r="M59" s="34">
        <f>M!$C96</f>
        <v>0</v>
      </c>
      <c r="N59" s="34">
        <f>N!$C96</f>
        <v>0</v>
      </c>
      <c r="O59" s="34">
        <f>O!$C96</f>
        <v>0</v>
      </c>
      <c r="P59" s="34">
        <f>P!$C96</f>
        <v>0</v>
      </c>
      <c r="Q59" s="34">
        <f>Q!$C96</f>
        <v>0</v>
      </c>
      <c r="R59" s="34">
        <f>'R'!$C96</f>
        <v>0</v>
      </c>
      <c r="S59" s="34">
        <f>S!$C96</f>
        <v>0</v>
      </c>
      <c r="T59" s="34">
        <f>T!$C96</f>
        <v>0</v>
      </c>
      <c r="U59" s="34">
        <f>U!$C96</f>
        <v>0</v>
      </c>
      <c r="V59" s="34">
        <f>V!$C96</f>
        <v>0</v>
      </c>
      <c r="W59" s="34">
        <f>W!$C96</f>
        <v>0</v>
      </c>
      <c r="X59" s="34">
        <f>X!$C96</f>
        <v>0</v>
      </c>
      <c r="Y59" s="181">
        <f>SUM(B59:X59)</f>
        <v>20</v>
      </c>
      <c r="Z59" s="181">
        <f>IF(B!B319="",0,B!$C$11+B!$C$8*B!C321)</f>
        <v>240</v>
      </c>
      <c r="AA59" s="181">
        <f>Y59-Z59</f>
        <v>-220</v>
      </c>
    </row>
    <row r="60" spans="1:27" ht="15.75">
      <c r="A60" s="193" t="str">
        <f>'C'!A97</f>
        <v>BOBBY</v>
      </c>
      <c r="B60" s="34">
        <f>IF(B!C324=TRUE,14,0)</f>
        <v>0</v>
      </c>
      <c r="C60" s="34">
        <f>'C'!$C97</f>
        <v>0</v>
      </c>
      <c r="D60" s="34">
        <f>D!$C97</f>
        <v>0</v>
      </c>
      <c r="E60" s="34">
        <f>E!$C97</f>
        <v>0</v>
      </c>
      <c r="F60" s="34">
        <f>F!$C97</f>
        <v>0</v>
      </c>
      <c r="G60" s="34">
        <f>G!$C97</f>
        <v>0</v>
      </c>
      <c r="H60" s="34">
        <f>H!$C97</f>
        <v>0</v>
      </c>
      <c r="I60" s="34">
        <f>I!$C97</f>
        <v>0</v>
      </c>
      <c r="J60" s="34">
        <f>J!$C97</f>
        <v>0</v>
      </c>
      <c r="K60" s="34">
        <f>K!$C97</f>
        <v>0</v>
      </c>
      <c r="L60" s="34">
        <f>L!$C97</f>
        <v>0</v>
      </c>
      <c r="M60" s="34">
        <f>M!$C97</f>
        <v>0</v>
      </c>
      <c r="N60" s="34">
        <f>N!$C97</f>
        <v>0</v>
      </c>
      <c r="O60" s="34">
        <f>O!$C97</f>
        <v>0</v>
      </c>
      <c r="P60" s="34">
        <f>P!$C97</f>
        <v>0</v>
      </c>
      <c r="Q60" s="34">
        <f>Q!$C97</f>
        <v>0</v>
      </c>
      <c r="R60" s="34">
        <f>'R'!$C97</f>
        <v>0</v>
      </c>
      <c r="S60" s="34">
        <f>S!$C97</f>
        <v>0</v>
      </c>
      <c r="T60" s="34">
        <f>T!$C97</f>
        <v>0</v>
      </c>
      <c r="U60" s="34">
        <f>U!$C97</f>
        <v>0</v>
      </c>
      <c r="V60" s="34">
        <f>V!$C97</f>
        <v>0</v>
      </c>
      <c r="W60" s="34">
        <f>W!$C97</f>
        <v>0</v>
      </c>
      <c r="X60" s="34">
        <f>X!$C97</f>
        <v>0</v>
      </c>
      <c r="Y60" s="181">
        <f>SUM(B60:X60)</f>
        <v>0</v>
      </c>
      <c r="Z60" s="181">
        <f>IF(B!B324="",0,B!$C$11+B!$C$8*B!C326)</f>
        <v>240</v>
      </c>
      <c r="AA60" s="181">
        <f>Y60-Z60</f>
        <v>-240</v>
      </c>
    </row>
    <row r="61" spans="1:27" ht="15.75">
      <c r="A61" s="193" t="str">
        <f>'C'!A98</f>
        <v>MIKE</v>
      </c>
      <c r="B61" s="34">
        <f>IF(B!C329=TRUE,14,0)</f>
        <v>0</v>
      </c>
      <c r="C61" s="34">
        <f>'C'!$C98</f>
        <v>0</v>
      </c>
      <c r="D61" s="34">
        <f>D!$C98</f>
        <v>0</v>
      </c>
      <c r="E61" s="34">
        <f>E!$C98</f>
        <v>0</v>
      </c>
      <c r="F61" s="34">
        <f>F!$C98</f>
        <v>0</v>
      </c>
      <c r="G61" s="34">
        <f>G!$C98</f>
        <v>0</v>
      </c>
      <c r="H61" s="34">
        <f>H!$C98</f>
        <v>0</v>
      </c>
      <c r="I61" s="34">
        <f>I!$C98</f>
        <v>0</v>
      </c>
      <c r="J61" s="34">
        <f>J!$C98</f>
        <v>0</v>
      </c>
      <c r="K61" s="34">
        <f>K!$C98</f>
        <v>0</v>
      </c>
      <c r="L61" s="34">
        <f>L!$C98</f>
        <v>0</v>
      </c>
      <c r="M61" s="34">
        <f>M!$C98</f>
        <v>0</v>
      </c>
      <c r="N61" s="34">
        <f>N!$C98</f>
        <v>0</v>
      </c>
      <c r="O61" s="34">
        <f>O!$C98</f>
        <v>0</v>
      </c>
      <c r="P61" s="34">
        <f>P!$C98</f>
        <v>0</v>
      </c>
      <c r="Q61" s="34">
        <f>Q!$C98</f>
        <v>0</v>
      </c>
      <c r="R61" s="34">
        <f>'R'!$C98</f>
        <v>0</v>
      </c>
      <c r="S61" s="34">
        <f>S!$C98</f>
        <v>0</v>
      </c>
      <c r="T61" s="34">
        <f>T!$C98</f>
        <v>0</v>
      </c>
      <c r="U61" s="34">
        <f>U!$C98</f>
        <v>0</v>
      </c>
      <c r="V61" s="34">
        <f>V!$C98</f>
        <v>0</v>
      </c>
      <c r="W61" s="34">
        <f>W!$C98</f>
        <v>0</v>
      </c>
      <c r="X61" s="34">
        <f>X!$C98</f>
        <v>0</v>
      </c>
      <c r="Y61" s="181">
        <f>SUM(B61:X61)</f>
        <v>0</v>
      </c>
      <c r="Z61" s="181">
        <f>IF(B!B329="",0,B!$C$11+B!$C$8*B!C331)</f>
        <v>240</v>
      </c>
      <c r="AA61" s="181">
        <f>Y61-Z61</f>
        <v>-240</v>
      </c>
    </row>
    <row r="62" spans="1:27" ht="15.75">
      <c r="A62" s="193" t="str">
        <f>'C'!A99</f>
        <v>ROGER</v>
      </c>
      <c r="B62" s="34">
        <f>IF(B!C334=TRUE,14,0)</f>
        <v>0</v>
      </c>
      <c r="C62" s="34">
        <f>'C'!$C99</f>
        <v>0</v>
      </c>
      <c r="D62" s="34">
        <f>D!$C99</f>
        <v>0</v>
      </c>
      <c r="E62" s="34">
        <f>E!$C99</f>
        <v>0</v>
      </c>
      <c r="F62" s="34">
        <f>F!$C99</f>
        <v>0</v>
      </c>
      <c r="G62" s="34">
        <f>G!$C99</f>
        <v>0</v>
      </c>
      <c r="H62" s="34">
        <f>H!$C99</f>
        <v>0</v>
      </c>
      <c r="I62" s="34">
        <f>I!$C99</f>
        <v>0</v>
      </c>
      <c r="J62" s="34">
        <f>J!$C99</f>
        <v>0</v>
      </c>
      <c r="K62" s="34">
        <f>K!$C99</f>
        <v>0</v>
      </c>
      <c r="L62" s="34">
        <f>L!$C99</f>
        <v>0</v>
      </c>
      <c r="M62" s="34">
        <f>M!$C99</f>
        <v>0</v>
      </c>
      <c r="N62" s="34">
        <f>N!$C99</f>
        <v>0</v>
      </c>
      <c r="O62" s="34">
        <f>O!$C99</f>
        <v>0</v>
      </c>
      <c r="P62" s="34">
        <f>P!$C99</f>
        <v>0</v>
      </c>
      <c r="Q62" s="34">
        <f>Q!$C99</f>
        <v>0</v>
      </c>
      <c r="R62" s="34">
        <f>'R'!$C99</f>
        <v>0</v>
      </c>
      <c r="S62" s="34">
        <f>S!$C99</f>
        <v>0</v>
      </c>
      <c r="T62" s="34">
        <f>T!$C99</f>
        <v>0</v>
      </c>
      <c r="U62" s="34">
        <f>U!$C99</f>
        <v>0</v>
      </c>
      <c r="V62" s="34">
        <f>V!$C99</f>
        <v>0</v>
      </c>
      <c r="W62" s="34">
        <f>W!$C99</f>
        <v>0</v>
      </c>
      <c r="X62" s="34">
        <f>X!$C99</f>
        <v>0</v>
      </c>
      <c r="Y62" s="181">
        <f>SUM(B62:X62)</f>
        <v>0</v>
      </c>
      <c r="Z62" s="181">
        <f>IF(B!B334="",0,B!$C$11+B!$C$8*B!C336)</f>
        <v>240</v>
      </c>
      <c r="AA62" s="181">
        <f>Y62-Z62</f>
        <v>-240</v>
      </c>
    </row>
    <row r="63" spans="1:27" ht="16.5" thickBot="1">
      <c r="A63" s="193" t="str">
        <f>'C'!A100</f>
        <v>JOHN B.</v>
      </c>
      <c r="B63" s="34">
        <f>IF(B!C339=TRUE,14,0)</f>
        <v>0</v>
      </c>
      <c r="C63" s="34">
        <f>'C'!$C100</f>
        <v>0</v>
      </c>
      <c r="D63" s="34">
        <f>D!$C100</f>
        <v>0</v>
      </c>
      <c r="E63" s="34">
        <f>E!$C100</f>
        <v>0</v>
      </c>
      <c r="F63" s="34">
        <f>F!$C100</f>
        <v>0</v>
      </c>
      <c r="G63" s="34">
        <f>G!$C100</f>
        <v>0</v>
      </c>
      <c r="H63" s="34">
        <f>H!$C100</f>
        <v>0</v>
      </c>
      <c r="I63" s="34">
        <f>I!$C100</f>
        <v>0</v>
      </c>
      <c r="J63" s="34">
        <f>J!$C100</f>
        <v>0</v>
      </c>
      <c r="K63" s="34">
        <f>K!$C100</f>
        <v>0</v>
      </c>
      <c r="L63" s="34">
        <f>L!$C100</f>
        <v>0</v>
      </c>
      <c r="M63" s="34">
        <f>M!$C100</f>
        <v>0</v>
      </c>
      <c r="N63" s="34">
        <f>N!$C100</f>
        <v>0</v>
      </c>
      <c r="O63" s="34">
        <f>O!$C100</f>
        <v>0</v>
      </c>
      <c r="P63" s="34">
        <f>P!$C100</f>
        <v>0</v>
      </c>
      <c r="Q63" s="34">
        <f>Q!$C100</f>
        <v>0</v>
      </c>
      <c r="R63" s="34">
        <f>'R'!$C100</f>
        <v>0</v>
      </c>
      <c r="S63" s="34">
        <f>S!$C100</f>
        <v>0</v>
      </c>
      <c r="T63" s="34">
        <f>T!$C100</f>
        <v>0</v>
      </c>
      <c r="U63" s="34">
        <f>U!$C100</f>
        <v>0</v>
      </c>
      <c r="V63" s="34">
        <f>V!$C100</f>
        <v>0</v>
      </c>
      <c r="W63" s="34">
        <f>W!$C100</f>
        <v>0</v>
      </c>
      <c r="X63" s="34">
        <f>X!$C100</f>
        <v>0</v>
      </c>
      <c r="Y63" s="181">
        <f>SUM(B63:X63)</f>
        <v>0</v>
      </c>
      <c r="Z63" s="181">
        <f>IF(B!B339="",0,B!$C$11+B!$C$8*B!C341)</f>
        <v>240</v>
      </c>
      <c r="AA63" s="181">
        <f>Y63-Z63</f>
        <v>-240</v>
      </c>
    </row>
    <row r="64" spans="1:27" ht="16.5" thickBot="1">
      <c r="A64" s="194" t="s">
        <v>200</v>
      </c>
      <c r="B64" s="36">
        <f t="shared" ref="B64:AA64" si="7">SUM(B59:B63)</f>
        <v>0</v>
      </c>
      <c r="C64" s="36">
        <f t="shared" si="7"/>
        <v>20</v>
      </c>
      <c r="D64" s="36">
        <f t="shared" si="7"/>
        <v>0</v>
      </c>
      <c r="E64" s="36">
        <f t="shared" si="7"/>
        <v>0</v>
      </c>
      <c r="F64" s="36">
        <f t="shared" si="7"/>
        <v>0</v>
      </c>
      <c r="G64" s="36">
        <f t="shared" si="7"/>
        <v>0</v>
      </c>
      <c r="H64" s="36">
        <f t="shared" si="7"/>
        <v>0</v>
      </c>
      <c r="I64" s="36">
        <f t="shared" si="7"/>
        <v>0</v>
      </c>
      <c r="J64" s="36">
        <f t="shared" si="7"/>
        <v>0</v>
      </c>
      <c r="K64" s="36">
        <f t="shared" si="7"/>
        <v>0</v>
      </c>
      <c r="L64" s="36">
        <f t="shared" si="7"/>
        <v>0</v>
      </c>
      <c r="M64" s="36">
        <f t="shared" si="7"/>
        <v>0</v>
      </c>
      <c r="N64" s="36">
        <f t="shared" si="7"/>
        <v>0</v>
      </c>
      <c r="O64" s="36">
        <f t="shared" si="7"/>
        <v>0</v>
      </c>
      <c r="P64" s="36">
        <f t="shared" si="7"/>
        <v>0</v>
      </c>
      <c r="Q64" s="36">
        <f t="shared" si="7"/>
        <v>0</v>
      </c>
      <c r="R64" s="36">
        <f t="shared" si="7"/>
        <v>0</v>
      </c>
      <c r="S64" s="36">
        <f t="shared" si="7"/>
        <v>0</v>
      </c>
      <c r="T64" s="36">
        <f t="shared" si="7"/>
        <v>0</v>
      </c>
      <c r="U64" s="36">
        <f t="shared" si="7"/>
        <v>0</v>
      </c>
      <c r="V64" s="36">
        <f t="shared" si="7"/>
        <v>0</v>
      </c>
      <c r="W64" s="36">
        <f t="shared" si="7"/>
        <v>0</v>
      </c>
      <c r="X64" s="37">
        <f t="shared" si="7"/>
        <v>0</v>
      </c>
      <c r="Y64" s="185">
        <f>SUM(Y59:Y63)</f>
        <v>20</v>
      </c>
      <c r="Z64" s="185">
        <f t="shared" si="7"/>
        <v>1200</v>
      </c>
      <c r="AA64" s="185">
        <f t="shared" si="7"/>
        <v>-1180</v>
      </c>
    </row>
    <row r="65" spans="1:27" ht="18">
      <c r="A65" s="179"/>
      <c r="B65" s="179"/>
      <c r="Y65" s="182" t="s">
        <v>97</v>
      </c>
      <c r="Z65" s="182" t="s">
        <v>97</v>
      </c>
      <c r="AA65" s="182" t="s">
        <v>97</v>
      </c>
    </row>
    <row r="66" spans="1:27" ht="18.75" thickBot="1">
      <c r="A66" s="178" t="str">
        <f>'C'!A108</f>
        <v>THE DOUGERNAUTS</v>
      </c>
      <c r="B66" s="178" t="s">
        <v>199</v>
      </c>
      <c r="C66" s="31" t="s">
        <v>75</v>
      </c>
      <c r="D66" s="31" t="s">
        <v>76</v>
      </c>
      <c r="E66" s="31" t="s">
        <v>77</v>
      </c>
      <c r="F66" s="31" t="s">
        <v>78</v>
      </c>
      <c r="G66" s="31" t="s">
        <v>79</v>
      </c>
      <c r="H66" s="31" t="s">
        <v>80</v>
      </c>
      <c r="I66" s="31" t="s">
        <v>81</v>
      </c>
      <c r="J66" s="31" t="s">
        <v>82</v>
      </c>
      <c r="K66" s="31" t="s">
        <v>83</v>
      </c>
      <c r="L66" s="31" t="s">
        <v>84</v>
      </c>
      <c r="M66" s="31" t="s">
        <v>85</v>
      </c>
      <c r="N66" s="31" t="s">
        <v>86</v>
      </c>
      <c r="O66" s="31" t="s">
        <v>87</v>
      </c>
      <c r="P66" s="31" t="s">
        <v>88</v>
      </c>
      <c r="Q66" s="31" t="s">
        <v>89</v>
      </c>
      <c r="R66" s="31" t="s">
        <v>90</v>
      </c>
      <c r="S66" s="31" t="s">
        <v>91</v>
      </c>
      <c r="T66" s="31" t="s">
        <v>92</v>
      </c>
      <c r="U66" s="31" t="s">
        <v>93</v>
      </c>
      <c r="V66" s="31" t="s">
        <v>94</v>
      </c>
      <c r="W66" s="31" t="s">
        <v>95</v>
      </c>
      <c r="X66" s="32" t="s">
        <v>96</v>
      </c>
      <c r="Y66" s="183" t="s">
        <v>139</v>
      </c>
      <c r="Z66" s="183" t="s">
        <v>201</v>
      </c>
      <c r="AA66" s="183" t="s">
        <v>202</v>
      </c>
    </row>
    <row r="67" spans="1:27" ht="15.75">
      <c r="A67" s="193" t="str">
        <f>'C'!A109</f>
        <v>MICHAEL</v>
      </c>
      <c r="B67" s="34">
        <f>IF(B!C362=TRUE,14,0)</f>
        <v>0</v>
      </c>
      <c r="C67" s="34">
        <f>'C'!$C109</f>
        <v>0</v>
      </c>
      <c r="D67" s="34">
        <f>D!$C109</f>
        <v>0</v>
      </c>
      <c r="E67" s="34">
        <f>E!$C109</f>
        <v>0</v>
      </c>
      <c r="F67" s="34">
        <f>F!$C109</f>
        <v>40</v>
      </c>
      <c r="G67" s="34">
        <f>G!$C109</f>
        <v>0</v>
      </c>
      <c r="H67" s="34">
        <f>H!$C109</f>
        <v>0</v>
      </c>
      <c r="I67" s="34">
        <f>I!$C109</f>
        <v>0</v>
      </c>
      <c r="J67" s="34">
        <f>J!$C109</f>
        <v>0</v>
      </c>
      <c r="K67" s="34">
        <f>K!$C109</f>
        <v>0</v>
      </c>
      <c r="L67" s="34">
        <f>L!$C109</f>
        <v>0</v>
      </c>
      <c r="M67" s="34">
        <f>M!$C109</f>
        <v>0</v>
      </c>
      <c r="N67" s="34">
        <f>N!$C109</f>
        <v>0</v>
      </c>
      <c r="O67" s="34">
        <f>O!$C109</f>
        <v>0</v>
      </c>
      <c r="P67" s="34">
        <f>P!$C109</f>
        <v>0</v>
      </c>
      <c r="Q67" s="34">
        <f>Q!$C109</f>
        <v>0</v>
      </c>
      <c r="R67" s="34">
        <f>'R'!$C109</f>
        <v>0</v>
      </c>
      <c r="S67" s="34">
        <f>S!$C109</f>
        <v>0</v>
      </c>
      <c r="T67" s="34">
        <f>T!$C109</f>
        <v>0</v>
      </c>
      <c r="U67" s="34">
        <f>U!$C109</f>
        <v>0</v>
      </c>
      <c r="V67" s="34">
        <f>V!$C109</f>
        <v>0</v>
      </c>
      <c r="W67" s="34">
        <f>W!$C109</f>
        <v>0</v>
      </c>
      <c r="X67" s="34">
        <f>X!$C109</f>
        <v>0</v>
      </c>
      <c r="Y67" s="181">
        <f>SUM(B67:X67)</f>
        <v>40</v>
      </c>
      <c r="Z67" s="181">
        <f>IF(B!B362="",0,B!$C$11+B!$C$8*B!C364)</f>
        <v>240</v>
      </c>
      <c r="AA67" s="181">
        <f>Y67-Z67</f>
        <v>-200</v>
      </c>
    </row>
    <row r="68" spans="1:27" ht="15.75">
      <c r="A68" s="193" t="str">
        <f>'C'!A110</f>
        <v>JIM</v>
      </c>
      <c r="B68" s="34">
        <f>IF(B!C367=TRUE,14,0)</f>
        <v>0</v>
      </c>
      <c r="C68" s="34">
        <f>'C'!$C110</f>
        <v>0</v>
      </c>
      <c r="D68" s="34">
        <f>D!$C110</f>
        <v>20</v>
      </c>
      <c r="E68" s="34">
        <f>E!$C110</f>
        <v>0</v>
      </c>
      <c r="F68" s="34">
        <f>F!$C110</f>
        <v>20</v>
      </c>
      <c r="G68" s="34">
        <f>G!$C110</f>
        <v>0</v>
      </c>
      <c r="H68" s="34">
        <f>H!$C110</f>
        <v>0</v>
      </c>
      <c r="I68" s="34">
        <f>I!$C110</f>
        <v>0</v>
      </c>
      <c r="J68" s="34">
        <f>J!$C110</f>
        <v>0</v>
      </c>
      <c r="K68" s="34">
        <f>K!$C110</f>
        <v>0</v>
      </c>
      <c r="L68" s="34">
        <f>L!$C110</f>
        <v>0</v>
      </c>
      <c r="M68" s="34">
        <f>M!$C110</f>
        <v>0</v>
      </c>
      <c r="N68" s="34">
        <f>N!$C110</f>
        <v>0</v>
      </c>
      <c r="O68" s="34">
        <f>O!$C110</f>
        <v>0</v>
      </c>
      <c r="P68" s="34">
        <f>P!$C110</f>
        <v>0</v>
      </c>
      <c r="Q68" s="34">
        <f>Q!$C110</f>
        <v>0</v>
      </c>
      <c r="R68" s="34">
        <f>'R'!$C110</f>
        <v>0</v>
      </c>
      <c r="S68" s="34">
        <f>S!$C110</f>
        <v>0</v>
      </c>
      <c r="T68" s="34">
        <f>T!$C110</f>
        <v>0</v>
      </c>
      <c r="U68" s="34">
        <f>U!$C110</f>
        <v>0</v>
      </c>
      <c r="V68" s="34">
        <f>V!$C110</f>
        <v>0</v>
      </c>
      <c r="W68" s="34">
        <f>W!$C110</f>
        <v>0</v>
      </c>
      <c r="X68" s="34">
        <f>X!$C110</f>
        <v>0</v>
      </c>
      <c r="Y68" s="181">
        <f>SUM(B68:X68)</f>
        <v>40</v>
      </c>
      <c r="Z68" s="181">
        <f>IF(B!B367="",0,B!$C$11+B!$C$8*B!C369)</f>
        <v>240</v>
      </c>
      <c r="AA68" s="181">
        <f>Y68-Z68</f>
        <v>-200</v>
      </c>
    </row>
    <row r="69" spans="1:27" ht="15.75">
      <c r="A69" s="193" t="str">
        <f>'C'!A111</f>
        <v>DOUG</v>
      </c>
      <c r="B69" s="34">
        <f>IF(B!C372=TRUE,14,0)</f>
        <v>0</v>
      </c>
      <c r="C69" s="34">
        <f>'C'!$C111</f>
        <v>25</v>
      </c>
      <c r="D69" s="34">
        <f>D!$C111</f>
        <v>0</v>
      </c>
      <c r="E69" s="34">
        <f>E!$C111</f>
        <v>0</v>
      </c>
      <c r="F69" s="34">
        <f>F!$C111</f>
        <v>10</v>
      </c>
      <c r="G69" s="34">
        <f>G!$C111</f>
        <v>0</v>
      </c>
      <c r="H69" s="34">
        <f>H!$C111</f>
        <v>0</v>
      </c>
      <c r="I69" s="34">
        <f>I!$C111</f>
        <v>0</v>
      </c>
      <c r="J69" s="34">
        <f>J!$C111</f>
        <v>0</v>
      </c>
      <c r="K69" s="34">
        <f>K!$C111</f>
        <v>0</v>
      </c>
      <c r="L69" s="34">
        <f>L!$C111</f>
        <v>0</v>
      </c>
      <c r="M69" s="34">
        <f>M!$C111</f>
        <v>0</v>
      </c>
      <c r="N69" s="34">
        <f>N!$C111</f>
        <v>0</v>
      </c>
      <c r="O69" s="34">
        <f>O!$C111</f>
        <v>0</v>
      </c>
      <c r="P69" s="34">
        <f>P!$C111</f>
        <v>0</v>
      </c>
      <c r="Q69" s="34">
        <f>Q!$C111</f>
        <v>0</v>
      </c>
      <c r="R69" s="34">
        <f>'R'!$C111</f>
        <v>0</v>
      </c>
      <c r="S69" s="34">
        <f>S!$C111</f>
        <v>0</v>
      </c>
      <c r="T69" s="34">
        <f>T!$C111</f>
        <v>0</v>
      </c>
      <c r="U69" s="34">
        <f>U!$C111</f>
        <v>0</v>
      </c>
      <c r="V69" s="34">
        <f>V!$C111</f>
        <v>0</v>
      </c>
      <c r="W69" s="34">
        <f>W!$C111</f>
        <v>0</v>
      </c>
      <c r="X69" s="34">
        <f>X!$C111</f>
        <v>0</v>
      </c>
      <c r="Y69" s="181">
        <f>SUM(B69:X69)</f>
        <v>35</v>
      </c>
      <c r="Z69" s="181">
        <f>IF(B!B372="",0,B!$C$11+B!$C$8*B!C374)</f>
        <v>240</v>
      </c>
      <c r="AA69" s="181">
        <f>Y69-Z69</f>
        <v>-205</v>
      </c>
    </row>
    <row r="70" spans="1:27" ht="15.75">
      <c r="A70" s="193" t="str">
        <f>'C'!A112</f>
        <v>SARAH</v>
      </c>
      <c r="B70" s="34">
        <f>IF(B!C377=TRUE,14,0)</f>
        <v>0</v>
      </c>
      <c r="C70" s="34">
        <f>'C'!$C112</f>
        <v>0</v>
      </c>
      <c r="D70" s="34">
        <f>D!$C112</f>
        <v>0</v>
      </c>
      <c r="E70" s="34">
        <f>E!$C112</f>
        <v>0</v>
      </c>
      <c r="F70" s="34">
        <f>F!$C112</f>
        <v>0</v>
      </c>
      <c r="G70" s="34">
        <f>G!$C112</f>
        <v>0</v>
      </c>
      <c r="H70" s="34">
        <f>H!$C112</f>
        <v>0</v>
      </c>
      <c r="I70" s="34">
        <f>I!$C112</f>
        <v>0</v>
      </c>
      <c r="J70" s="34">
        <f>J!$C112</f>
        <v>0</v>
      </c>
      <c r="K70" s="34">
        <f>K!$C112</f>
        <v>0</v>
      </c>
      <c r="L70" s="34">
        <f>L!$C112</f>
        <v>0</v>
      </c>
      <c r="M70" s="34">
        <f>M!$C112</f>
        <v>0</v>
      </c>
      <c r="N70" s="34">
        <f>N!$C112</f>
        <v>0</v>
      </c>
      <c r="O70" s="34">
        <f>O!$C112</f>
        <v>0</v>
      </c>
      <c r="P70" s="34">
        <f>P!$C112</f>
        <v>0</v>
      </c>
      <c r="Q70" s="34">
        <f>Q!$C112</f>
        <v>0</v>
      </c>
      <c r="R70" s="34">
        <f>'R'!$C112</f>
        <v>0</v>
      </c>
      <c r="S70" s="34">
        <f>S!$C112</f>
        <v>0</v>
      </c>
      <c r="T70" s="34">
        <f>T!$C112</f>
        <v>0</v>
      </c>
      <c r="U70" s="34">
        <f>U!$C112</f>
        <v>0</v>
      </c>
      <c r="V70" s="34">
        <f>V!$C112</f>
        <v>0</v>
      </c>
      <c r="W70" s="34">
        <f>W!$C112</f>
        <v>0</v>
      </c>
      <c r="X70" s="34">
        <f>X!$C112</f>
        <v>0</v>
      </c>
      <c r="Y70" s="181">
        <f>SUM(B70:X70)</f>
        <v>0</v>
      </c>
      <c r="Z70" s="181">
        <f>IF(B!B377="",0,B!$C$11+B!$C$8*B!C379)</f>
        <v>240</v>
      </c>
      <c r="AA70" s="181">
        <f>Y70-Z70</f>
        <v>-240</v>
      </c>
    </row>
    <row r="71" spans="1:27" ht="16.5" thickBot="1">
      <c r="A71" s="193" t="str">
        <f>'C'!A113</f>
        <v>KASH</v>
      </c>
      <c r="B71" s="34">
        <f>IF(B!C382=TRUE,14,0)</f>
        <v>0</v>
      </c>
      <c r="C71" s="34">
        <f>'C'!$C113</f>
        <v>0</v>
      </c>
      <c r="D71" s="34">
        <f>D!$C113</f>
        <v>0</v>
      </c>
      <c r="E71" s="34">
        <f>E!$C113</f>
        <v>0</v>
      </c>
      <c r="F71" s="34">
        <f>F!$C113</f>
        <v>0</v>
      </c>
      <c r="G71" s="34">
        <f>G!$C113</f>
        <v>0</v>
      </c>
      <c r="H71" s="34">
        <f>H!$C113</f>
        <v>0</v>
      </c>
      <c r="I71" s="34">
        <f>I!$C113</f>
        <v>0</v>
      </c>
      <c r="J71" s="34">
        <f>J!$C113</f>
        <v>0</v>
      </c>
      <c r="K71" s="34">
        <f>K!$C113</f>
        <v>0</v>
      </c>
      <c r="L71" s="34">
        <f>L!$C113</f>
        <v>0</v>
      </c>
      <c r="M71" s="34">
        <f>M!$C113</f>
        <v>0</v>
      </c>
      <c r="N71" s="34">
        <f>N!$C113</f>
        <v>0</v>
      </c>
      <c r="O71" s="34">
        <f>O!$C113</f>
        <v>0</v>
      </c>
      <c r="P71" s="34">
        <f>P!$C113</f>
        <v>0</v>
      </c>
      <c r="Q71" s="34">
        <f>Q!$C113</f>
        <v>0</v>
      </c>
      <c r="R71" s="34">
        <f>'R'!$C113</f>
        <v>0</v>
      </c>
      <c r="S71" s="34">
        <f>S!$C113</f>
        <v>0</v>
      </c>
      <c r="T71" s="34">
        <f>T!$C113</f>
        <v>0</v>
      </c>
      <c r="U71" s="34">
        <f>U!$C113</f>
        <v>0</v>
      </c>
      <c r="V71" s="34">
        <f>V!$C113</f>
        <v>0</v>
      </c>
      <c r="W71" s="34">
        <f>W!$C113</f>
        <v>0</v>
      </c>
      <c r="X71" s="34">
        <f>X!$C113</f>
        <v>0</v>
      </c>
      <c r="Y71" s="181">
        <f>SUM(B71:X71)</f>
        <v>0</v>
      </c>
      <c r="Z71" s="181">
        <f>IF(B!B382="",0,B!$C$11+B!$C$8*B!C384)</f>
        <v>240</v>
      </c>
      <c r="AA71" s="181">
        <f>Y71-Z71</f>
        <v>-240</v>
      </c>
    </row>
    <row r="72" spans="1:27" ht="16.5" thickBot="1">
      <c r="A72" s="194" t="s">
        <v>200</v>
      </c>
      <c r="B72" s="36">
        <f t="shared" ref="B72:AA72" si="8">SUM(B67:B71)</f>
        <v>0</v>
      </c>
      <c r="C72" s="36">
        <f t="shared" si="8"/>
        <v>25</v>
      </c>
      <c r="D72" s="36">
        <f t="shared" si="8"/>
        <v>20</v>
      </c>
      <c r="E72" s="36">
        <f t="shared" si="8"/>
        <v>0</v>
      </c>
      <c r="F72" s="36">
        <f t="shared" si="8"/>
        <v>70</v>
      </c>
      <c r="G72" s="36">
        <f t="shared" si="8"/>
        <v>0</v>
      </c>
      <c r="H72" s="36">
        <f t="shared" si="8"/>
        <v>0</v>
      </c>
      <c r="I72" s="36">
        <f t="shared" si="8"/>
        <v>0</v>
      </c>
      <c r="J72" s="36">
        <f t="shared" si="8"/>
        <v>0</v>
      </c>
      <c r="K72" s="36">
        <f t="shared" si="8"/>
        <v>0</v>
      </c>
      <c r="L72" s="36">
        <f t="shared" si="8"/>
        <v>0</v>
      </c>
      <c r="M72" s="36">
        <f t="shared" si="8"/>
        <v>0</v>
      </c>
      <c r="N72" s="36">
        <f t="shared" si="8"/>
        <v>0</v>
      </c>
      <c r="O72" s="36">
        <f t="shared" si="8"/>
        <v>0</v>
      </c>
      <c r="P72" s="36">
        <f t="shared" si="8"/>
        <v>0</v>
      </c>
      <c r="Q72" s="36">
        <f t="shared" si="8"/>
        <v>0</v>
      </c>
      <c r="R72" s="36">
        <f t="shared" si="8"/>
        <v>0</v>
      </c>
      <c r="S72" s="36">
        <f t="shared" si="8"/>
        <v>0</v>
      </c>
      <c r="T72" s="36">
        <f t="shared" si="8"/>
        <v>0</v>
      </c>
      <c r="U72" s="36">
        <f t="shared" si="8"/>
        <v>0</v>
      </c>
      <c r="V72" s="36">
        <f t="shared" si="8"/>
        <v>0</v>
      </c>
      <c r="W72" s="36">
        <f t="shared" si="8"/>
        <v>0</v>
      </c>
      <c r="X72" s="37">
        <f t="shared" si="8"/>
        <v>0</v>
      </c>
      <c r="Y72" s="185">
        <f>SUM(Y67:Y71)</f>
        <v>115</v>
      </c>
      <c r="Z72" s="185">
        <f t="shared" si="8"/>
        <v>1200</v>
      </c>
      <c r="AA72" s="185">
        <f t="shared" si="8"/>
        <v>-1085</v>
      </c>
    </row>
    <row r="73" spans="1:27" ht="18">
      <c r="A73" s="179"/>
      <c r="B73" s="179"/>
      <c r="Y73" s="182" t="s">
        <v>97</v>
      </c>
      <c r="Z73" s="182" t="s">
        <v>97</v>
      </c>
      <c r="AA73" s="182" t="s">
        <v>97</v>
      </c>
    </row>
    <row r="74" spans="1:27" ht="18.75" thickBot="1">
      <c r="A74" s="178" t="str">
        <f>'C'!A121</f>
        <v>CRAZY TRAIN</v>
      </c>
      <c r="B74" s="178" t="s">
        <v>199</v>
      </c>
      <c r="C74" s="31" t="s">
        <v>75</v>
      </c>
      <c r="D74" s="31" t="s">
        <v>76</v>
      </c>
      <c r="E74" s="31" t="s">
        <v>77</v>
      </c>
      <c r="F74" s="31" t="s">
        <v>78</v>
      </c>
      <c r="G74" s="31" t="s">
        <v>79</v>
      </c>
      <c r="H74" s="31" t="s">
        <v>80</v>
      </c>
      <c r="I74" s="31" t="s">
        <v>81</v>
      </c>
      <c r="J74" s="31" t="s">
        <v>82</v>
      </c>
      <c r="K74" s="31" t="s">
        <v>83</v>
      </c>
      <c r="L74" s="31" t="s">
        <v>84</v>
      </c>
      <c r="M74" s="31" t="s">
        <v>85</v>
      </c>
      <c r="N74" s="31" t="s">
        <v>86</v>
      </c>
      <c r="O74" s="31" t="s">
        <v>87</v>
      </c>
      <c r="P74" s="31" t="s">
        <v>88</v>
      </c>
      <c r="Q74" s="31" t="s">
        <v>89</v>
      </c>
      <c r="R74" s="31" t="s">
        <v>90</v>
      </c>
      <c r="S74" s="31" t="s">
        <v>91</v>
      </c>
      <c r="T74" s="31" t="s">
        <v>92</v>
      </c>
      <c r="U74" s="31" t="s">
        <v>93</v>
      </c>
      <c r="V74" s="31" t="s">
        <v>94</v>
      </c>
      <c r="W74" s="31" t="s">
        <v>95</v>
      </c>
      <c r="X74" s="32" t="s">
        <v>96</v>
      </c>
      <c r="Y74" s="183" t="s">
        <v>139</v>
      </c>
      <c r="Z74" s="183" t="s">
        <v>201</v>
      </c>
      <c r="AA74" s="183" t="s">
        <v>202</v>
      </c>
    </row>
    <row r="75" spans="1:27" ht="15.75">
      <c r="A75" s="193" t="str">
        <f>'C'!A122</f>
        <v>DARRIC</v>
      </c>
      <c r="B75" s="34">
        <f>IF(B!C405=TRUE,14,0)</f>
        <v>0</v>
      </c>
      <c r="C75" s="34">
        <f>'C'!$C122</f>
        <v>0</v>
      </c>
      <c r="D75" s="34">
        <f>D!$C122</f>
        <v>0</v>
      </c>
      <c r="E75" s="34">
        <f>E!$C122</f>
        <v>50</v>
      </c>
      <c r="F75" s="34">
        <f>F!$C122</f>
        <v>0</v>
      </c>
      <c r="G75" s="34">
        <f>G!$C122</f>
        <v>0</v>
      </c>
      <c r="H75" s="34">
        <f>H!$C122</f>
        <v>0</v>
      </c>
      <c r="I75" s="34">
        <f>I!$C122</f>
        <v>0</v>
      </c>
      <c r="J75" s="34">
        <f>J!$C122</f>
        <v>0</v>
      </c>
      <c r="K75" s="34">
        <f>K!$C122</f>
        <v>0</v>
      </c>
      <c r="L75" s="34">
        <f>L!$C122</f>
        <v>0</v>
      </c>
      <c r="M75" s="34">
        <f>M!$C122</f>
        <v>0</v>
      </c>
      <c r="N75" s="34">
        <f>N!$C122</f>
        <v>0</v>
      </c>
      <c r="O75" s="34">
        <f>O!$C122</f>
        <v>0</v>
      </c>
      <c r="P75" s="34">
        <f>P!$C122</f>
        <v>0</v>
      </c>
      <c r="Q75" s="34">
        <f>Q!$C122</f>
        <v>0</v>
      </c>
      <c r="R75" s="34">
        <f>'R'!$C122</f>
        <v>0</v>
      </c>
      <c r="S75" s="34">
        <f>S!$C122</f>
        <v>0</v>
      </c>
      <c r="T75" s="34">
        <f>T!$C122</f>
        <v>0</v>
      </c>
      <c r="U75" s="34">
        <f>U!$C122</f>
        <v>0</v>
      </c>
      <c r="V75" s="34">
        <f>V!$C122</f>
        <v>0</v>
      </c>
      <c r="W75" s="34">
        <f>W!$C122</f>
        <v>0</v>
      </c>
      <c r="X75" s="34">
        <f>X!$C122</f>
        <v>0</v>
      </c>
      <c r="Y75" s="181">
        <f>SUM(B75:X75)</f>
        <v>50</v>
      </c>
      <c r="Z75" s="181">
        <f>IF(B!B405="",0,B!$C$11+B!$C$8*B!C407)</f>
        <v>240</v>
      </c>
      <c r="AA75" s="181">
        <f>Y75-Z75</f>
        <v>-190</v>
      </c>
    </row>
    <row r="76" spans="1:27" ht="15.75">
      <c r="A76" s="193" t="str">
        <f>'C'!A123</f>
        <v>CHRIS</v>
      </c>
      <c r="B76" s="34">
        <f>IF(B!C410=TRUE,14,0)</f>
        <v>0</v>
      </c>
      <c r="C76" s="34">
        <f>'C'!$C123</f>
        <v>25</v>
      </c>
      <c r="D76" s="34">
        <f>D!$C123</f>
        <v>5</v>
      </c>
      <c r="E76" s="34">
        <f>E!$C123</f>
        <v>10</v>
      </c>
      <c r="F76" s="34">
        <f>F!$C123</f>
        <v>0</v>
      </c>
      <c r="G76" s="34">
        <f>G!$C123</f>
        <v>0</v>
      </c>
      <c r="H76" s="34">
        <f>H!$C123</f>
        <v>0</v>
      </c>
      <c r="I76" s="34">
        <f>I!$C123</f>
        <v>0</v>
      </c>
      <c r="J76" s="34">
        <f>J!$C123</f>
        <v>0</v>
      </c>
      <c r="K76" s="34">
        <f>K!$C123</f>
        <v>0</v>
      </c>
      <c r="L76" s="34">
        <f>L!$C123</f>
        <v>0</v>
      </c>
      <c r="M76" s="34">
        <f>M!$C123</f>
        <v>0</v>
      </c>
      <c r="N76" s="34">
        <f>N!$C123</f>
        <v>0</v>
      </c>
      <c r="O76" s="34">
        <f>O!$C123</f>
        <v>0</v>
      </c>
      <c r="P76" s="34">
        <f>P!$C123</f>
        <v>0</v>
      </c>
      <c r="Q76" s="34">
        <f>Q!$C123</f>
        <v>0</v>
      </c>
      <c r="R76" s="34">
        <f>'R'!$C123</f>
        <v>0</v>
      </c>
      <c r="S76" s="34">
        <f>S!$C123</f>
        <v>0</v>
      </c>
      <c r="T76" s="34">
        <f>T!$C123</f>
        <v>0</v>
      </c>
      <c r="U76" s="34">
        <f>U!$C123</f>
        <v>0</v>
      </c>
      <c r="V76" s="34">
        <f>V!$C123</f>
        <v>0</v>
      </c>
      <c r="W76" s="34">
        <f>W!$C123</f>
        <v>0</v>
      </c>
      <c r="X76" s="34">
        <f>X!$C123</f>
        <v>0</v>
      </c>
      <c r="Y76" s="181">
        <f>SUM(B76:X76)</f>
        <v>40</v>
      </c>
      <c r="Z76" s="181">
        <f>IF(B!B410="",0,B!$C$11+B!$C$8*B!C412)</f>
        <v>240</v>
      </c>
      <c r="AA76" s="181">
        <f>Y76-Z76</f>
        <v>-200</v>
      </c>
    </row>
    <row r="77" spans="1:27" ht="15.75">
      <c r="A77" s="193" t="str">
        <f>'C'!A124</f>
        <v>MIKE R.</v>
      </c>
      <c r="B77" s="34">
        <f>IF(B!C415=TRUE,14,0)</f>
        <v>0</v>
      </c>
      <c r="C77" s="34">
        <f>'C'!$C124</f>
        <v>0</v>
      </c>
      <c r="D77" s="34">
        <f>D!$C124</f>
        <v>0</v>
      </c>
      <c r="E77" s="34">
        <f>E!$C124</f>
        <v>0</v>
      </c>
      <c r="F77" s="34">
        <f>F!$C124</f>
        <v>0</v>
      </c>
      <c r="G77" s="34">
        <f>G!$C124</f>
        <v>0</v>
      </c>
      <c r="H77" s="34">
        <f>H!$C124</f>
        <v>0</v>
      </c>
      <c r="I77" s="34">
        <f>I!$C124</f>
        <v>0</v>
      </c>
      <c r="J77" s="34">
        <f>J!$C124</f>
        <v>0</v>
      </c>
      <c r="K77" s="34">
        <f>K!$C124</f>
        <v>0</v>
      </c>
      <c r="L77" s="34">
        <f>L!$C124</f>
        <v>0</v>
      </c>
      <c r="M77" s="34">
        <f>M!$C124</f>
        <v>0</v>
      </c>
      <c r="N77" s="34">
        <f>N!$C124</f>
        <v>0</v>
      </c>
      <c r="O77" s="34">
        <f>O!$C124</f>
        <v>0</v>
      </c>
      <c r="P77" s="34">
        <f>P!$C124</f>
        <v>0</v>
      </c>
      <c r="Q77" s="34">
        <f>Q!$C124</f>
        <v>0</v>
      </c>
      <c r="R77" s="34">
        <f>'R'!$C124</f>
        <v>0</v>
      </c>
      <c r="S77" s="34">
        <f>S!$C124</f>
        <v>0</v>
      </c>
      <c r="T77" s="34">
        <f>T!$C124</f>
        <v>0</v>
      </c>
      <c r="U77" s="34">
        <f>U!$C124</f>
        <v>0</v>
      </c>
      <c r="V77" s="34">
        <f>V!$C124</f>
        <v>0</v>
      </c>
      <c r="W77" s="34">
        <f>W!$C124</f>
        <v>0</v>
      </c>
      <c r="X77" s="34">
        <f>X!$C124</f>
        <v>0</v>
      </c>
      <c r="Y77" s="181">
        <f>SUM(B77:X77)</f>
        <v>0</v>
      </c>
      <c r="Z77" s="181">
        <f>IF(B!B415="",0,B!$C$11+B!$C$8*B!C417)</f>
        <v>240</v>
      </c>
      <c r="AA77" s="181">
        <f>Y77-Z77</f>
        <v>-240</v>
      </c>
    </row>
    <row r="78" spans="1:27" ht="15.75">
      <c r="A78" s="193" t="str">
        <f>'C'!A125</f>
        <v>SERGEI</v>
      </c>
      <c r="B78" s="34">
        <f>IF(B!C420=TRUE,14,0)</f>
        <v>0</v>
      </c>
      <c r="C78" s="34">
        <f>'C'!$C125</f>
        <v>0</v>
      </c>
      <c r="D78" s="34">
        <f>D!$C125</f>
        <v>0</v>
      </c>
      <c r="E78" s="34">
        <f>E!$C125</f>
        <v>0</v>
      </c>
      <c r="F78" s="34">
        <f>F!$C125</f>
        <v>0</v>
      </c>
      <c r="G78" s="34">
        <f>G!$C125</f>
        <v>0</v>
      </c>
      <c r="H78" s="34">
        <f>H!$C125</f>
        <v>0</v>
      </c>
      <c r="I78" s="34">
        <f>I!$C125</f>
        <v>0</v>
      </c>
      <c r="J78" s="34">
        <f>J!$C125</f>
        <v>0</v>
      </c>
      <c r="K78" s="34">
        <f>K!$C125</f>
        <v>0</v>
      </c>
      <c r="L78" s="34">
        <f>L!$C125</f>
        <v>0</v>
      </c>
      <c r="M78" s="34">
        <f>M!$C125</f>
        <v>0</v>
      </c>
      <c r="N78" s="34">
        <f>N!$C125</f>
        <v>0</v>
      </c>
      <c r="O78" s="34">
        <f>O!$C125</f>
        <v>0</v>
      </c>
      <c r="P78" s="34">
        <f>P!$C125</f>
        <v>0</v>
      </c>
      <c r="Q78" s="34">
        <f>Q!$C125</f>
        <v>0</v>
      </c>
      <c r="R78" s="34">
        <f>'R'!$C125</f>
        <v>0</v>
      </c>
      <c r="S78" s="34">
        <f>S!$C125</f>
        <v>0</v>
      </c>
      <c r="T78" s="34">
        <f>T!$C125</f>
        <v>0</v>
      </c>
      <c r="U78" s="34">
        <f>U!$C125</f>
        <v>0</v>
      </c>
      <c r="V78" s="34">
        <f>V!$C125</f>
        <v>0</v>
      </c>
      <c r="W78" s="34">
        <f>W!$C125</f>
        <v>0</v>
      </c>
      <c r="X78" s="34">
        <f>X!$C125</f>
        <v>0</v>
      </c>
      <c r="Y78" s="181">
        <f>SUM(B78:X78)</f>
        <v>0</v>
      </c>
      <c r="Z78" s="181">
        <f>IF(B!B420="",0,B!$C$11+B!$C$8*B!C422)</f>
        <v>240</v>
      </c>
      <c r="AA78" s="181">
        <f>Y78-Z78</f>
        <v>-240</v>
      </c>
    </row>
    <row r="79" spans="1:27" ht="16.5" thickBot="1">
      <c r="A79" s="193" t="str">
        <f>'C'!A126</f>
        <v>JORDAN</v>
      </c>
      <c r="B79" s="34">
        <f>IF(B!C425=TRUE,14,0)</f>
        <v>0</v>
      </c>
      <c r="C79" s="34">
        <f>'C'!$C126</f>
        <v>20</v>
      </c>
      <c r="D79" s="34">
        <f>D!$C126</f>
        <v>5</v>
      </c>
      <c r="E79" s="34">
        <f>E!$C126</f>
        <v>20</v>
      </c>
      <c r="F79" s="34">
        <f>F!$C126</f>
        <v>0</v>
      </c>
      <c r="G79" s="34">
        <f>G!$C126</f>
        <v>0</v>
      </c>
      <c r="H79" s="34">
        <f>H!$C126</f>
        <v>0</v>
      </c>
      <c r="I79" s="34">
        <f>I!$C126</f>
        <v>0</v>
      </c>
      <c r="J79" s="34">
        <f>J!$C126</f>
        <v>0</v>
      </c>
      <c r="K79" s="34">
        <f>K!$C126</f>
        <v>0</v>
      </c>
      <c r="L79" s="34">
        <f>L!$C126</f>
        <v>0</v>
      </c>
      <c r="M79" s="34">
        <f>M!$C126</f>
        <v>0</v>
      </c>
      <c r="N79" s="34">
        <f>N!$C126</f>
        <v>0</v>
      </c>
      <c r="O79" s="34">
        <f>O!$C126</f>
        <v>0</v>
      </c>
      <c r="P79" s="34">
        <f>P!$C126</f>
        <v>0</v>
      </c>
      <c r="Q79" s="34">
        <f>Q!$C126</f>
        <v>0</v>
      </c>
      <c r="R79" s="34">
        <f>'R'!$C126</f>
        <v>0</v>
      </c>
      <c r="S79" s="34">
        <f>S!$C126</f>
        <v>0</v>
      </c>
      <c r="T79" s="34">
        <f>T!$C126</f>
        <v>0</v>
      </c>
      <c r="U79" s="34">
        <f>U!$C126</f>
        <v>0</v>
      </c>
      <c r="V79" s="34">
        <f>V!$C126</f>
        <v>0</v>
      </c>
      <c r="W79" s="34">
        <f>W!$C126</f>
        <v>0</v>
      </c>
      <c r="X79" s="34">
        <f>X!$C126</f>
        <v>0</v>
      </c>
      <c r="Y79" s="181">
        <f>SUM(B79:X79)</f>
        <v>45</v>
      </c>
      <c r="Z79" s="181">
        <f>IF(B!B425="",0,B!$C$11+B!$C$8*B!C427)</f>
        <v>240</v>
      </c>
      <c r="AA79" s="181">
        <f>Y79-Z79</f>
        <v>-195</v>
      </c>
    </row>
    <row r="80" spans="1:27" ht="16.5" thickBot="1">
      <c r="A80" s="194" t="s">
        <v>200</v>
      </c>
      <c r="B80" s="36">
        <f t="shared" ref="B80:AA80" si="9">SUM(B75:B79)</f>
        <v>0</v>
      </c>
      <c r="C80" s="36">
        <f t="shared" si="9"/>
        <v>45</v>
      </c>
      <c r="D80" s="36">
        <f t="shared" si="9"/>
        <v>10</v>
      </c>
      <c r="E80" s="36">
        <f t="shared" si="9"/>
        <v>80</v>
      </c>
      <c r="F80" s="36">
        <f t="shared" si="9"/>
        <v>0</v>
      </c>
      <c r="G80" s="36">
        <f t="shared" si="9"/>
        <v>0</v>
      </c>
      <c r="H80" s="36">
        <f t="shared" si="9"/>
        <v>0</v>
      </c>
      <c r="I80" s="36">
        <f t="shared" si="9"/>
        <v>0</v>
      </c>
      <c r="J80" s="36">
        <f t="shared" si="9"/>
        <v>0</v>
      </c>
      <c r="K80" s="36">
        <f t="shared" si="9"/>
        <v>0</v>
      </c>
      <c r="L80" s="36">
        <f t="shared" si="9"/>
        <v>0</v>
      </c>
      <c r="M80" s="36">
        <f t="shared" si="9"/>
        <v>0</v>
      </c>
      <c r="N80" s="36">
        <f t="shared" si="9"/>
        <v>0</v>
      </c>
      <c r="O80" s="36">
        <f t="shared" si="9"/>
        <v>0</v>
      </c>
      <c r="P80" s="36">
        <f t="shared" si="9"/>
        <v>0</v>
      </c>
      <c r="Q80" s="36">
        <f t="shared" si="9"/>
        <v>0</v>
      </c>
      <c r="R80" s="36">
        <f t="shared" si="9"/>
        <v>0</v>
      </c>
      <c r="S80" s="36">
        <f t="shared" si="9"/>
        <v>0</v>
      </c>
      <c r="T80" s="36">
        <f t="shared" si="9"/>
        <v>0</v>
      </c>
      <c r="U80" s="36">
        <f t="shared" si="9"/>
        <v>0</v>
      </c>
      <c r="V80" s="36">
        <f t="shared" si="9"/>
        <v>0</v>
      </c>
      <c r="W80" s="36">
        <f t="shared" si="9"/>
        <v>0</v>
      </c>
      <c r="X80" s="37">
        <f t="shared" si="9"/>
        <v>0</v>
      </c>
      <c r="Y80" s="185">
        <f>SUM(Y75:Y79)</f>
        <v>135</v>
      </c>
      <c r="Z80" s="185">
        <f t="shared" si="9"/>
        <v>1200</v>
      </c>
      <c r="AA80" s="185">
        <f t="shared" si="9"/>
        <v>-1065</v>
      </c>
    </row>
    <row r="81" spans="1:27" ht="18">
      <c r="A81" s="179"/>
      <c r="B81" s="179"/>
      <c r="Y81" s="182" t="s">
        <v>97</v>
      </c>
      <c r="Z81" s="182" t="s">
        <v>97</v>
      </c>
      <c r="AA81" s="182" t="s">
        <v>97</v>
      </c>
    </row>
    <row r="82" spans="1:27" ht="18.75" thickBot="1">
      <c r="A82" s="178" t="str">
        <f>'C'!F4</f>
        <v>SPAM FO LUNCH</v>
      </c>
      <c r="B82" s="178" t="s">
        <v>199</v>
      </c>
      <c r="C82" s="31" t="s">
        <v>75</v>
      </c>
      <c r="D82" s="31" t="s">
        <v>76</v>
      </c>
      <c r="E82" s="31" t="s">
        <v>77</v>
      </c>
      <c r="F82" s="31" t="s">
        <v>78</v>
      </c>
      <c r="G82" s="31" t="s">
        <v>79</v>
      </c>
      <c r="H82" s="31" t="s">
        <v>80</v>
      </c>
      <c r="I82" s="31" t="s">
        <v>81</v>
      </c>
      <c r="J82" s="31" t="s">
        <v>82</v>
      </c>
      <c r="K82" s="31" t="s">
        <v>83</v>
      </c>
      <c r="L82" s="31" t="s">
        <v>84</v>
      </c>
      <c r="M82" s="31" t="s">
        <v>85</v>
      </c>
      <c r="N82" s="31" t="s">
        <v>86</v>
      </c>
      <c r="O82" s="31" t="s">
        <v>87</v>
      </c>
      <c r="P82" s="31" t="s">
        <v>88</v>
      </c>
      <c r="Q82" s="31" t="s">
        <v>89</v>
      </c>
      <c r="R82" s="31" t="s">
        <v>90</v>
      </c>
      <c r="S82" s="31" t="s">
        <v>91</v>
      </c>
      <c r="T82" s="31" t="s">
        <v>92</v>
      </c>
      <c r="U82" s="31" t="s">
        <v>93</v>
      </c>
      <c r="V82" s="31" t="s">
        <v>94</v>
      </c>
      <c r="W82" s="31" t="s">
        <v>95</v>
      </c>
      <c r="X82" s="32" t="s">
        <v>96</v>
      </c>
      <c r="Y82" s="183" t="s">
        <v>139</v>
      </c>
      <c r="Z82" s="183" t="s">
        <v>201</v>
      </c>
      <c r="AA82" s="183" t="s">
        <v>202</v>
      </c>
    </row>
    <row r="83" spans="1:27" ht="15.75">
      <c r="A83" s="193" t="str">
        <f>'C'!F5</f>
        <v>PABLO</v>
      </c>
      <c r="B83" s="34">
        <f>IF(B!F18=TRUE,14,0)</f>
        <v>0</v>
      </c>
      <c r="C83" s="34">
        <f>'C'!$H5</f>
        <v>0</v>
      </c>
      <c r="D83" s="34">
        <f>D!$H5</f>
        <v>0</v>
      </c>
      <c r="E83" s="34">
        <f>E!$H5</f>
        <v>0</v>
      </c>
      <c r="F83" s="34">
        <f>F!$H5</f>
        <v>0</v>
      </c>
      <c r="G83" s="34">
        <f>G!$H5</f>
        <v>0</v>
      </c>
      <c r="H83" s="34">
        <f>H!$H5</f>
        <v>0</v>
      </c>
      <c r="I83" s="34">
        <f>I!$H5</f>
        <v>0</v>
      </c>
      <c r="J83" s="34">
        <f>J!$H5</f>
        <v>0</v>
      </c>
      <c r="K83" s="34">
        <f>K!$H5</f>
        <v>0</v>
      </c>
      <c r="L83" s="34">
        <f>L!$H5</f>
        <v>0</v>
      </c>
      <c r="M83" s="34">
        <f>M!$H5</f>
        <v>0</v>
      </c>
      <c r="N83" s="34">
        <f>N!$H5</f>
        <v>0</v>
      </c>
      <c r="O83" s="34">
        <f>O!$H5</f>
        <v>0</v>
      </c>
      <c r="P83" s="34">
        <f>P!$H5</f>
        <v>0</v>
      </c>
      <c r="Q83" s="34">
        <f>Q!$H5</f>
        <v>0</v>
      </c>
      <c r="R83" s="34">
        <f>'R'!$H5</f>
        <v>0</v>
      </c>
      <c r="S83" s="34">
        <f>S!$H5</f>
        <v>0</v>
      </c>
      <c r="T83" s="34">
        <f>T!$H5</f>
        <v>0</v>
      </c>
      <c r="U83" s="34">
        <f>U!$H5</f>
        <v>0</v>
      </c>
      <c r="V83" s="34">
        <f>V!$H5</f>
        <v>0</v>
      </c>
      <c r="W83" s="34">
        <f>W!$H5</f>
        <v>0</v>
      </c>
      <c r="X83" s="34">
        <f>X!$H5</f>
        <v>0</v>
      </c>
      <c r="Y83" s="181">
        <f>SUM(B83:X83)</f>
        <v>0</v>
      </c>
      <c r="Z83" s="181">
        <f>IF(B!E18="",0,B!$C$11+B!$C$8*B!F20)</f>
        <v>240</v>
      </c>
      <c r="AA83" s="181">
        <f>Y83-Z83</f>
        <v>-240</v>
      </c>
    </row>
    <row r="84" spans="1:27" ht="15.75">
      <c r="A84" s="193" t="str">
        <f>'C'!F6</f>
        <v>ERIC</v>
      </c>
      <c r="B84" s="34">
        <f>IF(B!F23=TRUE,14,0)</f>
        <v>0</v>
      </c>
      <c r="C84" s="34">
        <f>'C'!$H6</f>
        <v>0</v>
      </c>
      <c r="D84" s="34">
        <f>D!$H6</f>
        <v>0</v>
      </c>
      <c r="E84" s="34">
        <f>E!$H6</f>
        <v>0</v>
      </c>
      <c r="F84" s="34">
        <f>F!$H6</f>
        <v>0</v>
      </c>
      <c r="G84" s="34">
        <f>G!$H6</f>
        <v>0</v>
      </c>
      <c r="H84" s="34">
        <f>H!$H6</f>
        <v>0</v>
      </c>
      <c r="I84" s="34">
        <f>I!$H6</f>
        <v>0</v>
      </c>
      <c r="J84" s="34">
        <f>J!$H6</f>
        <v>0</v>
      </c>
      <c r="K84" s="34">
        <f>K!$H6</f>
        <v>0</v>
      </c>
      <c r="L84" s="34">
        <f>L!$H6</f>
        <v>0</v>
      </c>
      <c r="M84" s="34">
        <f>M!$H6</f>
        <v>0</v>
      </c>
      <c r="N84" s="34">
        <f>N!$H6</f>
        <v>0</v>
      </c>
      <c r="O84" s="34">
        <f>O!$H6</f>
        <v>0</v>
      </c>
      <c r="P84" s="34">
        <f>P!$H6</f>
        <v>0</v>
      </c>
      <c r="Q84" s="34">
        <f>Q!$H6</f>
        <v>0</v>
      </c>
      <c r="R84" s="34">
        <f>'R'!$H6</f>
        <v>0</v>
      </c>
      <c r="S84" s="34">
        <f>S!$H6</f>
        <v>0</v>
      </c>
      <c r="T84" s="34">
        <f>T!$H6</f>
        <v>0</v>
      </c>
      <c r="U84" s="34">
        <f>U!$H6</f>
        <v>0</v>
      </c>
      <c r="V84" s="34">
        <f>V!$H6</f>
        <v>0</v>
      </c>
      <c r="W84" s="34">
        <f>W!$H6</f>
        <v>0</v>
      </c>
      <c r="X84" s="34">
        <f>X!$H6</f>
        <v>0</v>
      </c>
      <c r="Y84" s="181">
        <f>SUM(B84:X84)</f>
        <v>0</v>
      </c>
      <c r="Z84" s="181">
        <f>IF(B!E23="",0,B!$C$11+B!$C$8*B!F25)</f>
        <v>240</v>
      </c>
      <c r="AA84" s="181">
        <f>Y84-Z84</f>
        <v>-240</v>
      </c>
    </row>
    <row r="85" spans="1:27" ht="15.75">
      <c r="A85" s="193" t="str">
        <f>'C'!F7</f>
        <v>SABRINA</v>
      </c>
      <c r="B85" s="34">
        <f>IF(B!F28=TRUE,14,0)</f>
        <v>0</v>
      </c>
      <c r="C85" s="34">
        <f>'C'!$H7</f>
        <v>5</v>
      </c>
      <c r="D85" s="34">
        <f>D!$H7</f>
        <v>0</v>
      </c>
      <c r="E85" s="34">
        <f>E!$H7</f>
        <v>0</v>
      </c>
      <c r="F85" s="34">
        <f>F!$H7</f>
        <v>0</v>
      </c>
      <c r="G85" s="34">
        <f>G!$H7</f>
        <v>0</v>
      </c>
      <c r="H85" s="34">
        <f>H!$H7</f>
        <v>0</v>
      </c>
      <c r="I85" s="34">
        <f>I!$H7</f>
        <v>0</v>
      </c>
      <c r="J85" s="34">
        <f>J!$H7</f>
        <v>0</v>
      </c>
      <c r="K85" s="34">
        <f>K!$H7</f>
        <v>0</v>
      </c>
      <c r="L85" s="34">
        <f>L!$H7</f>
        <v>0</v>
      </c>
      <c r="M85" s="34">
        <f>M!$H7</f>
        <v>0</v>
      </c>
      <c r="N85" s="34">
        <f>N!$H7</f>
        <v>0</v>
      </c>
      <c r="O85" s="34">
        <f>O!$H7</f>
        <v>0</v>
      </c>
      <c r="P85" s="34">
        <f>P!$H7</f>
        <v>0</v>
      </c>
      <c r="Q85" s="34">
        <f>Q!$H7</f>
        <v>0</v>
      </c>
      <c r="R85" s="34">
        <f>'R'!$H7</f>
        <v>0</v>
      </c>
      <c r="S85" s="34">
        <f>S!$H7</f>
        <v>0</v>
      </c>
      <c r="T85" s="34">
        <f>T!$H7</f>
        <v>0</v>
      </c>
      <c r="U85" s="34">
        <f>U!$H7</f>
        <v>0</v>
      </c>
      <c r="V85" s="34">
        <f>V!$H7</f>
        <v>0</v>
      </c>
      <c r="W85" s="34">
        <f>W!$H7</f>
        <v>0</v>
      </c>
      <c r="X85" s="34">
        <f>X!$H7</f>
        <v>0</v>
      </c>
      <c r="Y85" s="181">
        <f>SUM(B85:X85)</f>
        <v>5</v>
      </c>
      <c r="Z85" s="181">
        <f>IF(B!E28="",0,B!$C$11+B!$C$8*B!F30)</f>
        <v>240</v>
      </c>
      <c r="AA85" s="181">
        <f>Y85-Z85</f>
        <v>-235</v>
      </c>
    </row>
    <row r="86" spans="1:27" ht="15.75">
      <c r="A86" s="193" t="str">
        <f>'C'!F8</f>
        <v>NICK</v>
      </c>
      <c r="B86" s="34">
        <f>IF(B!F33=TRUE,14,0)</f>
        <v>0</v>
      </c>
      <c r="C86" s="34">
        <f>'C'!$H8</f>
        <v>5</v>
      </c>
      <c r="D86" s="34">
        <f>D!$H8</f>
        <v>0</v>
      </c>
      <c r="E86" s="34">
        <f>E!$H8</f>
        <v>0</v>
      </c>
      <c r="F86" s="34">
        <f>F!$H8</f>
        <v>0</v>
      </c>
      <c r="G86" s="34">
        <f>G!$H8</f>
        <v>0</v>
      </c>
      <c r="H86" s="34">
        <f>H!$H8</f>
        <v>0</v>
      </c>
      <c r="I86" s="34">
        <f>I!$H8</f>
        <v>0</v>
      </c>
      <c r="J86" s="34">
        <f>J!$H8</f>
        <v>0</v>
      </c>
      <c r="K86" s="34">
        <f>K!$H8</f>
        <v>0</v>
      </c>
      <c r="L86" s="34">
        <f>L!$H8</f>
        <v>0</v>
      </c>
      <c r="M86" s="34">
        <f>M!$H8</f>
        <v>0</v>
      </c>
      <c r="N86" s="34">
        <f>N!$H8</f>
        <v>0</v>
      </c>
      <c r="O86" s="34">
        <f>O!$H8</f>
        <v>0</v>
      </c>
      <c r="P86" s="34">
        <f>P!$H8</f>
        <v>0</v>
      </c>
      <c r="Q86" s="34">
        <f>Q!$H8</f>
        <v>0</v>
      </c>
      <c r="R86" s="34">
        <f>'R'!$H8</f>
        <v>0</v>
      </c>
      <c r="S86" s="34">
        <f>S!$H8</f>
        <v>0</v>
      </c>
      <c r="T86" s="34">
        <f>T!$H8</f>
        <v>0</v>
      </c>
      <c r="U86" s="34">
        <f>U!$H8</f>
        <v>0</v>
      </c>
      <c r="V86" s="34">
        <f>V!$H8</f>
        <v>0</v>
      </c>
      <c r="W86" s="34">
        <f>W!$H8</f>
        <v>0</v>
      </c>
      <c r="X86" s="34">
        <f>X!$H8</f>
        <v>0</v>
      </c>
      <c r="Y86" s="181">
        <f>SUM(B86:X86)</f>
        <v>5</v>
      </c>
      <c r="Z86" s="181">
        <f>IF(B!E33="",0,B!$C$11+B!$C$8*B!F35)</f>
        <v>240</v>
      </c>
      <c r="AA86" s="181">
        <f>Y86-Z86</f>
        <v>-235</v>
      </c>
    </row>
    <row r="87" spans="1:27" ht="16.5" thickBot="1">
      <c r="A87" s="193" t="str">
        <f>'C'!F9</f>
        <v>LON</v>
      </c>
      <c r="B87" s="34">
        <f>IF(B!F38=TRUE,14,0)</f>
        <v>0</v>
      </c>
      <c r="C87" s="34">
        <f>'C'!$H9</f>
        <v>0</v>
      </c>
      <c r="D87" s="34">
        <f>D!$H9</f>
        <v>0</v>
      </c>
      <c r="E87" s="34">
        <f>E!$H9</f>
        <v>0</v>
      </c>
      <c r="F87" s="34">
        <f>F!$H9</f>
        <v>130</v>
      </c>
      <c r="G87" s="34">
        <f>G!$H9</f>
        <v>0</v>
      </c>
      <c r="H87" s="34">
        <f>H!$H9</f>
        <v>0</v>
      </c>
      <c r="I87" s="34">
        <f>I!$H9</f>
        <v>0</v>
      </c>
      <c r="J87" s="34">
        <f>J!$H9</f>
        <v>0</v>
      </c>
      <c r="K87" s="34">
        <f>K!$H9</f>
        <v>0</v>
      </c>
      <c r="L87" s="34">
        <f>L!$H9</f>
        <v>0</v>
      </c>
      <c r="M87" s="34">
        <f>M!$H9</f>
        <v>0</v>
      </c>
      <c r="N87" s="34">
        <f>N!$H9</f>
        <v>0</v>
      </c>
      <c r="O87" s="34">
        <f>O!$H9</f>
        <v>0</v>
      </c>
      <c r="P87" s="34">
        <f>P!$H9</f>
        <v>0</v>
      </c>
      <c r="Q87" s="34">
        <f>Q!$H9</f>
        <v>0</v>
      </c>
      <c r="R87" s="34">
        <f>'R'!$H9</f>
        <v>0</v>
      </c>
      <c r="S87" s="34">
        <f>S!$H9</f>
        <v>0</v>
      </c>
      <c r="T87" s="34">
        <f>T!$H9</f>
        <v>0</v>
      </c>
      <c r="U87" s="34">
        <f>U!$H9</f>
        <v>0</v>
      </c>
      <c r="V87" s="34">
        <f>V!$H9</f>
        <v>0</v>
      </c>
      <c r="W87" s="34">
        <f>W!$H9</f>
        <v>0</v>
      </c>
      <c r="X87" s="34">
        <f>X!$H9</f>
        <v>0</v>
      </c>
      <c r="Y87" s="181">
        <f>SUM(B87:X87)</f>
        <v>130</v>
      </c>
      <c r="Z87" s="181">
        <f>IF(B!E38="",0,B!$C$11+B!$C$8*B!F40)</f>
        <v>240</v>
      </c>
      <c r="AA87" s="181">
        <f>Y87-Z87</f>
        <v>-110</v>
      </c>
    </row>
    <row r="88" spans="1:27" ht="16.5" thickBot="1">
      <c r="A88" s="194" t="s">
        <v>200</v>
      </c>
      <c r="B88" s="36">
        <f t="shared" ref="B88:AA88" si="10">SUM(B83:B87)</f>
        <v>0</v>
      </c>
      <c r="C88" s="36">
        <f t="shared" si="10"/>
        <v>10</v>
      </c>
      <c r="D88" s="36">
        <f t="shared" si="10"/>
        <v>0</v>
      </c>
      <c r="E88" s="36">
        <f t="shared" si="10"/>
        <v>0</v>
      </c>
      <c r="F88" s="36">
        <f t="shared" si="10"/>
        <v>130</v>
      </c>
      <c r="G88" s="36">
        <f t="shared" si="10"/>
        <v>0</v>
      </c>
      <c r="H88" s="36">
        <f t="shared" si="10"/>
        <v>0</v>
      </c>
      <c r="I88" s="36">
        <f t="shared" si="10"/>
        <v>0</v>
      </c>
      <c r="J88" s="36">
        <f t="shared" si="10"/>
        <v>0</v>
      </c>
      <c r="K88" s="36">
        <f t="shared" si="10"/>
        <v>0</v>
      </c>
      <c r="L88" s="36">
        <f t="shared" si="10"/>
        <v>0</v>
      </c>
      <c r="M88" s="36">
        <f t="shared" si="10"/>
        <v>0</v>
      </c>
      <c r="N88" s="36">
        <f t="shared" si="10"/>
        <v>0</v>
      </c>
      <c r="O88" s="36">
        <f t="shared" si="10"/>
        <v>0</v>
      </c>
      <c r="P88" s="36">
        <f t="shared" si="10"/>
        <v>0</v>
      </c>
      <c r="Q88" s="36">
        <f t="shared" si="10"/>
        <v>0</v>
      </c>
      <c r="R88" s="36">
        <f t="shared" si="10"/>
        <v>0</v>
      </c>
      <c r="S88" s="36">
        <f t="shared" si="10"/>
        <v>0</v>
      </c>
      <c r="T88" s="36">
        <f t="shared" si="10"/>
        <v>0</v>
      </c>
      <c r="U88" s="36">
        <f t="shared" si="10"/>
        <v>0</v>
      </c>
      <c r="V88" s="36">
        <f t="shared" si="10"/>
        <v>0</v>
      </c>
      <c r="W88" s="36">
        <f t="shared" si="10"/>
        <v>0</v>
      </c>
      <c r="X88" s="37">
        <f t="shared" si="10"/>
        <v>0</v>
      </c>
      <c r="Y88" s="185">
        <f>SUM(Y83:Y87)</f>
        <v>140</v>
      </c>
      <c r="Z88" s="185">
        <f t="shared" si="10"/>
        <v>1200</v>
      </c>
      <c r="AA88" s="185">
        <f t="shared" si="10"/>
        <v>-1060</v>
      </c>
    </row>
    <row r="89" spans="1:27" ht="18">
      <c r="A89" s="179"/>
      <c r="B89" s="179"/>
      <c r="Y89" s="182" t="s">
        <v>97</v>
      </c>
      <c r="Z89" s="182" t="s">
        <v>97</v>
      </c>
      <c r="AA89" s="182" t="s">
        <v>97</v>
      </c>
    </row>
    <row r="90" spans="1:27" ht="18.75" thickBot="1">
      <c r="A90" s="178" t="str">
        <f>'C'!F17</f>
        <v>BYE</v>
      </c>
      <c r="B90" s="178" t="s">
        <v>199</v>
      </c>
      <c r="C90" s="31" t="s">
        <v>75</v>
      </c>
      <c r="D90" s="31" t="s">
        <v>76</v>
      </c>
      <c r="E90" s="31" t="s">
        <v>77</v>
      </c>
      <c r="F90" s="31" t="s">
        <v>78</v>
      </c>
      <c r="G90" s="31" t="s">
        <v>79</v>
      </c>
      <c r="H90" s="31" t="s">
        <v>80</v>
      </c>
      <c r="I90" s="31" t="s">
        <v>81</v>
      </c>
      <c r="J90" s="31" t="s">
        <v>82</v>
      </c>
      <c r="K90" s="31" t="s">
        <v>83</v>
      </c>
      <c r="L90" s="31" t="s">
        <v>84</v>
      </c>
      <c r="M90" s="31" t="s">
        <v>85</v>
      </c>
      <c r="N90" s="31" t="s">
        <v>86</v>
      </c>
      <c r="O90" s="31" t="s">
        <v>87</v>
      </c>
      <c r="P90" s="31" t="s">
        <v>88</v>
      </c>
      <c r="Q90" s="31" t="s">
        <v>89</v>
      </c>
      <c r="R90" s="31" t="s">
        <v>90</v>
      </c>
      <c r="S90" s="31" t="s">
        <v>91</v>
      </c>
      <c r="T90" s="31" t="s">
        <v>92</v>
      </c>
      <c r="U90" s="31" t="s">
        <v>93</v>
      </c>
      <c r="V90" s="31" t="s">
        <v>94</v>
      </c>
      <c r="W90" s="31" t="s">
        <v>95</v>
      </c>
      <c r="X90" s="32" t="s">
        <v>96</v>
      </c>
      <c r="Y90" s="183" t="s">
        <v>139</v>
      </c>
      <c r="Z90" s="183" t="s">
        <v>201</v>
      </c>
      <c r="AA90" s="183" t="s">
        <v>202</v>
      </c>
    </row>
    <row r="91" spans="1:27" ht="15.75">
      <c r="A91" s="193">
        <f>'C'!F18</f>
        <v>1</v>
      </c>
      <c r="B91" s="34">
        <f>IF(B!F61=TRUE,14,0)</f>
        <v>0</v>
      </c>
      <c r="C91" s="34">
        <f>'C'!$H18</f>
        <v>0</v>
      </c>
      <c r="D91" s="34">
        <f>D!$H18</f>
        <v>0</v>
      </c>
      <c r="E91" s="34">
        <f>E!$H18</f>
        <v>0</v>
      </c>
      <c r="F91" s="34">
        <f>F!$H18</f>
        <v>0</v>
      </c>
      <c r="G91" s="34">
        <f>G!$H18</f>
        <v>0</v>
      </c>
      <c r="H91" s="34">
        <f>H!$H18</f>
        <v>0</v>
      </c>
      <c r="I91" s="34">
        <f>I!$H18</f>
        <v>0</v>
      </c>
      <c r="J91" s="34">
        <f>J!$H18</f>
        <v>0</v>
      </c>
      <c r="K91" s="34">
        <f>K!$H18</f>
        <v>0</v>
      </c>
      <c r="L91" s="34">
        <f>L!$H18</f>
        <v>0</v>
      </c>
      <c r="M91" s="34">
        <f>M!$H18</f>
        <v>0</v>
      </c>
      <c r="N91" s="34">
        <f>N!$H18</f>
        <v>0</v>
      </c>
      <c r="O91" s="34">
        <f>O!$H18</f>
        <v>0</v>
      </c>
      <c r="P91" s="34">
        <f>P!$H18</f>
        <v>0</v>
      </c>
      <c r="Q91" s="34">
        <f>Q!$H18</f>
        <v>0</v>
      </c>
      <c r="R91" s="34">
        <f>'R'!$H18</f>
        <v>0</v>
      </c>
      <c r="S91" s="34">
        <f>S!$H18</f>
        <v>0</v>
      </c>
      <c r="T91" s="34">
        <f>T!$H18</f>
        <v>0</v>
      </c>
      <c r="U91" s="34">
        <f>U!$H18</f>
        <v>0</v>
      </c>
      <c r="V91" s="34">
        <f>V!$H18</f>
        <v>0</v>
      </c>
      <c r="W91" s="34">
        <f>W!$H18</f>
        <v>0</v>
      </c>
      <c r="X91" s="34">
        <f>X!$H18</f>
        <v>0</v>
      </c>
      <c r="Y91" s="181">
        <f>SUM(B91:X91)</f>
        <v>0</v>
      </c>
      <c r="Z91" s="181">
        <f>IF(B!E61="",0,B!$C$11+B!$C$8*B!F63)</f>
        <v>240</v>
      </c>
      <c r="AA91" s="181">
        <f>Y91-Z91</f>
        <v>-240</v>
      </c>
    </row>
    <row r="92" spans="1:27" ht="15.75">
      <c r="A92" s="193">
        <f>'C'!F19</f>
        <v>2</v>
      </c>
      <c r="B92" s="34">
        <f>IF(B!F66=TRUE,14,0)</f>
        <v>0</v>
      </c>
      <c r="C92" s="34">
        <f>'C'!$H19</f>
        <v>0</v>
      </c>
      <c r="D92" s="34">
        <f>D!$H19</f>
        <v>0</v>
      </c>
      <c r="E92" s="34">
        <f>E!$H19</f>
        <v>0</v>
      </c>
      <c r="F92" s="34">
        <f>F!$H19</f>
        <v>0</v>
      </c>
      <c r="G92" s="34">
        <f>G!$H19</f>
        <v>0</v>
      </c>
      <c r="H92" s="34">
        <f>H!$H19</f>
        <v>0</v>
      </c>
      <c r="I92" s="34">
        <f>I!$H19</f>
        <v>0</v>
      </c>
      <c r="J92" s="34">
        <f>J!$H19</f>
        <v>0</v>
      </c>
      <c r="K92" s="34">
        <f>K!$H19</f>
        <v>0</v>
      </c>
      <c r="L92" s="34">
        <f>L!$H19</f>
        <v>0</v>
      </c>
      <c r="M92" s="34">
        <f>M!$H19</f>
        <v>0</v>
      </c>
      <c r="N92" s="34">
        <f>N!$H19</f>
        <v>0</v>
      </c>
      <c r="O92" s="34">
        <f>O!$H19</f>
        <v>0</v>
      </c>
      <c r="P92" s="34">
        <f>P!$H19</f>
        <v>0</v>
      </c>
      <c r="Q92" s="34">
        <f>Q!$H19</f>
        <v>0</v>
      </c>
      <c r="R92" s="34">
        <f>'R'!$H19</f>
        <v>0</v>
      </c>
      <c r="S92" s="34">
        <f>S!$H19</f>
        <v>0</v>
      </c>
      <c r="T92" s="34">
        <f>T!$H19</f>
        <v>0</v>
      </c>
      <c r="U92" s="34">
        <f>U!$H19</f>
        <v>0</v>
      </c>
      <c r="V92" s="34">
        <f>V!$H19</f>
        <v>0</v>
      </c>
      <c r="W92" s="34">
        <f>W!$H19</f>
        <v>0</v>
      </c>
      <c r="X92" s="34">
        <f>X!$H19</f>
        <v>0</v>
      </c>
      <c r="Y92" s="181">
        <f>SUM(B92:X92)</f>
        <v>0</v>
      </c>
      <c r="Z92" s="181">
        <f>IF(B!E66="",0,B!$C$11+B!$C$8*B!F68)</f>
        <v>240</v>
      </c>
      <c r="AA92" s="181">
        <f>Y92-Z92</f>
        <v>-240</v>
      </c>
    </row>
    <row r="93" spans="1:27" ht="15.75">
      <c r="A93" s="193">
        <f>'C'!F20</f>
        <v>3</v>
      </c>
      <c r="B93" s="34">
        <f>IF(B!F71=TRUE,14,0)</f>
        <v>0</v>
      </c>
      <c r="C93" s="34">
        <f>'C'!$H20</f>
        <v>0</v>
      </c>
      <c r="D93" s="34">
        <f>D!$H20</f>
        <v>0</v>
      </c>
      <c r="E93" s="34">
        <f>E!$H20</f>
        <v>0</v>
      </c>
      <c r="F93" s="34">
        <f>F!$H20</f>
        <v>0</v>
      </c>
      <c r="G93" s="34">
        <f>G!$H20</f>
        <v>0</v>
      </c>
      <c r="H93" s="34">
        <f>H!$H20</f>
        <v>0</v>
      </c>
      <c r="I93" s="34">
        <f>I!$H20</f>
        <v>0</v>
      </c>
      <c r="J93" s="34">
        <f>J!$H20</f>
        <v>0</v>
      </c>
      <c r="K93" s="34">
        <f>K!$H20</f>
        <v>0</v>
      </c>
      <c r="L93" s="34">
        <f>L!$H20</f>
        <v>0</v>
      </c>
      <c r="M93" s="34">
        <f>M!$H20</f>
        <v>0</v>
      </c>
      <c r="N93" s="34">
        <f>N!$H20</f>
        <v>0</v>
      </c>
      <c r="O93" s="34">
        <f>O!$H20</f>
        <v>0</v>
      </c>
      <c r="P93" s="34">
        <f>P!$H20</f>
        <v>0</v>
      </c>
      <c r="Q93" s="34">
        <f>Q!$H20</f>
        <v>0</v>
      </c>
      <c r="R93" s="34">
        <f>'R'!$H20</f>
        <v>0</v>
      </c>
      <c r="S93" s="34">
        <f>S!$H20</f>
        <v>0</v>
      </c>
      <c r="T93" s="34">
        <f>T!$H20</f>
        <v>0</v>
      </c>
      <c r="U93" s="34">
        <f>U!$H20</f>
        <v>0</v>
      </c>
      <c r="V93" s="34">
        <f>V!$H20</f>
        <v>0</v>
      </c>
      <c r="W93" s="34">
        <f>W!$H20</f>
        <v>0</v>
      </c>
      <c r="X93" s="34">
        <f>X!$H20</f>
        <v>0</v>
      </c>
      <c r="Y93" s="181">
        <f>SUM(B93:X93)</f>
        <v>0</v>
      </c>
      <c r="Z93" s="181">
        <f>IF(B!E71="",0,B!$C$11+B!$C$8*B!F73)</f>
        <v>240</v>
      </c>
      <c r="AA93" s="181">
        <f>Y93-Z93</f>
        <v>-240</v>
      </c>
    </row>
    <row r="94" spans="1:27" ht="15.75">
      <c r="A94" s="193">
        <f>'C'!F21</f>
        <v>4</v>
      </c>
      <c r="B94" s="34">
        <f>IF(B!F76=TRUE,14,0)</f>
        <v>0</v>
      </c>
      <c r="C94" s="34">
        <f>'C'!$H21</f>
        <v>0</v>
      </c>
      <c r="D94" s="34">
        <f>D!$H21</f>
        <v>0</v>
      </c>
      <c r="E94" s="34">
        <f>E!$H21</f>
        <v>0</v>
      </c>
      <c r="F94" s="34">
        <f>F!$H21</f>
        <v>0</v>
      </c>
      <c r="G94" s="34">
        <f>G!$H21</f>
        <v>0</v>
      </c>
      <c r="H94" s="34">
        <f>H!$H21</f>
        <v>0</v>
      </c>
      <c r="I94" s="34">
        <f>I!$H21</f>
        <v>0</v>
      </c>
      <c r="J94" s="34">
        <f>J!$H21</f>
        <v>0</v>
      </c>
      <c r="K94" s="34">
        <f>K!$H21</f>
        <v>0</v>
      </c>
      <c r="L94" s="34">
        <f>L!$H21</f>
        <v>0</v>
      </c>
      <c r="M94" s="34">
        <f>M!$H21</f>
        <v>0</v>
      </c>
      <c r="N94" s="34">
        <f>N!$H21</f>
        <v>0</v>
      </c>
      <c r="O94" s="34">
        <f>O!$H21</f>
        <v>0</v>
      </c>
      <c r="P94" s="34">
        <f>P!$H21</f>
        <v>0</v>
      </c>
      <c r="Q94" s="34">
        <f>Q!$H21</f>
        <v>0</v>
      </c>
      <c r="R94" s="34">
        <f>'R'!$H21</f>
        <v>0</v>
      </c>
      <c r="S94" s="34">
        <f>S!$H21</f>
        <v>0</v>
      </c>
      <c r="T94" s="34">
        <f>T!$H21</f>
        <v>0</v>
      </c>
      <c r="U94" s="34">
        <f>U!$H21</f>
        <v>0</v>
      </c>
      <c r="V94" s="34">
        <f>V!$H21</f>
        <v>0</v>
      </c>
      <c r="W94" s="34">
        <f>W!$H21</f>
        <v>0</v>
      </c>
      <c r="X94" s="34">
        <f>X!$H21</f>
        <v>0</v>
      </c>
      <c r="Y94" s="181">
        <f>SUM(B94:X94)</f>
        <v>0</v>
      </c>
      <c r="Z94" s="181">
        <f>IF(B!E76="",0,B!$C$11+B!$C$8*B!F78)</f>
        <v>240</v>
      </c>
      <c r="AA94" s="181">
        <f>Y94-Z94</f>
        <v>-240</v>
      </c>
    </row>
    <row r="95" spans="1:27" ht="16.5" thickBot="1">
      <c r="A95" s="193">
        <f>'C'!F22</f>
        <v>5</v>
      </c>
      <c r="B95" s="34">
        <f>IF(B!F81=TRUE,14,0)</f>
        <v>0</v>
      </c>
      <c r="C95" s="34">
        <f>'C'!$H22</f>
        <v>0</v>
      </c>
      <c r="D95" s="34">
        <f>D!$H22</f>
        <v>0</v>
      </c>
      <c r="E95" s="34">
        <f>E!$H22</f>
        <v>0</v>
      </c>
      <c r="F95" s="34">
        <f>F!$H22</f>
        <v>0</v>
      </c>
      <c r="G95" s="34">
        <f>G!$H22</f>
        <v>0</v>
      </c>
      <c r="H95" s="34">
        <f>H!$H22</f>
        <v>0</v>
      </c>
      <c r="I95" s="34">
        <f>I!$H22</f>
        <v>0</v>
      </c>
      <c r="J95" s="34">
        <f>J!$H22</f>
        <v>0</v>
      </c>
      <c r="K95" s="34">
        <f>K!$H22</f>
        <v>0</v>
      </c>
      <c r="L95" s="34">
        <f>L!$H22</f>
        <v>0</v>
      </c>
      <c r="M95" s="34">
        <f>M!$H22</f>
        <v>0</v>
      </c>
      <c r="N95" s="34">
        <f>N!$H22</f>
        <v>0</v>
      </c>
      <c r="O95" s="34">
        <f>O!$H22</f>
        <v>0</v>
      </c>
      <c r="P95" s="34">
        <f>P!$H22</f>
        <v>0</v>
      </c>
      <c r="Q95" s="34">
        <f>Q!$H22</f>
        <v>0</v>
      </c>
      <c r="R95" s="34">
        <f>'R'!$H22</f>
        <v>0</v>
      </c>
      <c r="S95" s="34">
        <f>S!$H22</f>
        <v>0</v>
      </c>
      <c r="T95" s="34">
        <f>T!$H22</f>
        <v>0</v>
      </c>
      <c r="U95" s="34">
        <f>U!$H22</f>
        <v>0</v>
      </c>
      <c r="V95" s="34">
        <f>V!$H22</f>
        <v>0</v>
      </c>
      <c r="W95" s="34">
        <f>W!$H22</f>
        <v>0</v>
      </c>
      <c r="X95" s="34">
        <f>X!$H22</f>
        <v>0</v>
      </c>
      <c r="Y95" s="181">
        <f>SUM(B95:X95)</f>
        <v>0</v>
      </c>
      <c r="Z95" s="181">
        <f>IF(B!E81="",0,B!$C$11+B!$C$8*B!F83)</f>
        <v>240</v>
      </c>
      <c r="AA95" s="181">
        <f>Y95-Z95</f>
        <v>-240</v>
      </c>
    </row>
    <row r="96" spans="1:27" ht="16.5" thickBot="1">
      <c r="A96" s="194" t="s">
        <v>200</v>
      </c>
      <c r="B96" s="36">
        <f t="shared" ref="B96:AA96" si="11">SUM(B91:B95)</f>
        <v>0</v>
      </c>
      <c r="C96" s="36">
        <f t="shared" si="11"/>
        <v>0</v>
      </c>
      <c r="D96" s="36">
        <f t="shared" si="11"/>
        <v>0</v>
      </c>
      <c r="E96" s="36">
        <f t="shared" si="11"/>
        <v>0</v>
      </c>
      <c r="F96" s="36">
        <f t="shared" si="11"/>
        <v>0</v>
      </c>
      <c r="G96" s="36">
        <f t="shared" si="11"/>
        <v>0</v>
      </c>
      <c r="H96" s="36">
        <f t="shared" si="11"/>
        <v>0</v>
      </c>
      <c r="I96" s="36">
        <f t="shared" si="11"/>
        <v>0</v>
      </c>
      <c r="J96" s="36">
        <f t="shared" si="11"/>
        <v>0</v>
      </c>
      <c r="K96" s="36">
        <f t="shared" si="11"/>
        <v>0</v>
      </c>
      <c r="L96" s="36">
        <f t="shared" si="11"/>
        <v>0</v>
      </c>
      <c r="M96" s="36">
        <f t="shared" si="11"/>
        <v>0</v>
      </c>
      <c r="N96" s="36">
        <f t="shared" si="11"/>
        <v>0</v>
      </c>
      <c r="O96" s="36">
        <f t="shared" si="11"/>
        <v>0</v>
      </c>
      <c r="P96" s="36">
        <f t="shared" si="11"/>
        <v>0</v>
      </c>
      <c r="Q96" s="36">
        <f t="shared" si="11"/>
        <v>0</v>
      </c>
      <c r="R96" s="36">
        <f t="shared" si="11"/>
        <v>0</v>
      </c>
      <c r="S96" s="36">
        <f t="shared" si="11"/>
        <v>0</v>
      </c>
      <c r="T96" s="36">
        <f t="shared" si="11"/>
        <v>0</v>
      </c>
      <c r="U96" s="36">
        <f t="shared" si="11"/>
        <v>0</v>
      </c>
      <c r="V96" s="36">
        <f t="shared" si="11"/>
        <v>0</v>
      </c>
      <c r="W96" s="36">
        <f t="shared" si="11"/>
        <v>0</v>
      </c>
      <c r="X96" s="37">
        <f t="shared" si="11"/>
        <v>0</v>
      </c>
      <c r="Y96" s="185">
        <f>SUM(Y91:Y95)</f>
        <v>0</v>
      </c>
      <c r="Z96" s="185">
        <f t="shared" si="11"/>
        <v>1200</v>
      </c>
      <c r="AA96" s="185">
        <f t="shared" si="11"/>
        <v>-1200</v>
      </c>
    </row>
    <row r="97" spans="1:27" ht="18">
      <c r="A97" s="179"/>
      <c r="B97" s="179"/>
      <c r="Y97" s="182" t="s">
        <v>97</v>
      </c>
      <c r="Z97" s="182" t="s">
        <v>97</v>
      </c>
      <c r="AA97" s="182" t="s">
        <v>97</v>
      </c>
    </row>
    <row r="98" spans="1:27" ht="18.75" thickBot="1">
      <c r="A98" s="178">
        <f>'C'!F30</f>
        <v>0</v>
      </c>
      <c r="B98" s="178" t="s">
        <v>199</v>
      </c>
      <c r="C98" s="31" t="s">
        <v>75</v>
      </c>
      <c r="D98" s="31" t="s">
        <v>76</v>
      </c>
      <c r="E98" s="31" t="s">
        <v>77</v>
      </c>
      <c r="F98" s="31" t="s">
        <v>78</v>
      </c>
      <c r="G98" s="31" t="s">
        <v>79</v>
      </c>
      <c r="H98" s="31" t="s">
        <v>80</v>
      </c>
      <c r="I98" s="31" t="s">
        <v>81</v>
      </c>
      <c r="J98" s="31" t="s">
        <v>82</v>
      </c>
      <c r="K98" s="31" t="s">
        <v>83</v>
      </c>
      <c r="L98" s="31" t="s">
        <v>84</v>
      </c>
      <c r="M98" s="31" t="s">
        <v>85</v>
      </c>
      <c r="N98" s="31" t="s">
        <v>86</v>
      </c>
      <c r="O98" s="31" t="s">
        <v>87</v>
      </c>
      <c r="P98" s="31" t="s">
        <v>88</v>
      </c>
      <c r="Q98" s="31" t="s">
        <v>89</v>
      </c>
      <c r="R98" s="31" t="s">
        <v>90</v>
      </c>
      <c r="S98" s="31" t="s">
        <v>91</v>
      </c>
      <c r="T98" s="31" t="s">
        <v>92</v>
      </c>
      <c r="U98" s="31" t="s">
        <v>93</v>
      </c>
      <c r="V98" s="31" t="s">
        <v>94</v>
      </c>
      <c r="W98" s="31" t="s">
        <v>95</v>
      </c>
      <c r="X98" s="32" t="s">
        <v>96</v>
      </c>
      <c r="Y98" s="183" t="s">
        <v>139</v>
      </c>
      <c r="Z98" s="183" t="s">
        <v>201</v>
      </c>
      <c r="AA98" s="183" t="s">
        <v>202</v>
      </c>
    </row>
    <row r="99" spans="1:27" ht="15.75">
      <c r="A99" s="193">
        <f>'C'!F31</f>
        <v>0</v>
      </c>
      <c r="B99" s="34">
        <f>IF(B!F104=TRUE,14,0)</f>
        <v>0</v>
      </c>
      <c r="C99" s="34">
        <f>'C'!$H31</f>
        <v>0</v>
      </c>
      <c r="D99" s="34">
        <f>D!$H31</f>
        <v>0</v>
      </c>
      <c r="E99" s="34">
        <f>E!$H31</f>
        <v>0</v>
      </c>
      <c r="F99" s="34">
        <f>F!$H31</f>
        <v>0</v>
      </c>
      <c r="G99" s="34">
        <f>G!$H31</f>
        <v>0</v>
      </c>
      <c r="H99" s="34">
        <f>H!$H31</f>
        <v>0</v>
      </c>
      <c r="I99" s="34">
        <f>I!$H31</f>
        <v>0</v>
      </c>
      <c r="J99" s="34">
        <f>J!$H31</f>
        <v>0</v>
      </c>
      <c r="K99" s="34">
        <f>K!$H31</f>
        <v>0</v>
      </c>
      <c r="L99" s="34">
        <f>L!$H31</f>
        <v>0</v>
      </c>
      <c r="M99" s="34">
        <f>M!$H31</f>
        <v>0</v>
      </c>
      <c r="N99" s="34">
        <f>N!$H31</f>
        <v>0</v>
      </c>
      <c r="O99" s="34">
        <f>O!$H31</f>
        <v>0</v>
      </c>
      <c r="P99" s="34">
        <f>P!$H31</f>
        <v>0</v>
      </c>
      <c r="Q99" s="34">
        <f>Q!$H31</f>
        <v>0</v>
      </c>
      <c r="R99" s="34">
        <f>'R'!$H31</f>
        <v>0</v>
      </c>
      <c r="S99" s="34">
        <f>S!$H31</f>
        <v>0</v>
      </c>
      <c r="T99" s="34">
        <f>T!$H31</f>
        <v>0</v>
      </c>
      <c r="U99" s="34">
        <f>U!$H31</f>
        <v>0</v>
      </c>
      <c r="V99" s="34">
        <f>V!$H31</f>
        <v>0</v>
      </c>
      <c r="W99" s="34">
        <f>W!$H31</f>
        <v>0</v>
      </c>
      <c r="X99" s="34">
        <f>X!$H31</f>
        <v>0</v>
      </c>
      <c r="Y99" s="181">
        <f>SUM(B99:X99)</f>
        <v>0</v>
      </c>
      <c r="Z99" s="181">
        <f>IF(B!E104="",0,B!$C$11+B!$C$8*B!F106)</f>
        <v>0</v>
      </c>
      <c r="AA99" s="181">
        <f>Y99-Z99</f>
        <v>0</v>
      </c>
    </row>
    <row r="100" spans="1:27" ht="15.75">
      <c r="A100" s="193">
        <f>'C'!F32</f>
        <v>0</v>
      </c>
      <c r="B100" s="34">
        <f>IF(B!F109=TRUE,14,0)</f>
        <v>0</v>
      </c>
      <c r="C100" s="34">
        <f>'C'!$H32</f>
        <v>0</v>
      </c>
      <c r="D100" s="34">
        <f>D!$H32</f>
        <v>0</v>
      </c>
      <c r="E100" s="34">
        <f>E!$H32</f>
        <v>0</v>
      </c>
      <c r="F100" s="34">
        <f>F!$H32</f>
        <v>0</v>
      </c>
      <c r="G100" s="34">
        <f>G!$H32</f>
        <v>0</v>
      </c>
      <c r="H100" s="34">
        <f>H!$H32</f>
        <v>0</v>
      </c>
      <c r="I100" s="34">
        <f>I!$H32</f>
        <v>0</v>
      </c>
      <c r="J100" s="34">
        <f>J!$H32</f>
        <v>0</v>
      </c>
      <c r="K100" s="34">
        <f>K!$H32</f>
        <v>0</v>
      </c>
      <c r="L100" s="34">
        <f>L!$H32</f>
        <v>0</v>
      </c>
      <c r="M100" s="34">
        <f>M!$H32</f>
        <v>0</v>
      </c>
      <c r="N100" s="34">
        <f>N!$H32</f>
        <v>0</v>
      </c>
      <c r="O100" s="34">
        <f>O!$H32</f>
        <v>0</v>
      </c>
      <c r="P100" s="34">
        <f>P!$H32</f>
        <v>0</v>
      </c>
      <c r="Q100" s="34">
        <f>Q!$H32</f>
        <v>0</v>
      </c>
      <c r="R100" s="34">
        <f>'R'!$H32</f>
        <v>0</v>
      </c>
      <c r="S100" s="34">
        <f>S!$H32</f>
        <v>0</v>
      </c>
      <c r="T100" s="34">
        <f>T!$H32</f>
        <v>0</v>
      </c>
      <c r="U100" s="34">
        <f>U!$H32</f>
        <v>0</v>
      </c>
      <c r="V100" s="34">
        <f>V!$H32</f>
        <v>0</v>
      </c>
      <c r="W100" s="34">
        <f>W!$H32</f>
        <v>0</v>
      </c>
      <c r="X100" s="34">
        <f>X!$H32</f>
        <v>0</v>
      </c>
      <c r="Y100" s="181">
        <f>SUM(B100:X100)</f>
        <v>0</v>
      </c>
      <c r="Z100" s="181">
        <f>IF(B!E109="",0,B!$C$11+B!$C$8*B!F111)</f>
        <v>0</v>
      </c>
      <c r="AA100" s="181">
        <f>Y100-Z100</f>
        <v>0</v>
      </c>
    </row>
    <row r="101" spans="1:27" ht="15.75">
      <c r="A101" s="193">
        <f>'C'!F33</f>
        <v>0</v>
      </c>
      <c r="B101" s="34">
        <f>IF(B!F114=TRUE,14,0)</f>
        <v>0</v>
      </c>
      <c r="C101" s="34">
        <f>'C'!$H33</f>
        <v>0</v>
      </c>
      <c r="D101" s="34">
        <f>D!$H33</f>
        <v>0</v>
      </c>
      <c r="E101" s="34">
        <f>E!$H33</f>
        <v>0</v>
      </c>
      <c r="F101" s="34">
        <f>F!$H33</f>
        <v>0</v>
      </c>
      <c r="G101" s="34">
        <f>G!$H33</f>
        <v>0</v>
      </c>
      <c r="H101" s="34">
        <f>H!$H33</f>
        <v>0</v>
      </c>
      <c r="I101" s="34">
        <f>I!$H33</f>
        <v>0</v>
      </c>
      <c r="J101" s="34">
        <f>J!$H33</f>
        <v>0</v>
      </c>
      <c r="K101" s="34">
        <f>K!$H33</f>
        <v>0</v>
      </c>
      <c r="L101" s="34">
        <f>L!$H33</f>
        <v>0</v>
      </c>
      <c r="M101" s="34">
        <f>M!$H33</f>
        <v>0</v>
      </c>
      <c r="N101" s="34">
        <f>N!$H33</f>
        <v>0</v>
      </c>
      <c r="O101" s="34">
        <f>O!$H33</f>
        <v>0</v>
      </c>
      <c r="P101" s="34">
        <f>P!$H33</f>
        <v>0</v>
      </c>
      <c r="Q101" s="34">
        <f>Q!$H33</f>
        <v>0</v>
      </c>
      <c r="R101" s="34">
        <f>'R'!$H33</f>
        <v>0</v>
      </c>
      <c r="S101" s="34">
        <f>S!$H33</f>
        <v>0</v>
      </c>
      <c r="T101" s="34">
        <f>T!$H33</f>
        <v>0</v>
      </c>
      <c r="U101" s="34">
        <f>U!$H33</f>
        <v>0</v>
      </c>
      <c r="V101" s="34">
        <f>V!$H33</f>
        <v>0</v>
      </c>
      <c r="W101" s="34">
        <f>W!$H33</f>
        <v>0</v>
      </c>
      <c r="X101" s="34">
        <f>X!$H33</f>
        <v>0</v>
      </c>
      <c r="Y101" s="181">
        <f>SUM(B101:X101)</f>
        <v>0</v>
      </c>
      <c r="Z101" s="181">
        <f>IF(B!E114="",0,B!$C$11+B!$C$8*B!F116)</f>
        <v>0</v>
      </c>
      <c r="AA101" s="181">
        <f>Y101-Z101</f>
        <v>0</v>
      </c>
    </row>
    <row r="102" spans="1:27" ht="15.75">
      <c r="A102" s="193">
        <f>'C'!F34</f>
        <v>0</v>
      </c>
      <c r="B102" s="34">
        <f>IF(B!F119=TRUE,14,0)</f>
        <v>0</v>
      </c>
      <c r="C102" s="34">
        <f>'C'!$H34</f>
        <v>0</v>
      </c>
      <c r="D102" s="34">
        <f>D!$H34</f>
        <v>0</v>
      </c>
      <c r="E102" s="34">
        <f>E!$H34</f>
        <v>0</v>
      </c>
      <c r="F102" s="34">
        <f>F!$H34</f>
        <v>0</v>
      </c>
      <c r="G102" s="34">
        <f>G!$H34</f>
        <v>0</v>
      </c>
      <c r="H102" s="34">
        <f>H!$H34</f>
        <v>0</v>
      </c>
      <c r="I102" s="34">
        <f>I!$H34</f>
        <v>0</v>
      </c>
      <c r="J102" s="34">
        <f>J!$H34</f>
        <v>0</v>
      </c>
      <c r="K102" s="34">
        <f>K!$H34</f>
        <v>0</v>
      </c>
      <c r="L102" s="34">
        <f>L!$H34</f>
        <v>0</v>
      </c>
      <c r="M102" s="34">
        <f>M!$H34</f>
        <v>0</v>
      </c>
      <c r="N102" s="34">
        <f>N!$H34</f>
        <v>0</v>
      </c>
      <c r="O102" s="34">
        <f>O!$H34</f>
        <v>0</v>
      </c>
      <c r="P102" s="34">
        <f>P!$H34</f>
        <v>0</v>
      </c>
      <c r="Q102" s="34">
        <f>Q!$H34</f>
        <v>0</v>
      </c>
      <c r="R102" s="34">
        <f>'R'!$H34</f>
        <v>0</v>
      </c>
      <c r="S102" s="34">
        <f>S!$H34</f>
        <v>0</v>
      </c>
      <c r="T102" s="34">
        <f>T!$H34</f>
        <v>0</v>
      </c>
      <c r="U102" s="34">
        <f>U!$H34</f>
        <v>0</v>
      </c>
      <c r="V102" s="34">
        <f>V!$H34</f>
        <v>0</v>
      </c>
      <c r="W102" s="34">
        <f>W!$H34</f>
        <v>0</v>
      </c>
      <c r="X102" s="34">
        <f>X!$H34</f>
        <v>0</v>
      </c>
      <c r="Y102" s="181">
        <f>SUM(B102:X102)</f>
        <v>0</v>
      </c>
      <c r="Z102" s="181">
        <f>IF(B!E119="",0,B!$C$11+B!$C$8*B!F121)</f>
        <v>0</v>
      </c>
      <c r="AA102" s="181">
        <f>Y102-Z102</f>
        <v>0</v>
      </c>
    </row>
    <row r="103" spans="1:27" ht="16.5" thickBot="1">
      <c r="A103" s="193">
        <f>'C'!F35</f>
        <v>0</v>
      </c>
      <c r="B103" s="34">
        <f>IF(B!F124=TRUE,14,0)</f>
        <v>0</v>
      </c>
      <c r="C103" s="34">
        <f>'C'!$H35</f>
        <v>0</v>
      </c>
      <c r="D103" s="34">
        <f>D!$H35</f>
        <v>0</v>
      </c>
      <c r="E103" s="34">
        <f>E!$H35</f>
        <v>0</v>
      </c>
      <c r="F103" s="34">
        <f>F!$H35</f>
        <v>0</v>
      </c>
      <c r="G103" s="34">
        <f>G!$H35</f>
        <v>0</v>
      </c>
      <c r="H103" s="34">
        <f>H!$H35</f>
        <v>0</v>
      </c>
      <c r="I103" s="34">
        <f>I!$H35</f>
        <v>0</v>
      </c>
      <c r="J103" s="34">
        <f>J!$H35</f>
        <v>0</v>
      </c>
      <c r="K103" s="34">
        <f>K!$H35</f>
        <v>0</v>
      </c>
      <c r="L103" s="34">
        <f>L!$H35</f>
        <v>0</v>
      </c>
      <c r="M103" s="34">
        <f>M!$H35</f>
        <v>0</v>
      </c>
      <c r="N103" s="34">
        <f>N!$H35</f>
        <v>0</v>
      </c>
      <c r="O103" s="34">
        <f>O!$H35</f>
        <v>0</v>
      </c>
      <c r="P103" s="34">
        <f>P!$H35</f>
        <v>0</v>
      </c>
      <c r="Q103" s="34">
        <f>Q!$H35</f>
        <v>0</v>
      </c>
      <c r="R103" s="34">
        <f>'R'!$H35</f>
        <v>0</v>
      </c>
      <c r="S103" s="34">
        <f>S!$H35</f>
        <v>0</v>
      </c>
      <c r="T103" s="34">
        <f>T!$H35</f>
        <v>0</v>
      </c>
      <c r="U103" s="34">
        <f>U!$H35</f>
        <v>0</v>
      </c>
      <c r="V103" s="34">
        <f>V!$H35</f>
        <v>0</v>
      </c>
      <c r="W103" s="34">
        <f>W!$H35</f>
        <v>0</v>
      </c>
      <c r="X103" s="34">
        <f>X!$H35</f>
        <v>0</v>
      </c>
      <c r="Y103" s="181">
        <f>SUM(B103:X103)</f>
        <v>0</v>
      </c>
      <c r="Z103" s="181">
        <f>IF(B!E124="",0,B!$C$11+B!$C$8*B!F126)</f>
        <v>0</v>
      </c>
      <c r="AA103" s="181">
        <f>Y103-Z103</f>
        <v>0</v>
      </c>
    </row>
    <row r="104" spans="1:27" ht="16.5" thickBot="1">
      <c r="A104" s="194" t="s">
        <v>200</v>
      </c>
      <c r="B104" s="36">
        <f t="shared" ref="B104:AA104" si="12">SUM(B99:B103)</f>
        <v>0</v>
      </c>
      <c r="C104" s="36">
        <f t="shared" si="12"/>
        <v>0</v>
      </c>
      <c r="D104" s="36">
        <f t="shared" si="12"/>
        <v>0</v>
      </c>
      <c r="E104" s="36">
        <f t="shared" si="12"/>
        <v>0</v>
      </c>
      <c r="F104" s="36">
        <f t="shared" si="12"/>
        <v>0</v>
      </c>
      <c r="G104" s="36">
        <f t="shared" si="12"/>
        <v>0</v>
      </c>
      <c r="H104" s="36">
        <f t="shared" si="12"/>
        <v>0</v>
      </c>
      <c r="I104" s="36">
        <f t="shared" si="12"/>
        <v>0</v>
      </c>
      <c r="J104" s="36">
        <f t="shared" si="12"/>
        <v>0</v>
      </c>
      <c r="K104" s="36">
        <f t="shared" si="12"/>
        <v>0</v>
      </c>
      <c r="L104" s="36">
        <f t="shared" si="12"/>
        <v>0</v>
      </c>
      <c r="M104" s="36">
        <f t="shared" si="12"/>
        <v>0</v>
      </c>
      <c r="N104" s="36">
        <f t="shared" si="12"/>
        <v>0</v>
      </c>
      <c r="O104" s="36">
        <f t="shared" si="12"/>
        <v>0</v>
      </c>
      <c r="P104" s="36">
        <f t="shared" si="12"/>
        <v>0</v>
      </c>
      <c r="Q104" s="36">
        <f t="shared" si="12"/>
        <v>0</v>
      </c>
      <c r="R104" s="36">
        <f t="shared" si="12"/>
        <v>0</v>
      </c>
      <c r="S104" s="36">
        <f t="shared" si="12"/>
        <v>0</v>
      </c>
      <c r="T104" s="36">
        <f t="shared" si="12"/>
        <v>0</v>
      </c>
      <c r="U104" s="36">
        <f t="shared" si="12"/>
        <v>0</v>
      </c>
      <c r="V104" s="36">
        <f t="shared" si="12"/>
        <v>0</v>
      </c>
      <c r="W104" s="36">
        <f t="shared" si="12"/>
        <v>0</v>
      </c>
      <c r="X104" s="37">
        <f t="shared" si="12"/>
        <v>0</v>
      </c>
      <c r="Y104" s="185">
        <f>SUM(Y99:Y103)</f>
        <v>0</v>
      </c>
      <c r="Z104" s="185">
        <f t="shared" si="12"/>
        <v>0</v>
      </c>
      <c r="AA104" s="185">
        <f t="shared" si="12"/>
        <v>0</v>
      </c>
    </row>
    <row r="105" spans="1:27" ht="18">
      <c r="A105" s="179"/>
      <c r="B105" s="179"/>
      <c r="Y105" s="182" t="s">
        <v>97</v>
      </c>
      <c r="Z105" s="182" t="s">
        <v>97</v>
      </c>
      <c r="AA105" s="182" t="s">
        <v>97</v>
      </c>
    </row>
    <row r="106" spans="1:27" ht="18.75" thickBot="1">
      <c r="A106" s="178">
        <f>'C'!F43</f>
        <v>0</v>
      </c>
      <c r="B106" s="178" t="s">
        <v>199</v>
      </c>
      <c r="C106" s="31" t="s">
        <v>75</v>
      </c>
      <c r="D106" s="31" t="s">
        <v>76</v>
      </c>
      <c r="E106" s="31" t="s">
        <v>77</v>
      </c>
      <c r="F106" s="31" t="s">
        <v>78</v>
      </c>
      <c r="G106" s="31" t="s">
        <v>79</v>
      </c>
      <c r="H106" s="31" t="s">
        <v>80</v>
      </c>
      <c r="I106" s="31" t="s">
        <v>81</v>
      </c>
      <c r="J106" s="31" t="s">
        <v>82</v>
      </c>
      <c r="K106" s="31" t="s">
        <v>83</v>
      </c>
      <c r="L106" s="31" t="s">
        <v>84</v>
      </c>
      <c r="M106" s="31" t="s">
        <v>85</v>
      </c>
      <c r="N106" s="31" t="s">
        <v>86</v>
      </c>
      <c r="O106" s="31" t="s">
        <v>87</v>
      </c>
      <c r="P106" s="31" t="s">
        <v>88</v>
      </c>
      <c r="Q106" s="31" t="s">
        <v>89</v>
      </c>
      <c r="R106" s="31" t="s">
        <v>90</v>
      </c>
      <c r="S106" s="31" t="s">
        <v>91</v>
      </c>
      <c r="T106" s="31" t="s">
        <v>92</v>
      </c>
      <c r="U106" s="31" t="s">
        <v>93</v>
      </c>
      <c r="V106" s="31" t="s">
        <v>94</v>
      </c>
      <c r="W106" s="31" t="s">
        <v>95</v>
      </c>
      <c r="X106" s="32" t="s">
        <v>96</v>
      </c>
      <c r="Y106" s="183" t="s">
        <v>139</v>
      </c>
      <c r="Z106" s="183" t="s">
        <v>201</v>
      </c>
      <c r="AA106" s="183" t="s">
        <v>202</v>
      </c>
    </row>
    <row r="107" spans="1:27" ht="15.75">
      <c r="A107" s="193">
        <f>'C'!F44</f>
        <v>0</v>
      </c>
      <c r="B107" s="34">
        <f>IF(B!F147=TRUE,14,0)</f>
        <v>0</v>
      </c>
      <c r="C107" s="34">
        <f>'C'!$H44</f>
        <v>0</v>
      </c>
      <c r="D107" s="34">
        <f>D!$H44</f>
        <v>0</v>
      </c>
      <c r="E107" s="34">
        <f>E!$H44</f>
        <v>0</v>
      </c>
      <c r="F107" s="34">
        <f>F!$H44</f>
        <v>0</v>
      </c>
      <c r="G107" s="34">
        <f>G!$H44</f>
        <v>0</v>
      </c>
      <c r="H107" s="34">
        <f>H!$H44</f>
        <v>0</v>
      </c>
      <c r="I107" s="34">
        <f>I!$H44</f>
        <v>0</v>
      </c>
      <c r="J107" s="34">
        <f>J!$H44</f>
        <v>0</v>
      </c>
      <c r="K107" s="34">
        <f>K!$H44</f>
        <v>0</v>
      </c>
      <c r="L107" s="34">
        <f>L!$H44</f>
        <v>0</v>
      </c>
      <c r="M107" s="34">
        <f>M!$H44</f>
        <v>0</v>
      </c>
      <c r="N107" s="34">
        <f>N!$H44</f>
        <v>0</v>
      </c>
      <c r="O107" s="34">
        <f>O!$H44</f>
        <v>0</v>
      </c>
      <c r="P107" s="34">
        <f>P!$H44</f>
        <v>0</v>
      </c>
      <c r="Q107" s="34">
        <f>Q!$H44</f>
        <v>0</v>
      </c>
      <c r="R107" s="34">
        <f>'R'!$H44</f>
        <v>0</v>
      </c>
      <c r="S107" s="34">
        <f>S!$H44</f>
        <v>0</v>
      </c>
      <c r="T107" s="34">
        <f>T!$H44</f>
        <v>0</v>
      </c>
      <c r="U107" s="34">
        <f>U!$H44</f>
        <v>0</v>
      </c>
      <c r="V107" s="34">
        <f>V!$H44</f>
        <v>0</v>
      </c>
      <c r="W107" s="34">
        <f>W!$H44</f>
        <v>0</v>
      </c>
      <c r="X107" s="34">
        <f>X!$H44</f>
        <v>0</v>
      </c>
      <c r="Y107" s="181">
        <f>SUM(B107:X107)</f>
        <v>0</v>
      </c>
      <c r="Z107" s="181">
        <f>IF(B!E147="",0,B!$C$11+B!$C$8*B!F149)</f>
        <v>0</v>
      </c>
      <c r="AA107" s="181">
        <f>Y107-Z107</f>
        <v>0</v>
      </c>
    </row>
    <row r="108" spans="1:27" ht="15.75">
      <c r="A108" s="193">
        <f>'C'!F45</f>
        <v>0</v>
      </c>
      <c r="B108" s="34">
        <f>IF(B!F152=TRUE,14,0)</f>
        <v>0</v>
      </c>
      <c r="C108" s="34">
        <f>'C'!$H45</f>
        <v>0</v>
      </c>
      <c r="D108" s="34">
        <f>D!$H45</f>
        <v>0</v>
      </c>
      <c r="E108" s="34">
        <f>E!$H45</f>
        <v>0</v>
      </c>
      <c r="F108" s="34">
        <f>F!$H45</f>
        <v>0</v>
      </c>
      <c r="G108" s="34">
        <f>G!$H45</f>
        <v>0</v>
      </c>
      <c r="H108" s="34">
        <f>H!$H45</f>
        <v>0</v>
      </c>
      <c r="I108" s="34">
        <f>I!$H45</f>
        <v>0</v>
      </c>
      <c r="J108" s="34">
        <f>J!$H45</f>
        <v>0</v>
      </c>
      <c r="K108" s="34">
        <f>K!$H45</f>
        <v>0</v>
      </c>
      <c r="L108" s="34">
        <f>L!$H45</f>
        <v>0</v>
      </c>
      <c r="M108" s="34">
        <f>M!$H45</f>
        <v>0</v>
      </c>
      <c r="N108" s="34">
        <f>N!$H45</f>
        <v>0</v>
      </c>
      <c r="O108" s="34">
        <f>O!$H45</f>
        <v>0</v>
      </c>
      <c r="P108" s="34">
        <f>P!$H45</f>
        <v>0</v>
      </c>
      <c r="Q108" s="34">
        <f>Q!$H45</f>
        <v>0</v>
      </c>
      <c r="R108" s="34">
        <f>'R'!$H45</f>
        <v>0</v>
      </c>
      <c r="S108" s="34">
        <f>S!$H45</f>
        <v>0</v>
      </c>
      <c r="T108" s="34">
        <f>T!$H45</f>
        <v>0</v>
      </c>
      <c r="U108" s="34">
        <f>U!$H45</f>
        <v>0</v>
      </c>
      <c r="V108" s="34">
        <f>V!$H45</f>
        <v>0</v>
      </c>
      <c r="W108" s="34">
        <f>W!$H45</f>
        <v>0</v>
      </c>
      <c r="X108" s="34">
        <f>X!$H45</f>
        <v>0</v>
      </c>
      <c r="Y108" s="181">
        <f>SUM(B108:X108)</f>
        <v>0</v>
      </c>
      <c r="Z108" s="181">
        <f>IF(B!E152="",0,B!$C$11+B!$C$8*B!F154)</f>
        <v>0</v>
      </c>
      <c r="AA108" s="181">
        <f>Y108-Z108</f>
        <v>0</v>
      </c>
    </row>
    <row r="109" spans="1:27" ht="15.75">
      <c r="A109" s="193">
        <f>'C'!F46</f>
        <v>0</v>
      </c>
      <c r="B109" s="34">
        <f>IF(B!F157=TRUE,14,0)</f>
        <v>0</v>
      </c>
      <c r="C109" s="34">
        <f>'C'!$H46</f>
        <v>0</v>
      </c>
      <c r="D109" s="34">
        <f>D!$H46</f>
        <v>0</v>
      </c>
      <c r="E109" s="34">
        <f>E!$H46</f>
        <v>0</v>
      </c>
      <c r="F109" s="34">
        <f>F!$H46</f>
        <v>0</v>
      </c>
      <c r="G109" s="34">
        <f>G!$H46</f>
        <v>0</v>
      </c>
      <c r="H109" s="34">
        <f>H!$H46</f>
        <v>0</v>
      </c>
      <c r="I109" s="34">
        <f>I!$H46</f>
        <v>0</v>
      </c>
      <c r="J109" s="34">
        <f>J!$H46</f>
        <v>0</v>
      </c>
      <c r="K109" s="34">
        <f>K!$H46</f>
        <v>0</v>
      </c>
      <c r="L109" s="34">
        <f>L!$H46</f>
        <v>0</v>
      </c>
      <c r="M109" s="34">
        <f>M!$H46</f>
        <v>0</v>
      </c>
      <c r="N109" s="34">
        <f>N!$H46</f>
        <v>0</v>
      </c>
      <c r="O109" s="34">
        <f>O!$H46</f>
        <v>0</v>
      </c>
      <c r="P109" s="34">
        <f>P!$H46</f>
        <v>0</v>
      </c>
      <c r="Q109" s="34">
        <f>Q!$H46</f>
        <v>0</v>
      </c>
      <c r="R109" s="34">
        <f>'R'!$H46</f>
        <v>0</v>
      </c>
      <c r="S109" s="34">
        <f>S!$H46</f>
        <v>0</v>
      </c>
      <c r="T109" s="34">
        <f>T!$H46</f>
        <v>0</v>
      </c>
      <c r="U109" s="34">
        <f>U!$H46</f>
        <v>0</v>
      </c>
      <c r="V109" s="34">
        <f>V!$H46</f>
        <v>0</v>
      </c>
      <c r="W109" s="34">
        <f>W!$H46</f>
        <v>0</v>
      </c>
      <c r="X109" s="34">
        <f>X!$H46</f>
        <v>0</v>
      </c>
      <c r="Y109" s="181">
        <f>SUM(B109:X109)</f>
        <v>0</v>
      </c>
      <c r="Z109" s="181">
        <f>IF(B!E157="",0,B!$C$11+B!$C$8*B!F159)</f>
        <v>0</v>
      </c>
      <c r="AA109" s="181">
        <f>Y109-Z109</f>
        <v>0</v>
      </c>
    </row>
    <row r="110" spans="1:27" ht="15.75">
      <c r="A110" s="193">
        <f>'C'!F47</f>
        <v>0</v>
      </c>
      <c r="B110" s="34">
        <f>IF(B!F162=TRUE,14,0)</f>
        <v>0</v>
      </c>
      <c r="C110" s="34">
        <f>'C'!$H47</f>
        <v>0</v>
      </c>
      <c r="D110" s="34">
        <f>D!$H47</f>
        <v>0</v>
      </c>
      <c r="E110" s="34">
        <f>E!$H47</f>
        <v>0</v>
      </c>
      <c r="F110" s="34">
        <f>F!$H47</f>
        <v>0</v>
      </c>
      <c r="G110" s="34">
        <f>G!$H47</f>
        <v>0</v>
      </c>
      <c r="H110" s="34">
        <f>H!$H47</f>
        <v>0</v>
      </c>
      <c r="I110" s="34">
        <f>I!$H47</f>
        <v>0</v>
      </c>
      <c r="J110" s="34">
        <f>J!$H47</f>
        <v>0</v>
      </c>
      <c r="K110" s="34">
        <f>K!$H47</f>
        <v>0</v>
      </c>
      <c r="L110" s="34">
        <f>L!$H47</f>
        <v>0</v>
      </c>
      <c r="M110" s="34">
        <f>M!$H47</f>
        <v>0</v>
      </c>
      <c r="N110" s="34">
        <f>N!$H47</f>
        <v>0</v>
      </c>
      <c r="O110" s="34">
        <f>O!$H47</f>
        <v>0</v>
      </c>
      <c r="P110" s="34">
        <f>P!$H47</f>
        <v>0</v>
      </c>
      <c r="Q110" s="34">
        <f>Q!$H47</f>
        <v>0</v>
      </c>
      <c r="R110" s="34">
        <f>'R'!$H47</f>
        <v>0</v>
      </c>
      <c r="S110" s="34">
        <f>S!$H47</f>
        <v>0</v>
      </c>
      <c r="T110" s="34">
        <f>T!$H47</f>
        <v>0</v>
      </c>
      <c r="U110" s="34">
        <f>U!$H47</f>
        <v>0</v>
      </c>
      <c r="V110" s="34">
        <f>V!$H47</f>
        <v>0</v>
      </c>
      <c r="W110" s="34">
        <f>W!$H47</f>
        <v>0</v>
      </c>
      <c r="X110" s="34">
        <f>X!$H47</f>
        <v>0</v>
      </c>
      <c r="Y110" s="181">
        <f>SUM(B110:X110)</f>
        <v>0</v>
      </c>
      <c r="Z110" s="181">
        <f>IF(B!E162="",0,B!$C$11+B!$C$8*B!F164)</f>
        <v>0</v>
      </c>
      <c r="AA110" s="181">
        <f>Y110-Z110</f>
        <v>0</v>
      </c>
    </row>
    <row r="111" spans="1:27" ht="16.5" thickBot="1">
      <c r="A111" s="193">
        <f>'C'!F48</f>
        <v>0</v>
      </c>
      <c r="B111" s="34">
        <f>IF(B!F167=TRUE,14,0)</f>
        <v>0</v>
      </c>
      <c r="C111" s="34">
        <f>'C'!$H48</f>
        <v>0</v>
      </c>
      <c r="D111" s="34">
        <f>D!$H48</f>
        <v>0</v>
      </c>
      <c r="E111" s="34">
        <f>E!$H48</f>
        <v>0</v>
      </c>
      <c r="F111" s="34">
        <f>F!$H48</f>
        <v>0</v>
      </c>
      <c r="G111" s="34">
        <f>G!$H48</f>
        <v>0</v>
      </c>
      <c r="H111" s="34">
        <f>H!$H48</f>
        <v>0</v>
      </c>
      <c r="I111" s="34">
        <f>I!$H48</f>
        <v>0</v>
      </c>
      <c r="J111" s="34">
        <f>J!$H48</f>
        <v>0</v>
      </c>
      <c r="K111" s="34">
        <f>K!$H48</f>
        <v>0</v>
      </c>
      <c r="L111" s="34">
        <f>L!$H48</f>
        <v>0</v>
      </c>
      <c r="M111" s="34">
        <f>M!$H48</f>
        <v>0</v>
      </c>
      <c r="N111" s="34">
        <f>N!$H48</f>
        <v>0</v>
      </c>
      <c r="O111" s="34">
        <f>O!$H48</f>
        <v>0</v>
      </c>
      <c r="P111" s="34">
        <f>P!$H48</f>
        <v>0</v>
      </c>
      <c r="Q111" s="34">
        <f>Q!$H48</f>
        <v>0</v>
      </c>
      <c r="R111" s="34">
        <f>'R'!$H48</f>
        <v>0</v>
      </c>
      <c r="S111" s="34">
        <f>S!$H48</f>
        <v>0</v>
      </c>
      <c r="T111" s="34">
        <f>T!$H48</f>
        <v>0</v>
      </c>
      <c r="U111" s="34">
        <f>U!$H48</f>
        <v>0</v>
      </c>
      <c r="V111" s="34">
        <f>V!$H48</f>
        <v>0</v>
      </c>
      <c r="W111" s="34">
        <f>W!$H48</f>
        <v>0</v>
      </c>
      <c r="X111" s="34">
        <f>X!$H48</f>
        <v>0</v>
      </c>
      <c r="Y111" s="181">
        <f>SUM(B111:X111)</f>
        <v>0</v>
      </c>
      <c r="Z111" s="181">
        <f>IF(B!E167="",0,B!$C$11+B!$C$8*B!F169)</f>
        <v>0</v>
      </c>
      <c r="AA111" s="181">
        <f>Y111-Z111</f>
        <v>0</v>
      </c>
    </row>
    <row r="112" spans="1:27" ht="16.5" thickBot="1">
      <c r="A112" s="194" t="s">
        <v>200</v>
      </c>
      <c r="B112" s="36">
        <f t="shared" ref="B112:AA112" si="13">SUM(B107:B111)</f>
        <v>0</v>
      </c>
      <c r="C112" s="36">
        <f t="shared" si="13"/>
        <v>0</v>
      </c>
      <c r="D112" s="36">
        <f t="shared" si="13"/>
        <v>0</v>
      </c>
      <c r="E112" s="36">
        <f t="shared" si="13"/>
        <v>0</v>
      </c>
      <c r="F112" s="36">
        <f t="shared" si="13"/>
        <v>0</v>
      </c>
      <c r="G112" s="36">
        <f t="shared" si="13"/>
        <v>0</v>
      </c>
      <c r="H112" s="36">
        <f t="shared" si="13"/>
        <v>0</v>
      </c>
      <c r="I112" s="36">
        <f t="shared" si="13"/>
        <v>0</v>
      </c>
      <c r="J112" s="36">
        <f t="shared" si="13"/>
        <v>0</v>
      </c>
      <c r="K112" s="36">
        <f t="shared" si="13"/>
        <v>0</v>
      </c>
      <c r="L112" s="36">
        <f t="shared" si="13"/>
        <v>0</v>
      </c>
      <c r="M112" s="36">
        <f t="shared" si="13"/>
        <v>0</v>
      </c>
      <c r="N112" s="36">
        <f t="shared" si="13"/>
        <v>0</v>
      </c>
      <c r="O112" s="36">
        <f t="shared" si="13"/>
        <v>0</v>
      </c>
      <c r="P112" s="36">
        <f t="shared" si="13"/>
        <v>0</v>
      </c>
      <c r="Q112" s="36">
        <f t="shared" si="13"/>
        <v>0</v>
      </c>
      <c r="R112" s="36">
        <f t="shared" si="13"/>
        <v>0</v>
      </c>
      <c r="S112" s="36">
        <f t="shared" si="13"/>
        <v>0</v>
      </c>
      <c r="T112" s="36">
        <f t="shared" si="13"/>
        <v>0</v>
      </c>
      <c r="U112" s="36">
        <f t="shared" si="13"/>
        <v>0</v>
      </c>
      <c r="V112" s="36">
        <f t="shared" si="13"/>
        <v>0</v>
      </c>
      <c r="W112" s="36">
        <f t="shared" si="13"/>
        <v>0</v>
      </c>
      <c r="X112" s="37">
        <f t="shared" si="13"/>
        <v>0</v>
      </c>
      <c r="Y112" s="185">
        <f>SUM(Y107:Y111)</f>
        <v>0</v>
      </c>
      <c r="Z112" s="185">
        <f t="shared" si="13"/>
        <v>0</v>
      </c>
      <c r="AA112" s="185">
        <f t="shared" si="13"/>
        <v>0</v>
      </c>
    </row>
    <row r="113" spans="1:27" ht="18">
      <c r="A113" s="179"/>
      <c r="B113" s="179"/>
      <c r="Y113" s="182" t="s">
        <v>97</v>
      </c>
      <c r="Z113" s="182" t="s">
        <v>97</v>
      </c>
      <c r="AA113" s="182" t="s">
        <v>97</v>
      </c>
    </row>
    <row r="114" spans="1:27" ht="18.75" thickBot="1">
      <c r="A114" s="178">
        <f>'C'!F56</f>
        <v>0</v>
      </c>
      <c r="B114" s="178" t="s">
        <v>199</v>
      </c>
      <c r="C114" s="31" t="s">
        <v>75</v>
      </c>
      <c r="D114" s="31" t="s">
        <v>76</v>
      </c>
      <c r="E114" s="31" t="s">
        <v>77</v>
      </c>
      <c r="F114" s="31" t="s">
        <v>78</v>
      </c>
      <c r="G114" s="31" t="s">
        <v>79</v>
      </c>
      <c r="H114" s="31" t="s">
        <v>80</v>
      </c>
      <c r="I114" s="31" t="s">
        <v>81</v>
      </c>
      <c r="J114" s="31" t="s">
        <v>82</v>
      </c>
      <c r="K114" s="31" t="s">
        <v>83</v>
      </c>
      <c r="L114" s="31" t="s">
        <v>84</v>
      </c>
      <c r="M114" s="31" t="s">
        <v>85</v>
      </c>
      <c r="N114" s="31" t="s">
        <v>86</v>
      </c>
      <c r="O114" s="31" t="s">
        <v>87</v>
      </c>
      <c r="P114" s="31" t="s">
        <v>88</v>
      </c>
      <c r="Q114" s="31" t="s">
        <v>89</v>
      </c>
      <c r="R114" s="31" t="s">
        <v>90</v>
      </c>
      <c r="S114" s="31" t="s">
        <v>91</v>
      </c>
      <c r="T114" s="31" t="s">
        <v>92</v>
      </c>
      <c r="U114" s="31" t="s">
        <v>93</v>
      </c>
      <c r="V114" s="31" t="s">
        <v>94</v>
      </c>
      <c r="W114" s="31" t="s">
        <v>95</v>
      </c>
      <c r="X114" s="32" t="s">
        <v>96</v>
      </c>
      <c r="Y114" s="183" t="s">
        <v>139</v>
      </c>
      <c r="Z114" s="183" t="s">
        <v>201</v>
      </c>
      <c r="AA114" s="183" t="s">
        <v>202</v>
      </c>
    </row>
    <row r="115" spans="1:27" ht="15.75">
      <c r="A115" s="193">
        <f>'C'!F57</f>
        <v>0</v>
      </c>
      <c r="B115" s="34">
        <f>IF(B!F190=TRUE,14,0)</f>
        <v>0</v>
      </c>
      <c r="C115" s="34">
        <f>'C'!$H57</f>
        <v>0</v>
      </c>
      <c r="D115" s="34">
        <f>D!$H57</f>
        <v>0</v>
      </c>
      <c r="E115" s="34">
        <f>E!$H57</f>
        <v>0</v>
      </c>
      <c r="F115" s="34">
        <f>F!$H57</f>
        <v>0</v>
      </c>
      <c r="G115" s="34">
        <f>G!$H57</f>
        <v>0</v>
      </c>
      <c r="H115" s="34">
        <f>H!$H57</f>
        <v>0</v>
      </c>
      <c r="I115" s="34">
        <f>I!$H57</f>
        <v>0</v>
      </c>
      <c r="J115" s="34">
        <f>J!$H57</f>
        <v>0</v>
      </c>
      <c r="K115" s="34">
        <f>K!$H57</f>
        <v>0</v>
      </c>
      <c r="L115" s="34">
        <f>L!$H57</f>
        <v>0</v>
      </c>
      <c r="M115" s="34">
        <f>M!$H57</f>
        <v>0</v>
      </c>
      <c r="N115" s="34">
        <f>N!$H57</f>
        <v>0</v>
      </c>
      <c r="O115" s="34">
        <f>O!$H57</f>
        <v>0</v>
      </c>
      <c r="P115" s="34">
        <f>P!$H57</f>
        <v>0</v>
      </c>
      <c r="Q115" s="34">
        <f>Q!$H57</f>
        <v>0</v>
      </c>
      <c r="R115" s="34">
        <f>'R'!$H57</f>
        <v>0</v>
      </c>
      <c r="S115" s="34">
        <f>S!$H57</f>
        <v>0</v>
      </c>
      <c r="T115" s="34">
        <f>T!$H57</f>
        <v>0</v>
      </c>
      <c r="U115" s="34">
        <f>U!$H57</f>
        <v>0</v>
      </c>
      <c r="V115" s="34">
        <f>V!$H57</f>
        <v>0</v>
      </c>
      <c r="W115" s="34">
        <f>W!$H57</f>
        <v>0</v>
      </c>
      <c r="X115" s="34">
        <f>X!$H57</f>
        <v>0</v>
      </c>
      <c r="Y115" s="181">
        <f>SUM(B115:X115)</f>
        <v>0</v>
      </c>
      <c r="Z115" s="181">
        <f>IF(B!E190="",0,B!$C$11+B!$C$8*B!F192)</f>
        <v>0</v>
      </c>
      <c r="AA115" s="181">
        <f>Y115-Z115</f>
        <v>0</v>
      </c>
    </row>
    <row r="116" spans="1:27" ht="15.75">
      <c r="A116" s="193">
        <f>'C'!F58</f>
        <v>0</v>
      </c>
      <c r="B116" s="34">
        <f>IF(B!F195=TRUE,14,0)</f>
        <v>0</v>
      </c>
      <c r="C116" s="34">
        <f>'C'!$H58</f>
        <v>0</v>
      </c>
      <c r="D116" s="34">
        <f>D!$H58</f>
        <v>0</v>
      </c>
      <c r="E116" s="34">
        <f>E!$H58</f>
        <v>0</v>
      </c>
      <c r="F116" s="34">
        <f>F!$H58</f>
        <v>0</v>
      </c>
      <c r="G116" s="34">
        <f>G!$H58</f>
        <v>0</v>
      </c>
      <c r="H116" s="34">
        <f>H!$H58</f>
        <v>0</v>
      </c>
      <c r="I116" s="34">
        <f>I!$H58</f>
        <v>0</v>
      </c>
      <c r="J116" s="34">
        <f>J!$H58</f>
        <v>0</v>
      </c>
      <c r="K116" s="34">
        <f>K!$H58</f>
        <v>0</v>
      </c>
      <c r="L116" s="34">
        <f>L!$H58</f>
        <v>0</v>
      </c>
      <c r="M116" s="34">
        <f>M!$H58</f>
        <v>0</v>
      </c>
      <c r="N116" s="34">
        <f>N!$H58</f>
        <v>0</v>
      </c>
      <c r="O116" s="34">
        <f>O!$H58</f>
        <v>0</v>
      </c>
      <c r="P116" s="34">
        <f>P!$H58</f>
        <v>0</v>
      </c>
      <c r="Q116" s="34">
        <f>Q!$H58</f>
        <v>0</v>
      </c>
      <c r="R116" s="34">
        <f>'R'!$H58</f>
        <v>0</v>
      </c>
      <c r="S116" s="34">
        <f>S!$H58</f>
        <v>0</v>
      </c>
      <c r="T116" s="34">
        <f>T!$H58</f>
        <v>0</v>
      </c>
      <c r="U116" s="34">
        <f>U!$H58</f>
        <v>0</v>
      </c>
      <c r="V116" s="34">
        <f>V!$H58</f>
        <v>0</v>
      </c>
      <c r="W116" s="34">
        <f>W!$H58</f>
        <v>0</v>
      </c>
      <c r="X116" s="34">
        <f>X!$H58</f>
        <v>0</v>
      </c>
      <c r="Y116" s="181">
        <f>SUM(B116:X116)</f>
        <v>0</v>
      </c>
      <c r="Z116" s="181">
        <f>IF(B!E195="",0,B!$C$11+B!$C$8*B!F197)</f>
        <v>0</v>
      </c>
      <c r="AA116" s="181">
        <f>Y116-Z116</f>
        <v>0</v>
      </c>
    </row>
    <row r="117" spans="1:27" ht="15.75">
      <c r="A117" s="193">
        <f>'C'!F59</f>
        <v>0</v>
      </c>
      <c r="B117" s="34">
        <f>IF(B!F200=TRUE,14,0)</f>
        <v>0</v>
      </c>
      <c r="C117" s="34">
        <f>'C'!$H59</f>
        <v>0</v>
      </c>
      <c r="D117" s="34">
        <f>D!$H59</f>
        <v>0</v>
      </c>
      <c r="E117" s="34">
        <f>E!$H59</f>
        <v>0</v>
      </c>
      <c r="F117" s="34">
        <f>F!$H59</f>
        <v>0</v>
      </c>
      <c r="G117" s="34">
        <f>G!$H59</f>
        <v>0</v>
      </c>
      <c r="H117" s="34">
        <f>H!$H59</f>
        <v>0</v>
      </c>
      <c r="I117" s="34">
        <f>I!$H59</f>
        <v>0</v>
      </c>
      <c r="J117" s="34">
        <f>J!$H59</f>
        <v>0</v>
      </c>
      <c r="K117" s="34">
        <f>K!$H59</f>
        <v>0</v>
      </c>
      <c r="L117" s="34">
        <f>L!$H59</f>
        <v>0</v>
      </c>
      <c r="M117" s="34">
        <f>M!$H59</f>
        <v>0</v>
      </c>
      <c r="N117" s="34">
        <f>N!$H59</f>
        <v>0</v>
      </c>
      <c r="O117" s="34">
        <f>O!$H59</f>
        <v>0</v>
      </c>
      <c r="P117" s="34">
        <f>P!$H59</f>
        <v>0</v>
      </c>
      <c r="Q117" s="34">
        <f>Q!$H59</f>
        <v>0</v>
      </c>
      <c r="R117" s="34">
        <f>'R'!$H59</f>
        <v>0</v>
      </c>
      <c r="S117" s="34">
        <f>S!$H59</f>
        <v>0</v>
      </c>
      <c r="T117" s="34">
        <f>T!$H59</f>
        <v>0</v>
      </c>
      <c r="U117" s="34">
        <f>U!$H59</f>
        <v>0</v>
      </c>
      <c r="V117" s="34">
        <f>V!$H59</f>
        <v>0</v>
      </c>
      <c r="W117" s="34">
        <f>W!$H59</f>
        <v>0</v>
      </c>
      <c r="X117" s="34">
        <f>X!$H59</f>
        <v>0</v>
      </c>
      <c r="Y117" s="181">
        <f>SUM(B117:X117)</f>
        <v>0</v>
      </c>
      <c r="Z117" s="181">
        <f>IF(B!E200="",0,B!$C$11+B!$C$8*B!F202)</f>
        <v>0</v>
      </c>
      <c r="AA117" s="181">
        <f>Y117-Z117</f>
        <v>0</v>
      </c>
    </row>
    <row r="118" spans="1:27" ht="15.75">
      <c r="A118" s="193">
        <f>'C'!F60</f>
        <v>0</v>
      </c>
      <c r="B118" s="34">
        <f>IF(B!F205=TRUE,14,0)</f>
        <v>0</v>
      </c>
      <c r="C118" s="34">
        <f>'C'!$H60</f>
        <v>0</v>
      </c>
      <c r="D118" s="34">
        <f>D!$H60</f>
        <v>0</v>
      </c>
      <c r="E118" s="34">
        <f>E!$H60</f>
        <v>0</v>
      </c>
      <c r="F118" s="34">
        <f>F!$H60</f>
        <v>0</v>
      </c>
      <c r="G118" s="34">
        <f>G!$H60</f>
        <v>0</v>
      </c>
      <c r="H118" s="34">
        <f>H!$H60</f>
        <v>0</v>
      </c>
      <c r="I118" s="34">
        <f>I!$H60</f>
        <v>0</v>
      </c>
      <c r="J118" s="34">
        <f>J!$H60</f>
        <v>0</v>
      </c>
      <c r="K118" s="34">
        <f>K!$H60</f>
        <v>0</v>
      </c>
      <c r="L118" s="34">
        <f>L!$H60</f>
        <v>0</v>
      </c>
      <c r="M118" s="34">
        <f>M!$H60</f>
        <v>0</v>
      </c>
      <c r="N118" s="34">
        <f>N!$H60</f>
        <v>0</v>
      </c>
      <c r="O118" s="34">
        <f>O!$H60</f>
        <v>0</v>
      </c>
      <c r="P118" s="34">
        <f>P!$H60</f>
        <v>0</v>
      </c>
      <c r="Q118" s="34">
        <f>Q!$H60</f>
        <v>0</v>
      </c>
      <c r="R118" s="34">
        <f>'R'!$H60</f>
        <v>0</v>
      </c>
      <c r="S118" s="34">
        <f>S!$H60</f>
        <v>0</v>
      </c>
      <c r="T118" s="34">
        <f>T!$H60</f>
        <v>0</v>
      </c>
      <c r="U118" s="34">
        <f>U!$H60</f>
        <v>0</v>
      </c>
      <c r="V118" s="34">
        <f>V!$H60</f>
        <v>0</v>
      </c>
      <c r="W118" s="34">
        <f>W!$H60</f>
        <v>0</v>
      </c>
      <c r="X118" s="34">
        <f>X!$H60</f>
        <v>0</v>
      </c>
      <c r="Y118" s="181">
        <f>SUM(B118:X118)</f>
        <v>0</v>
      </c>
      <c r="Z118" s="181">
        <f>IF(B!E205="",0,B!$C$11+B!$C$8*B!F207)</f>
        <v>0</v>
      </c>
      <c r="AA118" s="181">
        <f>Y118-Z118</f>
        <v>0</v>
      </c>
    </row>
    <row r="119" spans="1:27" ht="16.5" thickBot="1">
      <c r="A119" s="193">
        <f>'C'!F61</f>
        <v>0</v>
      </c>
      <c r="B119" s="34">
        <f>IF(B!F210=TRUE,14,0)</f>
        <v>0</v>
      </c>
      <c r="C119" s="34">
        <f>'C'!$H61</f>
        <v>0</v>
      </c>
      <c r="D119" s="34">
        <f>D!$H61</f>
        <v>0</v>
      </c>
      <c r="E119" s="34">
        <f>E!$H61</f>
        <v>0</v>
      </c>
      <c r="F119" s="34">
        <f>F!$H61</f>
        <v>0</v>
      </c>
      <c r="G119" s="34">
        <f>G!$H61</f>
        <v>0</v>
      </c>
      <c r="H119" s="34">
        <f>H!$H61</f>
        <v>0</v>
      </c>
      <c r="I119" s="34">
        <f>I!$H61</f>
        <v>0</v>
      </c>
      <c r="J119" s="34">
        <f>J!$H61</f>
        <v>0</v>
      </c>
      <c r="K119" s="34">
        <f>K!$H61</f>
        <v>0</v>
      </c>
      <c r="L119" s="34">
        <f>L!$H61</f>
        <v>0</v>
      </c>
      <c r="M119" s="34">
        <f>M!$H61</f>
        <v>0</v>
      </c>
      <c r="N119" s="34">
        <f>N!$H61</f>
        <v>0</v>
      </c>
      <c r="O119" s="34">
        <f>O!$H61</f>
        <v>0</v>
      </c>
      <c r="P119" s="34">
        <f>P!$H61</f>
        <v>0</v>
      </c>
      <c r="Q119" s="34">
        <f>Q!$H61</f>
        <v>0</v>
      </c>
      <c r="R119" s="34">
        <f>'R'!$H61</f>
        <v>0</v>
      </c>
      <c r="S119" s="34">
        <f>S!$H61</f>
        <v>0</v>
      </c>
      <c r="T119" s="34">
        <f>T!$H61</f>
        <v>0</v>
      </c>
      <c r="U119" s="34">
        <f>U!$H61</f>
        <v>0</v>
      </c>
      <c r="V119" s="34">
        <f>V!$H61</f>
        <v>0</v>
      </c>
      <c r="W119" s="34">
        <f>W!$H61</f>
        <v>0</v>
      </c>
      <c r="X119" s="34">
        <f>X!$H61</f>
        <v>0</v>
      </c>
      <c r="Y119" s="181">
        <f>SUM(B119:X119)</f>
        <v>0</v>
      </c>
      <c r="Z119" s="181">
        <f>IF(B!E210="",0,B!$C$11+B!$C$8*B!F212)</f>
        <v>0</v>
      </c>
      <c r="AA119" s="181">
        <f>Y119-Z119</f>
        <v>0</v>
      </c>
    </row>
    <row r="120" spans="1:27" ht="16.5" thickBot="1">
      <c r="A120" s="194" t="s">
        <v>200</v>
      </c>
      <c r="B120" s="36">
        <f t="shared" ref="B120:AA120" si="14">SUM(B115:B119)</f>
        <v>0</v>
      </c>
      <c r="C120" s="36">
        <f t="shared" si="14"/>
        <v>0</v>
      </c>
      <c r="D120" s="36">
        <f t="shared" si="14"/>
        <v>0</v>
      </c>
      <c r="E120" s="36">
        <f t="shared" si="14"/>
        <v>0</v>
      </c>
      <c r="F120" s="36">
        <f t="shared" si="14"/>
        <v>0</v>
      </c>
      <c r="G120" s="36">
        <f t="shared" si="14"/>
        <v>0</v>
      </c>
      <c r="H120" s="36">
        <f t="shared" si="14"/>
        <v>0</v>
      </c>
      <c r="I120" s="36">
        <f t="shared" si="14"/>
        <v>0</v>
      </c>
      <c r="J120" s="36">
        <f t="shared" si="14"/>
        <v>0</v>
      </c>
      <c r="K120" s="36">
        <f t="shared" si="14"/>
        <v>0</v>
      </c>
      <c r="L120" s="36">
        <f t="shared" si="14"/>
        <v>0</v>
      </c>
      <c r="M120" s="36">
        <f t="shared" si="14"/>
        <v>0</v>
      </c>
      <c r="N120" s="36">
        <f t="shared" si="14"/>
        <v>0</v>
      </c>
      <c r="O120" s="36">
        <f t="shared" si="14"/>
        <v>0</v>
      </c>
      <c r="P120" s="36">
        <f t="shared" si="14"/>
        <v>0</v>
      </c>
      <c r="Q120" s="36">
        <f t="shared" si="14"/>
        <v>0</v>
      </c>
      <c r="R120" s="36">
        <f t="shared" si="14"/>
        <v>0</v>
      </c>
      <c r="S120" s="36">
        <f t="shared" si="14"/>
        <v>0</v>
      </c>
      <c r="T120" s="36">
        <f t="shared" si="14"/>
        <v>0</v>
      </c>
      <c r="U120" s="36">
        <f t="shared" si="14"/>
        <v>0</v>
      </c>
      <c r="V120" s="36">
        <f t="shared" si="14"/>
        <v>0</v>
      </c>
      <c r="W120" s="36">
        <f t="shared" si="14"/>
        <v>0</v>
      </c>
      <c r="X120" s="37">
        <f t="shared" si="14"/>
        <v>0</v>
      </c>
      <c r="Y120" s="185">
        <f>SUM(Y115:Y119)</f>
        <v>0</v>
      </c>
      <c r="Z120" s="185">
        <f t="shared" si="14"/>
        <v>0</v>
      </c>
      <c r="AA120" s="185">
        <f t="shared" si="14"/>
        <v>0</v>
      </c>
    </row>
    <row r="121" spans="1:27" ht="18">
      <c r="A121" s="179"/>
      <c r="B121" s="179"/>
      <c r="Y121" s="182" t="s">
        <v>97</v>
      </c>
      <c r="Z121" s="182" t="s">
        <v>97</v>
      </c>
      <c r="AA121" s="182" t="s">
        <v>97</v>
      </c>
    </row>
    <row r="122" spans="1:27" ht="18.75" thickBot="1">
      <c r="A122" s="178">
        <f>'C'!F69</f>
        <v>0</v>
      </c>
      <c r="B122" s="178" t="s">
        <v>199</v>
      </c>
      <c r="C122" s="31" t="s">
        <v>75</v>
      </c>
      <c r="D122" s="31" t="s">
        <v>76</v>
      </c>
      <c r="E122" s="31" t="s">
        <v>77</v>
      </c>
      <c r="F122" s="31" t="s">
        <v>78</v>
      </c>
      <c r="G122" s="31" t="s">
        <v>79</v>
      </c>
      <c r="H122" s="31" t="s">
        <v>80</v>
      </c>
      <c r="I122" s="31" t="s">
        <v>81</v>
      </c>
      <c r="J122" s="31" t="s">
        <v>82</v>
      </c>
      <c r="K122" s="31" t="s">
        <v>83</v>
      </c>
      <c r="L122" s="31" t="s">
        <v>84</v>
      </c>
      <c r="M122" s="31" t="s">
        <v>85</v>
      </c>
      <c r="N122" s="31" t="s">
        <v>86</v>
      </c>
      <c r="O122" s="31" t="s">
        <v>87</v>
      </c>
      <c r="P122" s="31" t="s">
        <v>88</v>
      </c>
      <c r="Q122" s="31" t="s">
        <v>89</v>
      </c>
      <c r="R122" s="31" t="s">
        <v>90</v>
      </c>
      <c r="S122" s="31" t="s">
        <v>91</v>
      </c>
      <c r="T122" s="31" t="s">
        <v>92</v>
      </c>
      <c r="U122" s="31" t="s">
        <v>93</v>
      </c>
      <c r="V122" s="31" t="s">
        <v>94</v>
      </c>
      <c r="W122" s="31" t="s">
        <v>95</v>
      </c>
      <c r="X122" s="32" t="s">
        <v>96</v>
      </c>
      <c r="Y122" s="183" t="s">
        <v>139</v>
      </c>
      <c r="Z122" s="183" t="s">
        <v>201</v>
      </c>
      <c r="AA122" s="183" t="s">
        <v>202</v>
      </c>
    </row>
    <row r="123" spans="1:27" ht="15.75">
      <c r="A123" s="193">
        <f>'C'!F70</f>
        <v>0</v>
      </c>
      <c r="B123" s="34">
        <f>IF(B!F233=TRUE,14,0)</f>
        <v>0</v>
      </c>
      <c r="C123" s="34">
        <f>'C'!$H70</f>
        <v>0</v>
      </c>
      <c r="D123" s="34">
        <f>D!$H70</f>
        <v>0</v>
      </c>
      <c r="E123" s="34">
        <f>E!$H70</f>
        <v>0</v>
      </c>
      <c r="F123" s="34">
        <f>F!$H70</f>
        <v>0</v>
      </c>
      <c r="G123" s="34">
        <f>G!$H70</f>
        <v>0</v>
      </c>
      <c r="H123" s="34">
        <f>H!$H70</f>
        <v>0</v>
      </c>
      <c r="I123" s="34">
        <f>I!$H70</f>
        <v>0</v>
      </c>
      <c r="J123" s="34">
        <f>J!$H70</f>
        <v>0</v>
      </c>
      <c r="K123" s="34">
        <f>K!$H70</f>
        <v>0</v>
      </c>
      <c r="L123" s="34">
        <f>L!$H70</f>
        <v>0</v>
      </c>
      <c r="M123" s="34">
        <f>M!$H70</f>
        <v>0</v>
      </c>
      <c r="N123" s="34">
        <f>N!$H70</f>
        <v>0</v>
      </c>
      <c r="O123" s="34">
        <f>O!$H70</f>
        <v>0</v>
      </c>
      <c r="P123" s="34">
        <f>P!$H70</f>
        <v>0</v>
      </c>
      <c r="Q123" s="34">
        <f>Q!$H70</f>
        <v>0</v>
      </c>
      <c r="R123" s="34">
        <f>'R'!$H70</f>
        <v>0</v>
      </c>
      <c r="S123" s="34">
        <f>S!$H70</f>
        <v>0</v>
      </c>
      <c r="T123" s="34">
        <f>T!$H70</f>
        <v>0</v>
      </c>
      <c r="U123" s="34">
        <f>U!$H70</f>
        <v>0</v>
      </c>
      <c r="V123" s="34">
        <f>V!$H70</f>
        <v>0</v>
      </c>
      <c r="W123" s="34">
        <f>W!$H70</f>
        <v>0</v>
      </c>
      <c r="X123" s="34">
        <f>X!$H70</f>
        <v>0</v>
      </c>
      <c r="Y123" s="181">
        <f>SUM(B123:X123)</f>
        <v>0</v>
      </c>
      <c r="Z123" s="181">
        <f>IF(B!E233="",0,B!$C$11+B!$C$8*B!F235)</f>
        <v>0</v>
      </c>
      <c r="AA123" s="181">
        <f>Y123-Z123</f>
        <v>0</v>
      </c>
    </row>
    <row r="124" spans="1:27" ht="15.75">
      <c r="A124" s="193">
        <f>'C'!F71</f>
        <v>0</v>
      </c>
      <c r="B124" s="34">
        <f>IF(B!F238=TRUE,14,0)</f>
        <v>0</v>
      </c>
      <c r="C124" s="34">
        <f>'C'!$H71</f>
        <v>0</v>
      </c>
      <c r="D124" s="34">
        <f>D!$H71</f>
        <v>0</v>
      </c>
      <c r="E124" s="34">
        <f>E!$H71</f>
        <v>0</v>
      </c>
      <c r="F124" s="34">
        <f>F!$H71</f>
        <v>0</v>
      </c>
      <c r="G124" s="34">
        <f>G!$H71</f>
        <v>0</v>
      </c>
      <c r="H124" s="34">
        <f>H!$H71</f>
        <v>0</v>
      </c>
      <c r="I124" s="34">
        <f>I!$H71</f>
        <v>0</v>
      </c>
      <c r="J124" s="34">
        <f>J!$H71</f>
        <v>0</v>
      </c>
      <c r="K124" s="34">
        <f>K!$H71</f>
        <v>0</v>
      </c>
      <c r="L124" s="34">
        <f>L!$H71</f>
        <v>0</v>
      </c>
      <c r="M124" s="34">
        <f>M!$H71</f>
        <v>0</v>
      </c>
      <c r="N124" s="34">
        <f>N!$H71</f>
        <v>0</v>
      </c>
      <c r="O124" s="34">
        <f>O!$H71</f>
        <v>0</v>
      </c>
      <c r="P124" s="34">
        <f>P!$H71</f>
        <v>0</v>
      </c>
      <c r="Q124" s="34">
        <f>Q!$H71</f>
        <v>0</v>
      </c>
      <c r="R124" s="34">
        <f>'R'!$H71</f>
        <v>0</v>
      </c>
      <c r="S124" s="34">
        <f>S!$H71</f>
        <v>0</v>
      </c>
      <c r="T124" s="34">
        <f>T!$H71</f>
        <v>0</v>
      </c>
      <c r="U124" s="34">
        <f>U!$H71</f>
        <v>0</v>
      </c>
      <c r="V124" s="34">
        <f>V!$H71</f>
        <v>0</v>
      </c>
      <c r="W124" s="34">
        <f>W!$H71</f>
        <v>0</v>
      </c>
      <c r="X124" s="34">
        <f>X!$H71</f>
        <v>0</v>
      </c>
      <c r="Y124" s="181">
        <f>SUM(B124:X124)</f>
        <v>0</v>
      </c>
      <c r="Z124" s="181">
        <f>IF(B!E238="",0,B!$C$11+B!$C$8*B!F240)</f>
        <v>0</v>
      </c>
      <c r="AA124" s="181">
        <f>Y124-Z124</f>
        <v>0</v>
      </c>
    </row>
    <row r="125" spans="1:27" ht="15.75">
      <c r="A125" s="193">
        <f>'C'!F72</f>
        <v>0</v>
      </c>
      <c r="B125" s="34">
        <f>IF(B!F243=TRUE,14,0)</f>
        <v>0</v>
      </c>
      <c r="C125" s="34">
        <f>'C'!$H72</f>
        <v>0</v>
      </c>
      <c r="D125" s="34">
        <f>D!$H72</f>
        <v>0</v>
      </c>
      <c r="E125" s="34">
        <f>E!$H72</f>
        <v>0</v>
      </c>
      <c r="F125" s="34">
        <f>F!$H72</f>
        <v>0</v>
      </c>
      <c r="G125" s="34">
        <f>G!$H72</f>
        <v>0</v>
      </c>
      <c r="H125" s="34">
        <f>H!$H72</f>
        <v>0</v>
      </c>
      <c r="I125" s="34">
        <f>I!$H72</f>
        <v>0</v>
      </c>
      <c r="J125" s="34">
        <f>J!$H72</f>
        <v>0</v>
      </c>
      <c r="K125" s="34">
        <f>K!$H72</f>
        <v>0</v>
      </c>
      <c r="L125" s="34">
        <f>L!$H72</f>
        <v>0</v>
      </c>
      <c r="M125" s="34">
        <f>M!$H72</f>
        <v>0</v>
      </c>
      <c r="N125" s="34">
        <f>N!$H72</f>
        <v>0</v>
      </c>
      <c r="O125" s="34">
        <f>O!$H72</f>
        <v>0</v>
      </c>
      <c r="P125" s="34">
        <f>P!$H72</f>
        <v>0</v>
      </c>
      <c r="Q125" s="34">
        <f>Q!$H72</f>
        <v>0</v>
      </c>
      <c r="R125" s="34">
        <f>'R'!$H72</f>
        <v>0</v>
      </c>
      <c r="S125" s="34">
        <f>S!$H72</f>
        <v>0</v>
      </c>
      <c r="T125" s="34">
        <f>T!$H72</f>
        <v>0</v>
      </c>
      <c r="U125" s="34">
        <f>U!$H72</f>
        <v>0</v>
      </c>
      <c r="V125" s="34">
        <f>V!$H72</f>
        <v>0</v>
      </c>
      <c r="W125" s="34">
        <f>W!$H72</f>
        <v>0</v>
      </c>
      <c r="X125" s="34">
        <f>X!$H72</f>
        <v>0</v>
      </c>
      <c r="Y125" s="181">
        <f>SUM(B125:X125)</f>
        <v>0</v>
      </c>
      <c r="Z125" s="181">
        <f>IF(B!E243="",0,B!$C$11+B!$C$8*B!F245)</f>
        <v>0</v>
      </c>
      <c r="AA125" s="181">
        <f>Y125-Z125</f>
        <v>0</v>
      </c>
    </row>
    <row r="126" spans="1:27" ht="15.75">
      <c r="A126" s="193">
        <f>'C'!F73</f>
        <v>0</v>
      </c>
      <c r="B126" s="34">
        <f>IF(B!F248=TRUE,14,0)</f>
        <v>0</v>
      </c>
      <c r="C126" s="34">
        <f>'C'!$H73</f>
        <v>0</v>
      </c>
      <c r="D126" s="34">
        <f>D!$H73</f>
        <v>0</v>
      </c>
      <c r="E126" s="34">
        <f>E!$H73</f>
        <v>0</v>
      </c>
      <c r="F126" s="34">
        <f>F!$H73</f>
        <v>0</v>
      </c>
      <c r="G126" s="34">
        <f>G!$H73</f>
        <v>0</v>
      </c>
      <c r="H126" s="34">
        <f>H!$H73</f>
        <v>0</v>
      </c>
      <c r="I126" s="34">
        <f>I!$H73</f>
        <v>0</v>
      </c>
      <c r="J126" s="34">
        <f>J!$H73</f>
        <v>0</v>
      </c>
      <c r="K126" s="34">
        <f>K!$H73</f>
        <v>0</v>
      </c>
      <c r="L126" s="34">
        <f>L!$H73</f>
        <v>0</v>
      </c>
      <c r="M126" s="34">
        <f>M!$H73</f>
        <v>0</v>
      </c>
      <c r="N126" s="34">
        <f>N!$H73</f>
        <v>0</v>
      </c>
      <c r="O126" s="34">
        <f>O!$H73</f>
        <v>0</v>
      </c>
      <c r="P126" s="34">
        <f>P!$H73</f>
        <v>0</v>
      </c>
      <c r="Q126" s="34">
        <f>Q!$H73</f>
        <v>0</v>
      </c>
      <c r="R126" s="34">
        <f>'R'!$H73</f>
        <v>0</v>
      </c>
      <c r="S126" s="34">
        <f>S!$H73</f>
        <v>0</v>
      </c>
      <c r="T126" s="34">
        <f>T!$H73</f>
        <v>0</v>
      </c>
      <c r="U126" s="34">
        <f>U!$H73</f>
        <v>0</v>
      </c>
      <c r="V126" s="34">
        <f>V!$H73</f>
        <v>0</v>
      </c>
      <c r="W126" s="34">
        <f>W!$H73</f>
        <v>0</v>
      </c>
      <c r="X126" s="34">
        <f>X!$H73</f>
        <v>0</v>
      </c>
      <c r="Y126" s="181">
        <f>SUM(B126:X126)</f>
        <v>0</v>
      </c>
      <c r="Z126" s="181">
        <f>IF(B!E248="",0,B!$C$11+B!$C$8*B!F250)</f>
        <v>0</v>
      </c>
      <c r="AA126" s="181">
        <f>Y126-Z126</f>
        <v>0</v>
      </c>
    </row>
    <row r="127" spans="1:27" ht="16.5" thickBot="1">
      <c r="A127" s="193">
        <f>'C'!F74</f>
        <v>0</v>
      </c>
      <c r="B127" s="34">
        <f>IF(B!F253=TRUE,14,0)</f>
        <v>0</v>
      </c>
      <c r="C127" s="34">
        <f>'C'!$H74</f>
        <v>0</v>
      </c>
      <c r="D127" s="34">
        <f>D!$H74</f>
        <v>0</v>
      </c>
      <c r="E127" s="34">
        <f>E!$H74</f>
        <v>0</v>
      </c>
      <c r="F127" s="34">
        <f>F!$H74</f>
        <v>0</v>
      </c>
      <c r="G127" s="34">
        <f>G!$H74</f>
        <v>0</v>
      </c>
      <c r="H127" s="34">
        <f>H!$H74</f>
        <v>0</v>
      </c>
      <c r="I127" s="34">
        <f>I!$H74</f>
        <v>0</v>
      </c>
      <c r="J127" s="34">
        <f>J!$H74</f>
        <v>0</v>
      </c>
      <c r="K127" s="34">
        <f>K!$H74</f>
        <v>0</v>
      </c>
      <c r="L127" s="34">
        <f>L!$H74</f>
        <v>0</v>
      </c>
      <c r="M127" s="34">
        <f>M!$H74</f>
        <v>0</v>
      </c>
      <c r="N127" s="34">
        <f>N!$H74</f>
        <v>0</v>
      </c>
      <c r="O127" s="34">
        <f>O!$H74</f>
        <v>0</v>
      </c>
      <c r="P127" s="34">
        <f>P!$H74</f>
        <v>0</v>
      </c>
      <c r="Q127" s="34">
        <f>Q!$H74</f>
        <v>0</v>
      </c>
      <c r="R127" s="34">
        <f>'R'!$H74</f>
        <v>0</v>
      </c>
      <c r="S127" s="34">
        <f>S!$H74</f>
        <v>0</v>
      </c>
      <c r="T127" s="34">
        <f>T!$H74</f>
        <v>0</v>
      </c>
      <c r="U127" s="34">
        <f>U!$H74</f>
        <v>0</v>
      </c>
      <c r="V127" s="34">
        <f>V!$H74</f>
        <v>0</v>
      </c>
      <c r="W127" s="34">
        <f>W!$H74</f>
        <v>0</v>
      </c>
      <c r="X127" s="34">
        <f>X!$H74</f>
        <v>0</v>
      </c>
      <c r="Y127" s="181">
        <f>SUM(B127:X127)</f>
        <v>0</v>
      </c>
      <c r="Z127" s="181">
        <f>IF(B!E253="",0,B!$C$11+B!$C$8*B!F255)</f>
        <v>0</v>
      </c>
      <c r="AA127" s="181">
        <f>Y127-Z127</f>
        <v>0</v>
      </c>
    </row>
    <row r="128" spans="1:27" ht="16.5" thickBot="1">
      <c r="A128" s="194" t="s">
        <v>200</v>
      </c>
      <c r="B128" s="36">
        <f t="shared" ref="B128:AA128" si="15">SUM(B123:B127)</f>
        <v>0</v>
      </c>
      <c r="C128" s="36">
        <f t="shared" si="15"/>
        <v>0</v>
      </c>
      <c r="D128" s="36">
        <f t="shared" si="15"/>
        <v>0</v>
      </c>
      <c r="E128" s="36">
        <f t="shared" si="15"/>
        <v>0</v>
      </c>
      <c r="F128" s="36">
        <f t="shared" si="15"/>
        <v>0</v>
      </c>
      <c r="G128" s="36">
        <f t="shared" si="15"/>
        <v>0</v>
      </c>
      <c r="H128" s="36">
        <f t="shared" si="15"/>
        <v>0</v>
      </c>
      <c r="I128" s="36">
        <f t="shared" si="15"/>
        <v>0</v>
      </c>
      <c r="J128" s="36">
        <f t="shared" si="15"/>
        <v>0</v>
      </c>
      <c r="K128" s="36">
        <f t="shared" si="15"/>
        <v>0</v>
      </c>
      <c r="L128" s="36">
        <f t="shared" si="15"/>
        <v>0</v>
      </c>
      <c r="M128" s="36">
        <f t="shared" si="15"/>
        <v>0</v>
      </c>
      <c r="N128" s="36">
        <f t="shared" si="15"/>
        <v>0</v>
      </c>
      <c r="O128" s="36">
        <f t="shared" si="15"/>
        <v>0</v>
      </c>
      <c r="P128" s="36">
        <f t="shared" si="15"/>
        <v>0</v>
      </c>
      <c r="Q128" s="36">
        <f t="shared" si="15"/>
        <v>0</v>
      </c>
      <c r="R128" s="36">
        <f t="shared" si="15"/>
        <v>0</v>
      </c>
      <c r="S128" s="36">
        <f t="shared" si="15"/>
        <v>0</v>
      </c>
      <c r="T128" s="36">
        <f t="shared" si="15"/>
        <v>0</v>
      </c>
      <c r="U128" s="36">
        <f t="shared" si="15"/>
        <v>0</v>
      </c>
      <c r="V128" s="36">
        <f t="shared" si="15"/>
        <v>0</v>
      </c>
      <c r="W128" s="36">
        <f t="shared" si="15"/>
        <v>0</v>
      </c>
      <c r="X128" s="37">
        <f t="shared" si="15"/>
        <v>0</v>
      </c>
      <c r="Y128" s="185">
        <f>SUM(Y123:Y127)</f>
        <v>0</v>
      </c>
      <c r="Z128" s="185">
        <f t="shared" si="15"/>
        <v>0</v>
      </c>
      <c r="AA128" s="185">
        <f t="shared" si="15"/>
        <v>0</v>
      </c>
    </row>
    <row r="129" spans="1:27" ht="18">
      <c r="A129" s="179"/>
      <c r="B129" s="179"/>
      <c r="Y129" s="182" t="s">
        <v>97</v>
      </c>
      <c r="Z129" s="182" t="s">
        <v>97</v>
      </c>
      <c r="AA129" s="182" t="s">
        <v>97</v>
      </c>
    </row>
    <row r="130" spans="1:27" ht="18.75" thickBot="1">
      <c r="A130" s="178">
        <f>'C'!F82</f>
        <v>0</v>
      </c>
      <c r="B130" s="178" t="s">
        <v>199</v>
      </c>
      <c r="C130" s="31" t="s">
        <v>75</v>
      </c>
      <c r="D130" s="31" t="s">
        <v>76</v>
      </c>
      <c r="E130" s="31" t="s">
        <v>77</v>
      </c>
      <c r="F130" s="31" t="s">
        <v>78</v>
      </c>
      <c r="G130" s="31" t="s">
        <v>79</v>
      </c>
      <c r="H130" s="31" t="s">
        <v>80</v>
      </c>
      <c r="I130" s="31" t="s">
        <v>81</v>
      </c>
      <c r="J130" s="31" t="s">
        <v>82</v>
      </c>
      <c r="K130" s="31" t="s">
        <v>83</v>
      </c>
      <c r="L130" s="31" t="s">
        <v>84</v>
      </c>
      <c r="M130" s="31" t="s">
        <v>85</v>
      </c>
      <c r="N130" s="31" t="s">
        <v>86</v>
      </c>
      <c r="O130" s="31" t="s">
        <v>87</v>
      </c>
      <c r="P130" s="31" t="s">
        <v>88</v>
      </c>
      <c r="Q130" s="31" t="s">
        <v>89</v>
      </c>
      <c r="R130" s="31" t="s">
        <v>90</v>
      </c>
      <c r="S130" s="31" t="s">
        <v>91</v>
      </c>
      <c r="T130" s="31" t="s">
        <v>92</v>
      </c>
      <c r="U130" s="31" t="s">
        <v>93</v>
      </c>
      <c r="V130" s="31" t="s">
        <v>94</v>
      </c>
      <c r="W130" s="31" t="s">
        <v>95</v>
      </c>
      <c r="X130" s="32" t="s">
        <v>96</v>
      </c>
      <c r="Y130" s="183" t="s">
        <v>139</v>
      </c>
      <c r="Z130" s="183" t="s">
        <v>201</v>
      </c>
      <c r="AA130" s="183" t="s">
        <v>202</v>
      </c>
    </row>
    <row r="131" spans="1:27" ht="15.75">
      <c r="A131" s="193">
        <f>'C'!F83</f>
        <v>0</v>
      </c>
      <c r="B131" s="34">
        <f>IF(B!F276=TRUE,14,0)</f>
        <v>0</v>
      </c>
      <c r="C131" s="34">
        <f>'C'!$H83</f>
        <v>0</v>
      </c>
      <c r="D131" s="34">
        <f>D!$H83</f>
        <v>0</v>
      </c>
      <c r="E131" s="34">
        <f>E!$H83</f>
        <v>0</v>
      </c>
      <c r="F131" s="34">
        <f>F!$H83</f>
        <v>0</v>
      </c>
      <c r="G131" s="34">
        <f>G!$H83</f>
        <v>0</v>
      </c>
      <c r="H131" s="34">
        <f>H!$H83</f>
        <v>0</v>
      </c>
      <c r="I131" s="34">
        <f>I!$H83</f>
        <v>0</v>
      </c>
      <c r="J131" s="34">
        <f>J!$H83</f>
        <v>0</v>
      </c>
      <c r="K131" s="34">
        <f>K!$H83</f>
        <v>0</v>
      </c>
      <c r="L131" s="34">
        <f>L!$H83</f>
        <v>0</v>
      </c>
      <c r="M131" s="34">
        <f>M!$H83</f>
        <v>0</v>
      </c>
      <c r="N131" s="34">
        <f>N!$H83</f>
        <v>0</v>
      </c>
      <c r="O131" s="34">
        <f>O!$H83</f>
        <v>0</v>
      </c>
      <c r="P131" s="34">
        <f>P!$H83</f>
        <v>0</v>
      </c>
      <c r="Q131" s="34">
        <f>Q!$H83</f>
        <v>0</v>
      </c>
      <c r="R131" s="34">
        <f>'R'!$H83</f>
        <v>0</v>
      </c>
      <c r="S131" s="34">
        <f>S!$H83</f>
        <v>0</v>
      </c>
      <c r="T131" s="34">
        <f>T!$H83</f>
        <v>0</v>
      </c>
      <c r="U131" s="34">
        <f>U!$H83</f>
        <v>0</v>
      </c>
      <c r="V131" s="34">
        <f>V!$H83</f>
        <v>0</v>
      </c>
      <c r="W131" s="34">
        <f>W!$H83</f>
        <v>0</v>
      </c>
      <c r="X131" s="34">
        <f>X!$H83</f>
        <v>0</v>
      </c>
      <c r="Y131" s="181">
        <f>SUM(B131:X131)</f>
        <v>0</v>
      </c>
      <c r="Z131" s="181">
        <f>IF(B!E276="",0,B!$C$11+B!$C$8*B!F278)</f>
        <v>0</v>
      </c>
      <c r="AA131" s="181">
        <f>Y131-Z131</f>
        <v>0</v>
      </c>
    </row>
    <row r="132" spans="1:27" ht="15.75">
      <c r="A132" s="193">
        <f>'C'!F84</f>
        <v>0</v>
      </c>
      <c r="B132" s="34">
        <f>IF(B!F281=TRUE,14,0)</f>
        <v>0</v>
      </c>
      <c r="C132" s="34">
        <f>'C'!$H84</f>
        <v>0</v>
      </c>
      <c r="D132" s="34">
        <f>D!$H84</f>
        <v>0</v>
      </c>
      <c r="E132" s="34">
        <f>E!$H84</f>
        <v>0</v>
      </c>
      <c r="F132" s="34">
        <f>F!$H84</f>
        <v>0</v>
      </c>
      <c r="G132" s="34">
        <f>G!$H84</f>
        <v>0</v>
      </c>
      <c r="H132" s="34">
        <f>H!$H84</f>
        <v>0</v>
      </c>
      <c r="I132" s="34">
        <f>I!$H84</f>
        <v>0</v>
      </c>
      <c r="J132" s="34">
        <f>J!$H84</f>
        <v>0</v>
      </c>
      <c r="K132" s="34">
        <f>K!$H84</f>
        <v>0</v>
      </c>
      <c r="L132" s="34">
        <f>L!$H84</f>
        <v>0</v>
      </c>
      <c r="M132" s="34">
        <f>M!$H84</f>
        <v>0</v>
      </c>
      <c r="N132" s="34">
        <f>N!$H84</f>
        <v>0</v>
      </c>
      <c r="O132" s="34">
        <f>O!$H84</f>
        <v>0</v>
      </c>
      <c r="P132" s="34">
        <f>P!$H84</f>
        <v>0</v>
      </c>
      <c r="Q132" s="34">
        <f>Q!$H84</f>
        <v>0</v>
      </c>
      <c r="R132" s="34">
        <f>'R'!$H84</f>
        <v>0</v>
      </c>
      <c r="S132" s="34">
        <f>S!$H84</f>
        <v>0</v>
      </c>
      <c r="T132" s="34">
        <f>T!$H84</f>
        <v>0</v>
      </c>
      <c r="U132" s="34">
        <f>U!$H84</f>
        <v>0</v>
      </c>
      <c r="V132" s="34">
        <f>V!$H84</f>
        <v>0</v>
      </c>
      <c r="W132" s="34">
        <f>W!$H84</f>
        <v>0</v>
      </c>
      <c r="X132" s="34">
        <f>X!$H84</f>
        <v>0</v>
      </c>
      <c r="Y132" s="181">
        <f>SUM(B132:X132)</f>
        <v>0</v>
      </c>
      <c r="Z132" s="181">
        <f>IF(B!E281="",0,B!$C$11+B!$C$8*B!F283)</f>
        <v>0</v>
      </c>
      <c r="AA132" s="181">
        <f>Y132-Z132</f>
        <v>0</v>
      </c>
    </row>
    <row r="133" spans="1:27" ht="15.75">
      <c r="A133" s="193">
        <f>'C'!F85</f>
        <v>0</v>
      </c>
      <c r="B133" s="34">
        <f>IF(B!F286=TRUE,14,0)</f>
        <v>0</v>
      </c>
      <c r="C133" s="34">
        <f>'C'!$H85</f>
        <v>0</v>
      </c>
      <c r="D133" s="34">
        <f>D!$H85</f>
        <v>0</v>
      </c>
      <c r="E133" s="34">
        <f>E!$H85</f>
        <v>0</v>
      </c>
      <c r="F133" s="34">
        <f>F!$H85</f>
        <v>0</v>
      </c>
      <c r="G133" s="34">
        <f>G!$H85</f>
        <v>0</v>
      </c>
      <c r="H133" s="34">
        <f>H!$H85</f>
        <v>0</v>
      </c>
      <c r="I133" s="34">
        <f>I!$H85</f>
        <v>0</v>
      </c>
      <c r="J133" s="34">
        <f>J!$H85</f>
        <v>0</v>
      </c>
      <c r="K133" s="34">
        <f>K!$H85</f>
        <v>0</v>
      </c>
      <c r="L133" s="34">
        <f>L!$H85</f>
        <v>0</v>
      </c>
      <c r="M133" s="34">
        <f>M!$H85</f>
        <v>0</v>
      </c>
      <c r="N133" s="34">
        <f>N!$H85</f>
        <v>0</v>
      </c>
      <c r="O133" s="34">
        <f>O!$H85</f>
        <v>0</v>
      </c>
      <c r="P133" s="34">
        <f>P!$H85</f>
        <v>0</v>
      </c>
      <c r="Q133" s="34">
        <f>Q!$H85</f>
        <v>0</v>
      </c>
      <c r="R133" s="34">
        <f>'R'!$H85</f>
        <v>0</v>
      </c>
      <c r="S133" s="34">
        <f>S!$H85</f>
        <v>0</v>
      </c>
      <c r="T133" s="34">
        <f>T!$H85</f>
        <v>0</v>
      </c>
      <c r="U133" s="34">
        <f>U!$H85</f>
        <v>0</v>
      </c>
      <c r="V133" s="34">
        <f>V!$H85</f>
        <v>0</v>
      </c>
      <c r="W133" s="34">
        <f>W!$H85</f>
        <v>0</v>
      </c>
      <c r="X133" s="34">
        <f>X!$H85</f>
        <v>0</v>
      </c>
      <c r="Y133" s="181">
        <f>SUM(B133:X133)</f>
        <v>0</v>
      </c>
      <c r="Z133" s="181">
        <f>IF(B!E286="",0,B!$C$11+B!$C$8*B!F288)</f>
        <v>0</v>
      </c>
      <c r="AA133" s="181">
        <f>Y133-Z133</f>
        <v>0</v>
      </c>
    </row>
    <row r="134" spans="1:27" ht="15.75">
      <c r="A134" s="193">
        <f>'C'!F86</f>
        <v>0</v>
      </c>
      <c r="B134" s="34">
        <f>IF(B!F291=TRUE,14,0)</f>
        <v>0</v>
      </c>
      <c r="C134" s="34">
        <f>'C'!$H86</f>
        <v>0</v>
      </c>
      <c r="D134" s="34">
        <f>D!$H86</f>
        <v>0</v>
      </c>
      <c r="E134" s="34">
        <f>E!$H86</f>
        <v>0</v>
      </c>
      <c r="F134" s="34">
        <f>F!$H86</f>
        <v>0</v>
      </c>
      <c r="G134" s="34">
        <f>G!$H86</f>
        <v>0</v>
      </c>
      <c r="H134" s="34">
        <f>H!$H86</f>
        <v>0</v>
      </c>
      <c r="I134" s="34">
        <f>I!$H86</f>
        <v>0</v>
      </c>
      <c r="J134" s="34">
        <f>J!$H86</f>
        <v>0</v>
      </c>
      <c r="K134" s="34">
        <f>K!$H86</f>
        <v>0</v>
      </c>
      <c r="L134" s="34">
        <f>L!$H86</f>
        <v>0</v>
      </c>
      <c r="M134" s="34">
        <f>M!$H86</f>
        <v>0</v>
      </c>
      <c r="N134" s="34">
        <f>N!$H86</f>
        <v>0</v>
      </c>
      <c r="O134" s="34">
        <f>O!$H86</f>
        <v>0</v>
      </c>
      <c r="P134" s="34">
        <f>P!$H86</f>
        <v>0</v>
      </c>
      <c r="Q134" s="34">
        <f>Q!$H86</f>
        <v>0</v>
      </c>
      <c r="R134" s="34">
        <f>'R'!$H86</f>
        <v>0</v>
      </c>
      <c r="S134" s="34">
        <f>S!$H86</f>
        <v>0</v>
      </c>
      <c r="T134" s="34">
        <f>T!$H86</f>
        <v>0</v>
      </c>
      <c r="U134" s="34">
        <f>U!$H86</f>
        <v>0</v>
      </c>
      <c r="V134" s="34">
        <f>V!$H86</f>
        <v>0</v>
      </c>
      <c r="W134" s="34">
        <f>W!$H86</f>
        <v>0</v>
      </c>
      <c r="X134" s="34">
        <f>X!$H86</f>
        <v>0</v>
      </c>
      <c r="Y134" s="181">
        <f>SUM(B134:X134)</f>
        <v>0</v>
      </c>
      <c r="Z134" s="181">
        <f>IF(B!E291="",0,B!$C$11+B!$C$8*B!F293)</f>
        <v>0</v>
      </c>
      <c r="AA134" s="181">
        <f>Y134-Z134</f>
        <v>0</v>
      </c>
    </row>
    <row r="135" spans="1:27" ht="16.5" thickBot="1">
      <c r="A135" s="193">
        <f>'C'!F87</f>
        <v>0</v>
      </c>
      <c r="B135" s="34">
        <f>IF(B!F296=TRUE,14,0)</f>
        <v>0</v>
      </c>
      <c r="C135" s="34">
        <f>'C'!$H87</f>
        <v>0</v>
      </c>
      <c r="D135" s="34">
        <f>D!$H87</f>
        <v>0</v>
      </c>
      <c r="E135" s="34">
        <f>E!$H87</f>
        <v>0</v>
      </c>
      <c r="F135" s="34">
        <f>F!$H87</f>
        <v>0</v>
      </c>
      <c r="G135" s="34">
        <f>G!$H87</f>
        <v>0</v>
      </c>
      <c r="H135" s="34">
        <f>H!$H87</f>
        <v>0</v>
      </c>
      <c r="I135" s="34">
        <f>I!$H87</f>
        <v>0</v>
      </c>
      <c r="J135" s="34">
        <f>J!$H87</f>
        <v>0</v>
      </c>
      <c r="K135" s="34">
        <f>K!$H87</f>
        <v>0</v>
      </c>
      <c r="L135" s="34">
        <f>L!$H87</f>
        <v>0</v>
      </c>
      <c r="M135" s="34">
        <f>M!$H87</f>
        <v>0</v>
      </c>
      <c r="N135" s="34">
        <f>N!$H87</f>
        <v>0</v>
      </c>
      <c r="O135" s="34">
        <f>O!$H87</f>
        <v>0</v>
      </c>
      <c r="P135" s="34">
        <f>P!$H87</f>
        <v>0</v>
      </c>
      <c r="Q135" s="34">
        <f>Q!$H87</f>
        <v>0</v>
      </c>
      <c r="R135" s="34">
        <f>'R'!$H87</f>
        <v>0</v>
      </c>
      <c r="S135" s="34">
        <f>S!$H87</f>
        <v>0</v>
      </c>
      <c r="T135" s="34">
        <f>T!$H87</f>
        <v>0</v>
      </c>
      <c r="U135" s="34">
        <f>U!$H87</f>
        <v>0</v>
      </c>
      <c r="V135" s="34">
        <f>V!$H87</f>
        <v>0</v>
      </c>
      <c r="W135" s="34">
        <f>W!$H87</f>
        <v>0</v>
      </c>
      <c r="X135" s="34">
        <f>X!$H87</f>
        <v>0</v>
      </c>
      <c r="Y135" s="181">
        <f>SUM(B135:X135)</f>
        <v>0</v>
      </c>
      <c r="Z135" s="181">
        <f>IF(B!E296="",0,B!$C$11+B!$C$8*B!F298)</f>
        <v>0</v>
      </c>
      <c r="AA135" s="181">
        <f>Y135-Z135</f>
        <v>0</v>
      </c>
    </row>
    <row r="136" spans="1:27" ht="16.5" thickBot="1">
      <c r="A136" s="194" t="s">
        <v>200</v>
      </c>
      <c r="B136" s="36">
        <f t="shared" ref="B136:AA136" si="16">SUM(B131:B135)</f>
        <v>0</v>
      </c>
      <c r="C136" s="36">
        <f t="shared" si="16"/>
        <v>0</v>
      </c>
      <c r="D136" s="36">
        <f t="shared" si="16"/>
        <v>0</v>
      </c>
      <c r="E136" s="36">
        <f t="shared" si="16"/>
        <v>0</v>
      </c>
      <c r="F136" s="36">
        <f t="shared" si="16"/>
        <v>0</v>
      </c>
      <c r="G136" s="36">
        <f t="shared" si="16"/>
        <v>0</v>
      </c>
      <c r="H136" s="36">
        <f t="shared" si="16"/>
        <v>0</v>
      </c>
      <c r="I136" s="36">
        <f t="shared" si="16"/>
        <v>0</v>
      </c>
      <c r="J136" s="36">
        <f t="shared" si="16"/>
        <v>0</v>
      </c>
      <c r="K136" s="36">
        <f t="shared" si="16"/>
        <v>0</v>
      </c>
      <c r="L136" s="36">
        <f t="shared" si="16"/>
        <v>0</v>
      </c>
      <c r="M136" s="36">
        <f t="shared" si="16"/>
        <v>0</v>
      </c>
      <c r="N136" s="36">
        <f t="shared" si="16"/>
        <v>0</v>
      </c>
      <c r="O136" s="36">
        <f t="shared" si="16"/>
        <v>0</v>
      </c>
      <c r="P136" s="36">
        <f t="shared" si="16"/>
        <v>0</v>
      </c>
      <c r="Q136" s="36">
        <f t="shared" si="16"/>
        <v>0</v>
      </c>
      <c r="R136" s="36">
        <f t="shared" si="16"/>
        <v>0</v>
      </c>
      <c r="S136" s="36">
        <f t="shared" si="16"/>
        <v>0</v>
      </c>
      <c r="T136" s="36">
        <f t="shared" si="16"/>
        <v>0</v>
      </c>
      <c r="U136" s="36">
        <f t="shared" si="16"/>
        <v>0</v>
      </c>
      <c r="V136" s="36">
        <f t="shared" si="16"/>
        <v>0</v>
      </c>
      <c r="W136" s="36">
        <f t="shared" si="16"/>
        <v>0</v>
      </c>
      <c r="X136" s="37">
        <f t="shared" si="16"/>
        <v>0</v>
      </c>
      <c r="Y136" s="185">
        <f>SUM(Y131:Y135)</f>
        <v>0</v>
      </c>
      <c r="Z136" s="185">
        <f t="shared" si="16"/>
        <v>0</v>
      </c>
      <c r="AA136" s="185">
        <f t="shared" si="16"/>
        <v>0</v>
      </c>
    </row>
    <row r="137" spans="1:27" ht="18">
      <c r="A137" s="179"/>
      <c r="B137" s="179"/>
      <c r="Y137" s="182" t="s">
        <v>97</v>
      </c>
      <c r="Z137" s="182" t="s">
        <v>97</v>
      </c>
      <c r="AA137" s="182" t="s">
        <v>97</v>
      </c>
    </row>
    <row r="138" spans="1:27" ht="18.75" thickBot="1">
      <c r="A138" s="178">
        <f>'C'!F95</f>
        <v>0</v>
      </c>
      <c r="B138" s="178" t="s">
        <v>199</v>
      </c>
      <c r="C138" s="31" t="s">
        <v>75</v>
      </c>
      <c r="D138" s="31" t="s">
        <v>76</v>
      </c>
      <c r="E138" s="31" t="s">
        <v>77</v>
      </c>
      <c r="F138" s="31" t="s">
        <v>78</v>
      </c>
      <c r="G138" s="31" t="s">
        <v>79</v>
      </c>
      <c r="H138" s="31" t="s">
        <v>80</v>
      </c>
      <c r="I138" s="31" t="s">
        <v>81</v>
      </c>
      <c r="J138" s="31" t="s">
        <v>82</v>
      </c>
      <c r="K138" s="31" t="s">
        <v>83</v>
      </c>
      <c r="L138" s="31" t="s">
        <v>84</v>
      </c>
      <c r="M138" s="31" t="s">
        <v>85</v>
      </c>
      <c r="N138" s="31" t="s">
        <v>86</v>
      </c>
      <c r="O138" s="31" t="s">
        <v>87</v>
      </c>
      <c r="P138" s="31" t="s">
        <v>88</v>
      </c>
      <c r="Q138" s="31" t="s">
        <v>89</v>
      </c>
      <c r="R138" s="31" t="s">
        <v>90</v>
      </c>
      <c r="S138" s="31" t="s">
        <v>91</v>
      </c>
      <c r="T138" s="31" t="s">
        <v>92</v>
      </c>
      <c r="U138" s="31" t="s">
        <v>93</v>
      </c>
      <c r="V138" s="31" t="s">
        <v>94</v>
      </c>
      <c r="W138" s="31" t="s">
        <v>95</v>
      </c>
      <c r="X138" s="32" t="s">
        <v>96</v>
      </c>
      <c r="Y138" s="183" t="s">
        <v>139</v>
      </c>
      <c r="Z138" s="183" t="s">
        <v>201</v>
      </c>
      <c r="AA138" s="183" t="s">
        <v>202</v>
      </c>
    </row>
    <row r="139" spans="1:27" ht="15.75">
      <c r="A139" s="193">
        <f>'C'!F96</f>
        <v>0</v>
      </c>
      <c r="B139" s="34">
        <f>IF(B!F319=TRUE,14,0)</f>
        <v>0</v>
      </c>
      <c r="C139" s="34">
        <f>'C'!$H96</f>
        <v>0</v>
      </c>
      <c r="D139" s="34">
        <f>D!$H96</f>
        <v>0</v>
      </c>
      <c r="E139" s="34">
        <f>E!$H96</f>
        <v>0</v>
      </c>
      <c r="F139" s="34">
        <f>F!$H96</f>
        <v>0</v>
      </c>
      <c r="G139" s="34">
        <f>G!$H96</f>
        <v>0</v>
      </c>
      <c r="H139" s="34">
        <f>H!$H96</f>
        <v>0</v>
      </c>
      <c r="I139" s="34">
        <f>I!$H96</f>
        <v>0</v>
      </c>
      <c r="J139" s="34">
        <f>J!$H96</f>
        <v>0</v>
      </c>
      <c r="K139" s="34">
        <f>K!$H96</f>
        <v>0</v>
      </c>
      <c r="L139" s="34">
        <f>L!$H96</f>
        <v>0</v>
      </c>
      <c r="M139" s="34">
        <f>M!$H96</f>
        <v>0</v>
      </c>
      <c r="N139" s="34">
        <f>N!$H96</f>
        <v>0</v>
      </c>
      <c r="O139" s="34">
        <f>O!$H96</f>
        <v>0</v>
      </c>
      <c r="P139" s="34">
        <f>P!$H96</f>
        <v>0</v>
      </c>
      <c r="Q139" s="34">
        <f>Q!$H96</f>
        <v>0</v>
      </c>
      <c r="R139" s="34">
        <f>'R'!$H96</f>
        <v>0</v>
      </c>
      <c r="S139" s="34">
        <f>S!$H96</f>
        <v>0</v>
      </c>
      <c r="T139" s="34">
        <f>T!$H96</f>
        <v>0</v>
      </c>
      <c r="U139" s="34">
        <f>U!$H96</f>
        <v>0</v>
      </c>
      <c r="V139" s="34">
        <f>V!$H96</f>
        <v>0</v>
      </c>
      <c r="W139" s="34">
        <f>W!$H96</f>
        <v>0</v>
      </c>
      <c r="X139" s="34">
        <f>X!$H96</f>
        <v>0</v>
      </c>
      <c r="Y139" s="181">
        <f>SUM(B139:X139)</f>
        <v>0</v>
      </c>
      <c r="Z139" s="181">
        <f>IF(B!E319="",0,B!$C$11+B!$C$8*B!F321)</f>
        <v>0</v>
      </c>
      <c r="AA139" s="181">
        <f>Y139-Z139</f>
        <v>0</v>
      </c>
    </row>
    <row r="140" spans="1:27" ht="15.75">
      <c r="A140" s="193">
        <f>'C'!F97</f>
        <v>0</v>
      </c>
      <c r="B140" s="34">
        <f>IF(B!F324=TRUE,14,0)</f>
        <v>0</v>
      </c>
      <c r="C140" s="34">
        <f>'C'!$H97</f>
        <v>0</v>
      </c>
      <c r="D140" s="34">
        <f>D!$H97</f>
        <v>0</v>
      </c>
      <c r="E140" s="34">
        <f>E!$H97</f>
        <v>0</v>
      </c>
      <c r="F140" s="34">
        <f>F!$H97</f>
        <v>0</v>
      </c>
      <c r="G140" s="34">
        <f>G!$H97</f>
        <v>0</v>
      </c>
      <c r="H140" s="34">
        <f>H!$H97</f>
        <v>0</v>
      </c>
      <c r="I140" s="34">
        <f>I!$H97</f>
        <v>0</v>
      </c>
      <c r="J140" s="34">
        <f>J!$H97</f>
        <v>0</v>
      </c>
      <c r="K140" s="34">
        <f>K!$H97</f>
        <v>0</v>
      </c>
      <c r="L140" s="34">
        <f>L!$H97</f>
        <v>0</v>
      </c>
      <c r="M140" s="34">
        <f>M!$H97</f>
        <v>0</v>
      </c>
      <c r="N140" s="34">
        <f>N!$H97</f>
        <v>0</v>
      </c>
      <c r="O140" s="34">
        <f>O!$H97</f>
        <v>0</v>
      </c>
      <c r="P140" s="34">
        <f>P!$H97</f>
        <v>0</v>
      </c>
      <c r="Q140" s="34">
        <f>Q!$H97</f>
        <v>0</v>
      </c>
      <c r="R140" s="34">
        <f>'R'!$H97</f>
        <v>0</v>
      </c>
      <c r="S140" s="34">
        <f>S!$H97</f>
        <v>0</v>
      </c>
      <c r="T140" s="34">
        <f>T!$H97</f>
        <v>0</v>
      </c>
      <c r="U140" s="34">
        <f>U!$H97</f>
        <v>0</v>
      </c>
      <c r="V140" s="34">
        <f>V!$H97</f>
        <v>0</v>
      </c>
      <c r="W140" s="34">
        <f>W!$H97</f>
        <v>0</v>
      </c>
      <c r="X140" s="34">
        <f>X!$H97</f>
        <v>0</v>
      </c>
      <c r="Y140" s="181">
        <f>SUM(B140:X140)</f>
        <v>0</v>
      </c>
      <c r="Z140" s="181">
        <f>IF(B!E324="",0,B!$C$11+B!$C$8*B!F326)</f>
        <v>0</v>
      </c>
      <c r="AA140" s="181">
        <f>Y140-Z140</f>
        <v>0</v>
      </c>
    </row>
    <row r="141" spans="1:27" ht="15.75">
      <c r="A141" s="193">
        <f>'C'!F98</f>
        <v>0</v>
      </c>
      <c r="B141" s="34">
        <f>IF(B!F329=TRUE,14,0)</f>
        <v>0</v>
      </c>
      <c r="C141" s="34">
        <f>'C'!$H98</f>
        <v>0</v>
      </c>
      <c r="D141" s="34">
        <f>D!$H98</f>
        <v>0</v>
      </c>
      <c r="E141" s="34">
        <f>E!$H98</f>
        <v>0</v>
      </c>
      <c r="F141" s="34">
        <f>F!$H98</f>
        <v>0</v>
      </c>
      <c r="G141" s="34">
        <f>G!$H98</f>
        <v>0</v>
      </c>
      <c r="H141" s="34">
        <f>H!$H98</f>
        <v>0</v>
      </c>
      <c r="I141" s="34">
        <f>I!$H98</f>
        <v>0</v>
      </c>
      <c r="J141" s="34">
        <f>J!$H98</f>
        <v>0</v>
      </c>
      <c r="K141" s="34">
        <f>K!$H98</f>
        <v>0</v>
      </c>
      <c r="L141" s="34">
        <f>L!$H98</f>
        <v>0</v>
      </c>
      <c r="M141" s="34">
        <f>M!$H98</f>
        <v>0</v>
      </c>
      <c r="N141" s="34">
        <f>N!$H98</f>
        <v>0</v>
      </c>
      <c r="O141" s="34">
        <f>O!$H98</f>
        <v>0</v>
      </c>
      <c r="P141" s="34">
        <f>P!$H98</f>
        <v>0</v>
      </c>
      <c r="Q141" s="34">
        <f>Q!$H98</f>
        <v>0</v>
      </c>
      <c r="R141" s="34">
        <f>'R'!$H98</f>
        <v>0</v>
      </c>
      <c r="S141" s="34">
        <f>S!$H98</f>
        <v>0</v>
      </c>
      <c r="T141" s="34">
        <f>T!$H98</f>
        <v>0</v>
      </c>
      <c r="U141" s="34">
        <f>U!$H98</f>
        <v>0</v>
      </c>
      <c r="V141" s="34">
        <f>V!$H98</f>
        <v>0</v>
      </c>
      <c r="W141" s="34">
        <f>W!$H98</f>
        <v>0</v>
      </c>
      <c r="X141" s="34">
        <f>X!$H98</f>
        <v>0</v>
      </c>
      <c r="Y141" s="181">
        <f>SUM(B141:X141)</f>
        <v>0</v>
      </c>
      <c r="Z141" s="181">
        <f>IF(B!E329="",0,B!$C$11+B!$C$8*B!F331)</f>
        <v>0</v>
      </c>
      <c r="AA141" s="181">
        <f>Y141-Z141</f>
        <v>0</v>
      </c>
    </row>
    <row r="142" spans="1:27" ht="15.75">
      <c r="A142" s="193">
        <f>'C'!F99</f>
        <v>0</v>
      </c>
      <c r="B142" s="34">
        <f>IF(B!F334=TRUE,14,0)</f>
        <v>0</v>
      </c>
      <c r="C142" s="34">
        <f>'C'!$H99</f>
        <v>0</v>
      </c>
      <c r="D142" s="34">
        <f>D!$H99</f>
        <v>0</v>
      </c>
      <c r="E142" s="34">
        <f>E!$H99</f>
        <v>0</v>
      </c>
      <c r="F142" s="34">
        <f>F!$H99</f>
        <v>0</v>
      </c>
      <c r="G142" s="34">
        <f>G!$H99</f>
        <v>0</v>
      </c>
      <c r="H142" s="34">
        <f>H!$H99</f>
        <v>0</v>
      </c>
      <c r="I142" s="34">
        <f>I!$H99</f>
        <v>0</v>
      </c>
      <c r="J142" s="34">
        <f>J!$H99</f>
        <v>0</v>
      </c>
      <c r="K142" s="34">
        <f>K!$H99</f>
        <v>0</v>
      </c>
      <c r="L142" s="34">
        <f>L!$H99</f>
        <v>0</v>
      </c>
      <c r="M142" s="34">
        <f>M!$H99</f>
        <v>0</v>
      </c>
      <c r="N142" s="34">
        <f>N!$H99</f>
        <v>0</v>
      </c>
      <c r="O142" s="34">
        <f>O!$H99</f>
        <v>0</v>
      </c>
      <c r="P142" s="34">
        <f>P!$H99</f>
        <v>0</v>
      </c>
      <c r="Q142" s="34">
        <f>Q!$H99</f>
        <v>0</v>
      </c>
      <c r="R142" s="34">
        <f>'R'!$H99</f>
        <v>0</v>
      </c>
      <c r="S142" s="34">
        <f>S!$H99</f>
        <v>0</v>
      </c>
      <c r="T142" s="34">
        <f>T!$H99</f>
        <v>0</v>
      </c>
      <c r="U142" s="34">
        <f>U!$H99</f>
        <v>0</v>
      </c>
      <c r="V142" s="34">
        <f>V!$H99</f>
        <v>0</v>
      </c>
      <c r="W142" s="34">
        <f>W!$H99</f>
        <v>0</v>
      </c>
      <c r="X142" s="34">
        <f>X!$H99</f>
        <v>0</v>
      </c>
      <c r="Y142" s="181">
        <f>SUM(B142:X142)</f>
        <v>0</v>
      </c>
      <c r="Z142" s="181">
        <f>IF(B!E334="",0,B!$C$11+B!$C$8*B!F336)</f>
        <v>0</v>
      </c>
      <c r="AA142" s="181">
        <f>Y142-Z142</f>
        <v>0</v>
      </c>
    </row>
    <row r="143" spans="1:27" ht="16.5" thickBot="1">
      <c r="A143" s="193">
        <f>'C'!F100</f>
        <v>0</v>
      </c>
      <c r="B143" s="34">
        <f>IF(B!F339=TRUE,14,0)</f>
        <v>0</v>
      </c>
      <c r="C143" s="34">
        <f>'C'!$H100</f>
        <v>0</v>
      </c>
      <c r="D143" s="34">
        <f>D!$H100</f>
        <v>0</v>
      </c>
      <c r="E143" s="34">
        <f>E!$H100</f>
        <v>0</v>
      </c>
      <c r="F143" s="34">
        <f>F!$H100</f>
        <v>0</v>
      </c>
      <c r="G143" s="34">
        <f>G!$H100</f>
        <v>0</v>
      </c>
      <c r="H143" s="34">
        <f>H!$H100</f>
        <v>0</v>
      </c>
      <c r="I143" s="34">
        <f>I!$H100</f>
        <v>0</v>
      </c>
      <c r="J143" s="34">
        <f>J!$H100</f>
        <v>0</v>
      </c>
      <c r="K143" s="34">
        <f>K!$H100</f>
        <v>0</v>
      </c>
      <c r="L143" s="34">
        <f>L!$H100</f>
        <v>0</v>
      </c>
      <c r="M143" s="34">
        <f>M!$H100</f>
        <v>0</v>
      </c>
      <c r="N143" s="34">
        <f>N!$H100</f>
        <v>0</v>
      </c>
      <c r="O143" s="34">
        <f>O!$H100</f>
        <v>0</v>
      </c>
      <c r="P143" s="34">
        <f>P!$H100</f>
        <v>0</v>
      </c>
      <c r="Q143" s="34">
        <f>Q!$H100</f>
        <v>0</v>
      </c>
      <c r="R143" s="34">
        <f>'R'!$H100</f>
        <v>0</v>
      </c>
      <c r="S143" s="34">
        <f>S!$H100</f>
        <v>0</v>
      </c>
      <c r="T143" s="34">
        <f>T!$H100</f>
        <v>0</v>
      </c>
      <c r="U143" s="34">
        <f>U!$H100</f>
        <v>0</v>
      </c>
      <c r="V143" s="34">
        <f>V!$H100</f>
        <v>0</v>
      </c>
      <c r="W143" s="34">
        <f>W!$H100</f>
        <v>0</v>
      </c>
      <c r="X143" s="34">
        <f>X!$H100</f>
        <v>0</v>
      </c>
      <c r="Y143" s="181">
        <f>SUM(B143:X143)</f>
        <v>0</v>
      </c>
      <c r="Z143" s="181">
        <f>IF(B!E339="",0,B!$C$11+B!$C$8*B!F341)</f>
        <v>0</v>
      </c>
      <c r="AA143" s="181">
        <f>Y143-Z143</f>
        <v>0</v>
      </c>
    </row>
    <row r="144" spans="1:27" ht="16.5" thickBot="1">
      <c r="A144" s="194" t="s">
        <v>200</v>
      </c>
      <c r="B144" s="36">
        <f t="shared" ref="B144:AA144" si="17">SUM(B139:B143)</f>
        <v>0</v>
      </c>
      <c r="C144" s="36">
        <f t="shared" si="17"/>
        <v>0</v>
      </c>
      <c r="D144" s="36">
        <f t="shared" si="17"/>
        <v>0</v>
      </c>
      <c r="E144" s="36">
        <f t="shared" si="17"/>
        <v>0</v>
      </c>
      <c r="F144" s="36">
        <f t="shared" si="17"/>
        <v>0</v>
      </c>
      <c r="G144" s="36">
        <f t="shared" si="17"/>
        <v>0</v>
      </c>
      <c r="H144" s="36">
        <f t="shared" si="17"/>
        <v>0</v>
      </c>
      <c r="I144" s="36">
        <f t="shared" si="17"/>
        <v>0</v>
      </c>
      <c r="J144" s="36">
        <f t="shared" si="17"/>
        <v>0</v>
      </c>
      <c r="K144" s="36">
        <f t="shared" si="17"/>
        <v>0</v>
      </c>
      <c r="L144" s="36">
        <f t="shared" si="17"/>
        <v>0</v>
      </c>
      <c r="M144" s="36">
        <f t="shared" si="17"/>
        <v>0</v>
      </c>
      <c r="N144" s="36">
        <f t="shared" si="17"/>
        <v>0</v>
      </c>
      <c r="O144" s="36">
        <f t="shared" si="17"/>
        <v>0</v>
      </c>
      <c r="P144" s="36">
        <f t="shared" si="17"/>
        <v>0</v>
      </c>
      <c r="Q144" s="36">
        <f t="shared" si="17"/>
        <v>0</v>
      </c>
      <c r="R144" s="36">
        <f t="shared" si="17"/>
        <v>0</v>
      </c>
      <c r="S144" s="36">
        <f t="shared" si="17"/>
        <v>0</v>
      </c>
      <c r="T144" s="36">
        <f t="shared" si="17"/>
        <v>0</v>
      </c>
      <c r="U144" s="36">
        <f t="shared" si="17"/>
        <v>0</v>
      </c>
      <c r="V144" s="36">
        <f t="shared" si="17"/>
        <v>0</v>
      </c>
      <c r="W144" s="36">
        <f t="shared" si="17"/>
        <v>0</v>
      </c>
      <c r="X144" s="37">
        <f t="shared" si="17"/>
        <v>0</v>
      </c>
      <c r="Y144" s="185">
        <f>SUM(Y139:Y143)</f>
        <v>0</v>
      </c>
      <c r="Z144" s="185">
        <f t="shared" si="17"/>
        <v>0</v>
      </c>
      <c r="AA144" s="185">
        <f t="shared" si="17"/>
        <v>0</v>
      </c>
    </row>
    <row r="145" spans="1:27" ht="18">
      <c r="A145" s="179"/>
      <c r="B145" s="179"/>
      <c r="Y145" s="182" t="s">
        <v>97</v>
      </c>
      <c r="Z145" s="182" t="s">
        <v>97</v>
      </c>
      <c r="AA145" s="182" t="s">
        <v>97</v>
      </c>
    </row>
    <row r="146" spans="1:27" ht="18.75" thickBot="1">
      <c r="A146" s="178">
        <f>'C'!F108</f>
        <v>0</v>
      </c>
      <c r="B146" s="178" t="s">
        <v>199</v>
      </c>
      <c r="C146" s="31" t="s">
        <v>75</v>
      </c>
      <c r="D146" s="31" t="s">
        <v>76</v>
      </c>
      <c r="E146" s="31" t="s">
        <v>77</v>
      </c>
      <c r="F146" s="31" t="s">
        <v>78</v>
      </c>
      <c r="G146" s="31" t="s">
        <v>79</v>
      </c>
      <c r="H146" s="31" t="s">
        <v>80</v>
      </c>
      <c r="I146" s="31" t="s">
        <v>81</v>
      </c>
      <c r="J146" s="31" t="s">
        <v>82</v>
      </c>
      <c r="K146" s="31" t="s">
        <v>83</v>
      </c>
      <c r="L146" s="31" t="s">
        <v>84</v>
      </c>
      <c r="M146" s="31" t="s">
        <v>85</v>
      </c>
      <c r="N146" s="31" t="s">
        <v>86</v>
      </c>
      <c r="O146" s="31" t="s">
        <v>87</v>
      </c>
      <c r="P146" s="31" t="s">
        <v>88</v>
      </c>
      <c r="Q146" s="31" t="s">
        <v>89</v>
      </c>
      <c r="R146" s="31" t="s">
        <v>90</v>
      </c>
      <c r="S146" s="31" t="s">
        <v>91</v>
      </c>
      <c r="T146" s="31" t="s">
        <v>92</v>
      </c>
      <c r="U146" s="31" t="s">
        <v>93</v>
      </c>
      <c r="V146" s="31" t="s">
        <v>94</v>
      </c>
      <c r="W146" s="31" t="s">
        <v>95</v>
      </c>
      <c r="X146" s="32" t="s">
        <v>96</v>
      </c>
      <c r="Y146" s="183" t="s">
        <v>139</v>
      </c>
      <c r="Z146" s="183" t="s">
        <v>201</v>
      </c>
      <c r="AA146" s="183" t="s">
        <v>202</v>
      </c>
    </row>
    <row r="147" spans="1:27" ht="15.75">
      <c r="A147" s="193">
        <f>'C'!F109</f>
        <v>0</v>
      </c>
      <c r="B147" s="34">
        <f>IF(B!F362=TRUE,14,0)</f>
        <v>0</v>
      </c>
      <c r="C147" s="34">
        <f>'C'!$H109</f>
        <v>0</v>
      </c>
      <c r="D147" s="34">
        <f>D!$H109</f>
        <v>0</v>
      </c>
      <c r="E147" s="34">
        <f>E!$H109</f>
        <v>0</v>
      </c>
      <c r="F147" s="34">
        <f>F!$H109</f>
        <v>0</v>
      </c>
      <c r="G147" s="34">
        <f>G!$H109</f>
        <v>0</v>
      </c>
      <c r="H147" s="34">
        <f>H!$H109</f>
        <v>0</v>
      </c>
      <c r="I147" s="34">
        <f>I!$H109</f>
        <v>0</v>
      </c>
      <c r="J147" s="34">
        <f>J!$H109</f>
        <v>0</v>
      </c>
      <c r="K147" s="34">
        <f>K!$H109</f>
        <v>0</v>
      </c>
      <c r="L147" s="34">
        <f>L!$H109</f>
        <v>0</v>
      </c>
      <c r="M147" s="34">
        <f>M!$H109</f>
        <v>0</v>
      </c>
      <c r="N147" s="34">
        <f>N!$H109</f>
        <v>0</v>
      </c>
      <c r="O147" s="34">
        <f>O!$H109</f>
        <v>0</v>
      </c>
      <c r="P147" s="34">
        <f>P!$H109</f>
        <v>0</v>
      </c>
      <c r="Q147" s="34">
        <f>Q!$H109</f>
        <v>0</v>
      </c>
      <c r="R147" s="34">
        <f>'R'!$H109</f>
        <v>0</v>
      </c>
      <c r="S147" s="34">
        <f>S!$H109</f>
        <v>0</v>
      </c>
      <c r="T147" s="34">
        <f>T!$H109</f>
        <v>0</v>
      </c>
      <c r="U147" s="34">
        <f>U!$H109</f>
        <v>0</v>
      </c>
      <c r="V147" s="34">
        <f>V!$H109</f>
        <v>0</v>
      </c>
      <c r="W147" s="34">
        <f>W!$H109</f>
        <v>0</v>
      </c>
      <c r="X147" s="34">
        <f>X!$H109</f>
        <v>0</v>
      </c>
      <c r="Y147" s="181">
        <f>SUM(B147:X147)</f>
        <v>0</v>
      </c>
      <c r="Z147" s="181">
        <f>IF(B!E362="",0,B!$C$11+B!$C$8*B!F364)</f>
        <v>0</v>
      </c>
      <c r="AA147" s="181">
        <f>Y147-Z147</f>
        <v>0</v>
      </c>
    </row>
    <row r="148" spans="1:27" ht="15.75">
      <c r="A148" s="193">
        <f>'C'!F110</f>
        <v>0</v>
      </c>
      <c r="B148" s="34">
        <f>IF(B!F367=TRUE,14,0)</f>
        <v>0</v>
      </c>
      <c r="C148" s="34">
        <f>'C'!$H110</f>
        <v>0</v>
      </c>
      <c r="D148" s="34">
        <f>D!$H110</f>
        <v>0</v>
      </c>
      <c r="E148" s="34">
        <f>E!$H110</f>
        <v>0</v>
      </c>
      <c r="F148" s="34">
        <f>F!$H110</f>
        <v>0</v>
      </c>
      <c r="G148" s="34">
        <f>G!$H110</f>
        <v>0</v>
      </c>
      <c r="H148" s="34">
        <f>H!$H110</f>
        <v>0</v>
      </c>
      <c r="I148" s="34">
        <f>I!$H110</f>
        <v>0</v>
      </c>
      <c r="J148" s="34">
        <f>J!$H110</f>
        <v>0</v>
      </c>
      <c r="K148" s="34">
        <f>K!$H110</f>
        <v>0</v>
      </c>
      <c r="L148" s="34">
        <f>L!$H110</f>
        <v>0</v>
      </c>
      <c r="M148" s="34">
        <f>M!$H110</f>
        <v>0</v>
      </c>
      <c r="N148" s="34">
        <f>N!$H110</f>
        <v>0</v>
      </c>
      <c r="O148" s="34">
        <f>O!$H110</f>
        <v>0</v>
      </c>
      <c r="P148" s="34">
        <f>P!$H110</f>
        <v>0</v>
      </c>
      <c r="Q148" s="34">
        <f>Q!$H110</f>
        <v>0</v>
      </c>
      <c r="R148" s="34">
        <f>'R'!$H110</f>
        <v>0</v>
      </c>
      <c r="S148" s="34">
        <f>S!$H110</f>
        <v>0</v>
      </c>
      <c r="T148" s="34">
        <f>T!$H110</f>
        <v>0</v>
      </c>
      <c r="U148" s="34">
        <f>U!$H110</f>
        <v>0</v>
      </c>
      <c r="V148" s="34">
        <f>V!$H110</f>
        <v>0</v>
      </c>
      <c r="W148" s="34">
        <f>W!$H110</f>
        <v>0</v>
      </c>
      <c r="X148" s="34">
        <f>X!$H110</f>
        <v>0</v>
      </c>
      <c r="Y148" s="181">
        <f>SUM(B148:X148)</f>
        <v>0</v>
      </c>
      <c r="Z148" s="181">
        <f>IF(B!E367="",0,B!$C$11+B!$C$8*B!F369)</f>
        <v>0</v>
      </c>
      <c r="AA148" s="181">
        <f>Y148-Z148</f>
        <v>0</v>
      </c>
    </row>
    <row r="149" spans="1:27" ht="15.75">
      <c r="A149" s="193">
        <f>'C'!F111</f>
        <v>0</v>
      </c>
      <c r="B149" s="34">
        <f>IF(B!F372=TRUE,14,0)</f>
        <v>0</v>
      </c>
      <c r="C149" s="34">
        <f>'C'!$H111</f>
        <v>0</v>
      </c>
      <c r="D149" s="34">
        <f>D!$H111</f>
        <v>0</v>
      </c>
      <c r="E149" s="34">
        <f>E!$H111</f>
        <v>0</v>
      </c>
      <c r="F149" s="34">
        <f>F!$H111</f>
        <v>0</v>
      </c>
      <c r="G149" s="34">
        <f>G!$H111</f>
        <v>0</v>
      </c>
      <c r="H149" s="34">
        <f>H!$H111</f>
        <v>0</v>
      </c>
      <c r="I149" s="34">
        <f>I!$H111</f>
        <v>0</v>
      </c>
      <c r="J149" s="34">
        <f>J!$H111</f>
        <v>0</v>
      </c>
      <c r="K149" s="34">
        <f>K!$H111</f>
        <v>0</v>
      </c>
      <c r="L149" s="34">
        <f>L!$H111</f>
        <v>0</v>
      </c>
      <c r="M149" s="34">
        <f>M!$H111</f>
        <v>0</v>
      </c>
      <c r="N149" s="34">
        <f>N!$H111</f>
        <v>0</v>
      </c>
      <c r="O149" s="34">
        <f>O!$H111</f>
        <v>0</v>
      </c>
      <c r="P149" s="34">
        <f>P!$H111</f>
        <v>0</v>
      </c>
      <c r="Q149" s="34">
        <f>Q!$H111</f>
        <v>0</v>
      </c>
      <c r="R149" s="34">
        <f>'R'!$H111</f>
        <v>0</v>
      </c>
      <c r="S149" s="34">
        <f>S!$H111</f>
        <v>0</v>
      </c>
      <c r="T149" s="34">
        <f>T!$H111</f>
        <v>0</v>
      </c>
      <c r="U149" s="34">
        <f>U!$H111</f>
        <v>0</v>
      </c>
      <c r="V149" s="34">
        <f>V!$H111</f>
        <v>0</v>
      </c>
      <c r="W149" s="34">
        <f>W!$H111</f>
        <v>0</v>
      </c>
      <c r="X149" s="34">
        <f>X!$H111</f>
        <v>0</v>
      </c>
      <c r="Y149" s="181">
        <f>SUM(B149:X149)</f>
        <v>0</v>
      </c>
      <c r="Z149" s="181">
        <f>IF(B!E372="",0,B!$C$11+B!$C$8*B!F374)</f>
        <v>0</v>
      </c>
      <c r="AA149" s="181">
        <f>Y149-Z149</f>
        <v>0</v>
      </c>
    </row>
    <row r="150" spans="1:27" ht="15.75">
      <c r="A150" s="193">
        <f>'C'!F112</f>
        <v>0</v>
      </c>
      <c r="B150" s="34">
        <f>IF(B!F377=TRUE,14,0)</f>
        <v>0</v>
      </c>
      <c r="C150" s="34">
        <f>'C'!$H112</f>
        <v>0</v>
      </c>
      <c r="D150" s="34">
        <f>D!$H112</f>
        <v>0</v>
      </c>
      <c r="E150" s="34">
        <f>E!$H112</f>
        <v>0</v>
      </c>
      <c r="F150" s="34">
        <f>F!$H112</f>
        <v>0</v>
      </c>
      <c r="G150" s="34">
        <f>G!$H112</f>
        <v>0</v>
      </c>
      <c r="H150" s="34">
        <f>H!$H112</f>
        <v>0</v>
      </c>
      <c r="I150" s="34">
        <f>I!$H112</f>
        <v>0</v>
      </c>
      <c r="J150" s="34">
        <f>J!$H112</f>
        <v>0</v>
      </c>
      <c r="K150" s="34">
        <f>K!$H112</f>
        <v>0</v>
      </c>
      <c r="L150" s="34">
        <f>L!$H112</f>
        <v>0</v>
      </c>
      <c r="M150" s="34">
        <f>M!$H112</f>
        <v>0</v>
      </c>
      <c r="N150" s="34">
        <f>N!$H112</f>
        <v>0</v>
      </c>
      <c r="O150" s="34">
        <f>O!$H112</f>
        <v>0</v>
      </c>
      <c r="P150" s="34">
        <f>P!$H112</f>
        <v>0</v>
      </c>
      <c r="Q150" s="34">
        <f>Q!$H112</f>
        <v>0</v>
      </c>
      <c r="R150" s="34">
        <f>'R'!$H112</f>
        <v>0</v>
      </c>
      <c r="S150" s="34">
        <f>S!$H112</f>
        <v>0</v>
      </c>
      <c r="T150" s="34">
        <f>T!$H112</f>
        <v>0</v>
      </c>
      <c r="U150" s="34">
        <f>U!$H112</f>
        <v>0</v>
      </c>
      <c r="V150" s="34">
        <f>V!$H112</f>
        <v>0</v>
      </c>
      <c r="W150" s="34">
        <f>W!$H112</f>
        <v>0</v>
      </c>
      <c r="X150" s="34">
        <f>X!$H112</f>
        <v>0</v>
      </c>
      <c r="Y150" s="181">
        <f>SUM(B150:X150)</f>
        <v>0</v>
      </c>
      <c r="Z150" s="181">
        <f>IF(B!E377="",0,B!$C$11+B!$C$8*B!F379)</f>
        <v>0</v>
      </c>
      <c r="AA150" s="181">
        <f>Y150-Z150</f>
        <v>0</v>
      </c>
    </row>
    <row r="151" spans="1:27" ht="16.5" thickBot="1">
      <c r="A151" s="193">
        <f>'C'!F113</f>
        <v>0</v>
      </c>
      <c r="B151" s="34">
        <f>IF(B!F382=TRUE,14,0)</f>
        <v>0</v>
      </c>
      <c r="C151" s="34">
        <f>'C'!$H113</f>
        <v>0</v>
      </c>
      <c r="D151" s="34">
        <f>D!$H113</f>
        <v>0</v>
      </c>
      <c r="E151" s="34">
        <f>E!$H113</f>
        <v>0</v>
      </c>
      <c r="F151" s="34">
        <f>F!$H113</f>
        <v>0</v>
      </c>
      <c r="G151" s="34">
        <f>G!$H113</f>
        <v>0</v>
      </c>
      <c r="H151" s="34">
        <f>H!$H113</f>
        <v>0</v>
      </c>
      <c r="I151" s="34">
        <f>I!$H113</f>
        <v>0</v>
      </c>
      <c r="J151" s="34">
        <f>J!$H113</f>
        <v>0</v>
      </c>
      <c r="K151" s="34">
        <f>K!$H113</f>
        <v>0</v>
      </c>
      <c r="L151" s="34">
        <f>L!$H113</f>
        <v>0</v>
      </c>
      <c r="M151" s="34">
        <f>M!$H113</f>
        <v>0</v>
      </c>
      <c r="N151" s="34">
        <f>N!$H113</f>
        <v>0</v>
      </c>
      <c r="O151" s="34">
        <f>O!$H113</f>
        <v>0</v>
      </c>
      <c r="P151" s="34">
        <f>P!$H113</f>
        <v>0</v>
      </c>
      <c r="Q151" s="34">
        <f>Q!$H113</f>
        <v>0</v>
      </c>
      <c r="R151" s="34">
        <f>'R'!$H113</f>
        <v>0</v>
      </c>
      <c r="S151" s="34">
        <f>S!$H113</f>
        <v>0</v>
      </c>
      <c r="T151" s="34">
        <f>T!$H113</f>
        <v>0</v>
      </c>
      <c r="U151" s="34">
        <f>U!$H113</f>
        <v>0</v>
      </c>
      <c r="V151" s="34">
        <f>V!$H113</f>
        <v>0</v>
      </c>
      <c r="W151" s="34">
        <f>W!$H113</f>
        <v>0</v>
      </c>
      <c r="X151" s="34">
        <f>X!$H113</f>
        <v>0</v>
      </c>
      <c r="Y151" s="181">
        <f>SUM(B151:X151)</f>
        <v>0</v>
      </c>
      <c r="Z151" s="181">
        <f>IF(B!E382="",0,B!$C$11+B!$C$8*B!F384)</f>
        <v>0</v>
      </c>
      <c r="AA151" s="181">
        <f>Y151-Z151</f>
        <v>0</v>
      </c>
    </row>
    <row r="152" spans="1:27" ht="16.5" thickBot="1">
      <c r="A152" s="194" t="s">
        <v>200</v>
      </c>
      <c r="B152" s="36">
        <f t="shared" ref="B152:AA152" si="18">SUM(B147:B151)</f>
        <v>0</v>
      </c>
      <c r="C152" s="36">
        <f t="shared" si="18"/>
        <v>0</v>
      </c>
      <c r="D152" s="36">
        <f t="shared" si="18"/>
        <v>0</v>
      </c>
      <c r="E152" s="36">
        <f t="shared" si="18"/>
        <v>0</v>
      </c>
      <c r="F152" s="36">
        <f t="shared" si="18"/>
        <v>0</v>
      </c>
      <c r="G152" s="36">
        <f t="shared" si="18"/>
        <v>0</v>
      </c>
      <c r="H152" s="36">
        <f t="shared" si="18"/>
        <v>0</v>
      </c>
      <c r="I152" s="36">
        <f t="shared" si="18"/>
        <v>0</v>
      </c>
      <c r="J152" s="36">
        <f t="shared" si="18"/>
        <v>0</v>
      </c>
      <c r="K152" s="36">
        <f t="shared" si="18"/>
        <v>0</v>
      </c>
      <c r="L152" s="36">
        <f t="shared" si="18"/>
        <v>0</v>
      </c>
      <c r="M152" s="36">
        <f t="shared" si="18"/>
        <v>0</v>
      </c>
      <c r="N152" s="36">
        <f t="shared" si="18"/>
        <v>0</v>
      </c>
      <c r="O152" s="36">
        <f t="shared" si="18"/>
        <v>0</v>
      </c>
      <c r="P152" s="36">
        <f t="shared" si="18"/>
        <v>0</v>
      </c>
      <c r="Q152" s="36">
        <f t="shared" si="18"/>
        <v>0</v>
      </c>
      <c r="R152" s="36">
        <f t="shared" si="18"/>
        <v>0</v>
      </c>
      <c r="S152" s="36">
        <f t="shared" si="18"/>
        <v>0</v>
      </c>
      <c r="T152" s="36">
        <f t="shared" si="18"/>
        <v>0</v>
      </c>
      <c r="U152" s="36">
        <f t="shared" si="18"/>
        <v>0</v>
      </c>
      <c r="V152" s="36">
        <f t="shared" si="18"/>
        <v>0</v>
      </c>
      <c r="W152" s="36">
        <f t="shared" si="18"/>
        <v>0</v>
      </c>
      <c r="X152" s="37">
        <f t="shared" si="18"/>
        <v>0</v>
      </c>
      <c r="Y152" s="185">
        <f>SUM(Y147:Y151)</f>
        <v>0</v>
      </c>
      <c r="Z152" s="185">
        <f t="shared" si="18"/>
        <v>0</v>
      </c>
      <c r="AA152" s="185">
        <f t="shared" si="18"/>
        <v>0</v>
      </c>
    </row>
    <row r="153" spans="1:27" ht="18">
      <c r="A153" s="179"/>
      <c r="B153" s="179"/>
      <c r="Y153" s="182" t="s">
        <v>97</v>
      </c>
      <c r="Z153" s="182" t="s">
        <v>97</v>
      </c>
      <c r="AA153" s="182" t="s">
        <v>97</v>
      </c>
    </row>
    <row r="154" spans="1:27" ht="18.75" thickBot="1">
      <c r="A154" s="178">
        <f>'C'!F121</f>
        <v>0</v>
      </c>
      <c r="B154" s="178" t="s">
        <v>199</v>
      </c>
      <c r="C154" s="31" t="s">
        <v>75</v>
      </c>
      <c r="D154" s="31" t="s">
        <v>76</v>
      </c>
      <c r="E154" s="31" t="s">
        <v>77</v>
      </c>
      <c r="F154" s="31" t="s">
        <v>78</v>
      </c>
      <c r="G154" s="31" t="s">
        <v>79</v>
      </c>
      <c r="H154" s="31" t="s">
        <v>80</v>
      </c>
      <c r="I154" s="31" t="s">
        <v>81</v>
      </c>
      <c r="J154" s="31" t="s">
        <v>82</v>
      </c>
      <c r="K154" s="31" t="s">
        <v>83</v>
      </c>
      <c r="L154" s="31" t="s">
        <v>84</v>
      </c>
      <c r="M154" s="31" t="s">
        <v>85</v>
      </c>
      <c r="N154" s="31" t="s">
        <v>86</v>
      </c>
      <c r="O154" s="31" t="s">
        <v>87</v>
      </c>
      <c r="P154" s="31" t="s">
        <v>88</v>
      </c>
      <c r="Q154" s="31" t="s">
        <v>89</v>
      </c>
      <c r="R154" s="31" t="s">
        <v>90</v>
      </c>
      <c r="S154" s="31" t="s">
        <v>91</v>
      </c>
      <c r="T154" s="31" t="s">
        <v>92</v>
      </c>
      <c r="U154" s="31" t="s">
        <v>93</v>
      </c>
      <c r="V154" s="31" t="s">
        <v>94</v>
      </c>
      <c r="W154" s="31" t="s">
        <v>95</v>
      </c>
      <c r="X154" s="32" t="s">
        <v>96</v>
      </c>
      <c r="Y154" s="183" t="s">
        <v>139</v>
      </c>
      <c r="Z154" s="183" t="s">
        <v>201</v>
      </c>
      <c r="AA154" s="183" t="s">
        <v>202</v>
      </c>
    </row>
    <row r="155" spans="1:27" ht="15.75">
      <c r="A155" s="193">
        <f>'C'!F122</f>
        <v>0</v>
      </c>
      <c r="B155" s="34">
        <f>IF(B!F405=TRUE,14,0)</f>
        <v>0</v>
      </c>
      <c r="C155" s="34">
        <f>'C'!$H122</f>
        <v>0</v>
      </c>
      <c r="D155" s="34">
        <f>D!$H122</f>
        <v>0</v>
      </c>
      <c r="E155" s="34">
        <f>E!$H122</f>
        <v>0</v>
      </c>
      <c r="F155" s="34">
        <f>F!$H122</f>
        <v>0</v>
      </c>
      <c r="G155" s="34">
        <f>G!$H122</f>
        <v>0</v>
      </c>
      <c r="H155" s="34">
        <f>H!$H122</f>
        <v>0</v>
      </c>
      <c r="I155" s="34">
        <f>I!$H122</f>
        <v>0</v>
      </c>
      <c r="J155" s="34">
        <f>J!$H122</f>
        <v>0</v>
      </c>
      <c r="K155" s="34">
        <f>K!$H122</f>
        <v>0</v>
      </c>
      <c r="L155" s="34">
        <f>L!$H122</f>
        <v>0</v>
      </c>
      <c r="M155" s="34">
        <f>M!$H122</f>
        <v>0</v>
      </c>
      <c r="N155" s="34">
        <f>N!$H122</f>
        <v>0</v>
      </c>
      <c r="O155" s="34">
        <f>O!$H122</f>
        <v>0</v>
      </c>
      <c r="P155" s="34">
        <f>P!$H122</f>
        <v>0</v>
      </c>
      <c r="Q155" s="34">
        <f>Q!$H122</f>
        <v>0</v>
      </c>
      <c r="R155" s="34">
        <f>'R'!$H122</f>
        <v>0</v>
      </c>
      <c r="S155" s="34">
        <f>S!$H122</f>
        <v>0</v>
      </c>
      <c r="T155" s="34">
        <f>T!$H122</f>
        <v>0</v>
      </c>
      <c r="U155" s="34">
        <f>U!$H122</f>
        <v>0</v>
      </c>
      <c r="V155" s="34">
        <f>V!$H122</f>
        <v>0</v>
      </c>
      <c r="W155" s="34">
        <f>W!$H122</f>
        <v>0</v>
      </c>
      <c r="X155" s="34">
        <f>X!$H122</f>
        <v>0</v>
      </c>
      <c r="Y155" s="181">
        <f>SUM(B155:X155)</f>
        <v>0</v>
      </c>
      <c r="Z155" s="181">
        <f>IF(B!E405="",0,B!$C$11+B!$C$8*B!F407)</f>
        <v>0</v>
      </c>
      <c r="AA155" s="181">
        <f>Y155-Z155</f>
        <v>0</v>
      </c>
    </row>
    <row r="156" spans="1:27" ht="15.75">
      <c r="A156" s="193">
        <f>'C'!F123</f>
        <v>0</v>
      </c>
      <c r="B156" s="34">
        <f>IF(B!F410=TRUE,14,0)</f>
        <v>0</v>
      </c>
      <c r="C156" s="34">
        <f>'C'!$H123</f>
        <v>0</v>
      </c>
      <c r="D156" s="34">
        <f>D!$H123</f>
        <v>0</v>
      </c>
      <c r="E156" s="34">
        <f>E!$H123</f>
        <v>0</v>
      </c>
      <c r="F156" s="34">
        <f>F!$H123</f>
        <v>0</v>
      </c>
      <c r="G156" s="34">
        <f>G!$H123</f>
        <v>0</v>
      </c>
      <c r="H156" s="34">
        <f>H!$H123</f>
        <v>0</v>
      </c>
      <c r="I156" s="34">
        <f>I!$H123</f>
        <v>0</v>
      </c>
      <c r="J156" s="34">
        <f>J!$H123</f>
        <v>0</v>
      </c>
      <c r="K156" s="34">
        <f>K!$H123</f>
        <v>0</v>
      </c>
      <c r="L156" s="34">
        <f>L!$H123</f>
        <v>0</v>
      </c>
      <c r="M156" s="34">
        <f>M!$H123</f>
        <v>0</v>
      </c>
      <c r="N156" s="34">
        <f>N!$H123</f>
        <v>0</v>
      </c>
      <c r="O156" s="34">
        <f>O!$H123</f>
        <v>0</v>
      </c>
      <c r="P156" s="34">
        <f>P!$H123</f>
        <v>0</v>
      </c>
      <c r="Q156" s="34">
        <f>Q!$H123</f>
        <v>0</v>
      </c>
      <c r="R156" s="34">
        <f>'R'!$H123</f>
        <v>0</v>
      </c>
      <c r="S156" s="34">
        <f>S!$H123</f>
        <v>0</v>
      </c>
      <c r="T156" s="34">
        <f>T!$H123</f>
        <v>0</v>
      </c>
      <c r="U156" s="34">
        <f>U!$H123</f>
        <v>0</v>
      </c>
      <c r="V156" s="34">
        <f>V!$H123</f>
        <v>0</v>
      </c>
      <c r="W156" s="34">
        <f>W!$H123</f>
        <v>0</v>
      </c>
      <c r="X156" s="34">
        <f>X!$H123</f>
        <v>0</v>
      </c>
      <c r="Y156" s="181">
        <f>SUM(B156:X156)</f>
        <v>0</v>
      </c>
      <c r="Z156" s="181">
        <f>IF(B!E410="",0,B!$C$11+B!$C$8*B!F412)</f>
        <v>0</v>
      </c>
      <c r="AA156" s="181">
        <f>Y156-Z156</f>
        <v>0</v>
      </c>
    </row>
    <row r="157" spans="1:27" ht="15.75">
      <c r="A157" s="193">
        <f>'C'!F124</f>
        <v>0</v>
      </c>
      <c r="B157" s="34">
        <f>IF(B!F415=TRUE,14,0)</f>
        <v>0</v>
      </c>
      <c r="C157" s="34">
        <f>'C'!$H124</f>
        <v>0</v>
      </c>
      <c r="D157" s="34">
        <f>D!$H124</f>
        <v>0</v>
      </c>
      <c r="E157" s="34">
        <f>E!$H124</f>
        <v>0</v>
      </c>
      <c r="F157" s="34">
        <f>F!$H124</f>
        <v>0</v>
      </c>
      <c r="G157" s="34">
        <f>G!$H124</f>
        <v>0</v>
      </c>
      <c r="H157" s="34">
        <f>H!$H124</f>
        <v>0</v>
      </c>
      <c r="I157" s="34">
        <f>I!$H124</f>
        <v>0</v>
      </c>
      <c r="J157" s="34">
        <f>J!$H124</f>
        <v>0</v>
      </c>
      <c r="K157" s="34">
        <f>K!$H124</f>
        <v>0</v>
      </c>
      <c r="L157" s="34">
        <f>L!$H124</f>
        <v>0</v>
      </c>
      <c r="M157" s="34">
        <f>M!$H124</f>
        <v>0</v>
      </c>
      <c r="N157" s="34">
        <f>N!$H124</f>
        <v>0</v>
      </c>
      <c r="O157" s="34">
        <f>O!$H124</f>
        <v>0</v>
      </c>
      <c r="P157" s="34">
        <f>P!$H124</f>
        <v>0</v>
      </c>
      <c r="Q157" s="34">
        <f>Q!$H124</f>
        <v>0</v>
      </c>
      <c r="R157" s="34">
        <f>'R'!$H124</f>
        <v>0</v>
      </c>
      <c r="S157" s="34">
        <f>S!$H124</f>
        <v>0</v>
      </c>
      <c r="T157" s="34">
        <f>T!$H124</f>
        <v>0</v>
      </c>
      <c r="U157" s="34">
        <f>U!$H124</f>
        <v>0</v>
      </c>
      <c r="V157" s="34">
        <f>V!$H124</f>
        <v>0</v>
      </c>
      <c r="W157" s="34">
        <f>W!$H124</f>
        <v>0</v>
      </c>
      <c r="X157" s="34">
        <f>X!$H124</f>
        <v>0</v>
      </c>
      <c r="Y157" s="181">
        <f>SUM(B157:X157)</f>
        <v>0</v>
      </c>
      <c r="Z157" s="181">
        <f>IF(B!E415="",0,B!$C$11+B!$C$8*B!F417)</f>
        <v>0</v>
      </c>
      <c r="AA157" s="181">
        <f>Y157-Z157</f>
        <v>0</v>
      </c>
    </row>
    <row r="158" spans="1:27" ht="15.75">
      <c r="A158" s="193">
        <f>'C'!F125</f>
        <v>0</v>
      </c>
      <c r="B158" s="34">
        <f>IF(B!F420=TRUE,14,0)</f>
        <v>0</v>
      </c>
      <c r="C158" s="34">
        <f>'C'!$H125</f>
        <v>0</v>
      </c>
      <c r="D158" s="34">
        <f>D!$H125</f>
        <v>0</v>
      </c>
      <c r="E158" s="34">
        <f>E!$H125</f>
        <v>0</v>
      </c>
      <c r="F158" s="34">
        <f>F!$H125</f>
        <v>0</v>
      </c>
      <c r="G158" s="34">
        <f>G!$H125</f>
        <v>0</v>
      </c>
      <c r="H158" s="34">
        <f>H!$H125</f>
        <v>0</v>
      </c>
      <c r="I158" s="34">
        <f>I!$H125</f>
        <v>0</v>
      </c>
      <c r="J158" s="34">
        <f>J!$H125</f>
        <v>0</v>
      </c>
      <c r="K158" s="34">
        <f>K!$H125</f>
        <v>0</v>
      </c>
      <c r="L158" s="34">
        <f>L!$H125</f>
        <v>0</v>
      </c>
      <c r="M158" s="34">
        <f>M!$H125</f>
        <v>0</v>
      </c>
      <c r="N158" s="34">
        <f>N!$H125</f>
        <v>0</v>
      </c>
      <c r="O158" s="34">
        <f>O!$H125</f>
        <v>0</v>
      </c>
      <c r="P158" s="34">
        <f>P!$H125</f>
        <v>0</v>
      </c>
      <c r="Q158" s="34">
        <f>Q!$H125</f>
        <v>0</v>
      </c>
      <c r="R158" s="34">
        <f>'R'!$H125</f>
        <v>0</v>
      </c>
      <c r="S158" s="34">
        <f>S!$H125</f>
        <v>0</v>
      </c>
      <c r="T158" s="34">
        <f>T!$H125</f>
        <v>0</v>
      </c>
      <c r="U158" s="34">
        <f>U!$H125</f>
        <v>0</v>
      </c>
      <c r="V158" s="34">
        <f>V!$H125</f>
        <v>0</v>
      </c>
      <c r="W158" s="34">
        <f>W!$H125</f>
        <v>0</v>
      </c>
      <c r="X158" s="34">
        <f>X!$H125</f>
        <v>0</v>
      </c>
      <c r="Y158" s="181">
        <f>SUM(B158:X158)</f>
        <v>0</v>
      </c>
      <c r="Z158" s="181">
        <f>IF(B!E420="",0,B!$C$11+B!$C$8*B!F422)</f>
        <v>0</v>
      </c>
      <c r="AA158" s="181">
        <f>Y158-Z158</f>
        <v>0</v>
      </c>
    </row>
    <row r="159" spans="1:27" ht="16.5" thickBot="1">
      <c r="A159" s="193">
        <f>'C'!F126</f>
        <v>0</v>
      </c>
      <c r="B159" s="34">
        <f>IF(B!F425=TRUE,14,0)</f>
        <v>0</v>
      </c>
      <c r="C159" s="34">
        <f>'C'!$H126</f>
        <v>0</v>
      </c>
      <c r="D159" s="34">
        <f>D!$H126</f>
        <v>0</v>
      </c>
      <c r="E159" s="34">
        <f>E!$H126</f>
        <v>0</v>
      </c>
      <c r="F159" s="34">
        <f>F!$H126</f>
        <v>0</v>
      </c>
      <c r="G159" s="34">
        <f>G!$H126</f>
        <v>0</v>
      </c>
      <c r="H159" s="34">
        <f>H!$H126</f>
        <v>0</v>
      </c>
      <c r="I159" s="34">
        <f>I!$H126</f>
        <v>0</v>
      </c>
      <c r="J159" s="34">
        <f>J!$H126</f>
        <v>0</v>
      </c>
      <c r="K159" s="34">
        <f>K!$H126</f>
        <v>0</v>
      </c>
      <c r="L159" s="34">
        <f>L!$H126</f>
        <v>0</v>
      </c>
      <c r="M159" s="34">
        <f>M!$H126</f>
        <v>0</v>
      </c>
      <c r="N159" s="34">
        <f>N!$H126</f>
        <v>0</v>
      </c>
      <c r="O159" s="34">
        <f>O!$H126</f>
        <v>0</v>
      </c>
      <c r="P159" s="34">
        <f>P!$H126</f>
        <v>0</v>
      </c>
      <c r="Q159" s="34">
        <f>Q!$H126</f>
        <v>0</v>
      </c>
      <c r="R159" s="34">
        <f>'R'!$H126</f>
        <v>0</v>
      </c>
      <c r="S159" s="34">
        <f>S!$H126</f>
        <v>0</v>
      </c>
      <c r="T159" s="34">
        <f>T!$H126</f>
        <v>0</v>
      </c>
      <c r="U159" s="34">
        <f>U!$H126</f>
        <v>0</v>
      </c>
      <c r="V159" s="34">
        <f>V!$H126</f>
        <v>0</v>
      </c>
      <c r="W159" s="34">
        <f>W!$H126</f>
        <v>0</v>
      </c>
      <c r="X159" s="34">
        <f>X!$H126</f>
        <v>0</v>
      </c>
      <c r="Y159" s="181">
        <f>SUM(B159:X159)</f>
        <v>0</v>
      </c>
      <c r="Z159" s="181">
        <f>IF(B!E425="",0,B!$C$11+B!$C$8*B!F427)</f>
        <v>0</v>
      </c>
      <c r="AA159" s="181">
        <f>Y159-Z159</f>
        <v>0</v>
      </c>
    </row>
    <row r="160" spans="1:27" ht="16.5" thickBot="1">
      <c r="A160" s="194" t="s">
        <v>200</v>
      </c>
      <c r="B160" s="36">
        <f t="shared" ref="B160:AA160" si="19">SUM(B155:B159)</f>
        <v>0</v>
      </c>
      <c r="C160" s="36">
        <f t="shared" si="19"/>
        <v>0</v>
      </c>
      <c r="D160" s="36">
        <f t="shared" si="19"/>
        <v>0</v>
      </c>
      <c r="E160" s="36">
        <f t="shared" si="19"/>
        <v>0</v>
      </c>
      <c r="F160" s="36">
        <f t="shared" si="19"/>
        <v>0</v>
      </c>
      <c r="G160" s="36">
        <f t="shared" si="19"/>
        <v>0</v>
      </c>
      <c r="H160" s="36">
        <f t="shared" si="19"/>
        <v>0</v>
      </c>
      <c r="I160" s="36">
        <f t="shared" si="19"/>
        <v>0</v>
      </c>
      <c r="J160" s="36">
        <f t="shared" si="19"/>
        <v>0</v>
      </c>
      <c r="K160" s="36">
        <f t="shared" si="19"/>
        <v>0</v>
      </c>
      <c r="L160" s="36">
        <f t="shared" si="19"/>
        <v>0</v>
      </c>
      <c r="M160" s="36">
        <f t="shared" si="19"/>
        <v>0</v>
      </c>
      <c r="N160" s="36">
        <f t="shared" si="19"/>
        <v>0</v>
      </c>
      <c r="O160" s="36">
        <f t="shared" si="19"/>
        <v>0</v>
      </c>
      <c r="P160" s="36">
        <f t="shared" si="19"/>
        <v>0</v>
      </c>
      <c r="Q160" s="36">
        <f t="shared" si="19"/>
        <v>0</v>
      </c>
      <c r="R160" s="36">
        <f t="shared" si="19"/>
        <v>0</v>
      </c>
      <c r="S160" s="36">
        <f t="shared" si="19"/>
        <v>0</v>
      </c>
      <c r="T160" s="36">
        <f t="shared" si="19"/>
        <v>0</v>
      </c>
      <c r="U160" s="36">
        <f t="shared" si="19"/>
        <v>0</v>
      </c>
      <c r="V160" s="36">
        <f t="shared" si="19"/>
        <v>0</v>
      </c>
      <c r="W160" s="36">
        <f t="shared" si="19"/>
        <v>0</v>
      </c>
      <c r="X160" s="37">
        <f t="shared" si="19"/>
        <v>0</v>
      </c>
      <c r="Y160" s="185">
        <f>SUM(Y155:Y159)</f>
        <v>0</v>
      </c>
      <c r="Z160" s="185">
        <f t="shared" si="19"/>
        <v>0</v>
      </c>
      <c r="AA160" s="185">
        <f t="shared" si="19"/>
        <v>0</v>
      </c>
    </row>
  </sheetData>
  <sheetProtection sheet="1" objects="1" scenarios="1"/>
  <phoneticPr fontId="15" type="noConversion"/>
  <printOptions horizontalCentered="1" verticalCentered="1"/>
  <pageMargins left="0.25" right="0.25" top="0.25" bottom="0.25" header="0.5" footer="0.5"/>
  <pageSetup scale="43" fitToWidth="0" fitToHeight="0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504AF-506F-45A6-BD5F-6032E9968D33}">
  <sheetPr codeName="Sheet28"/>
  <dimension ref="A1:K160"/>
  <sheetViews>
    <sheetView workbookViewId="0"/>
  </sheetViews>
  <sheetFormatPr defaultRowHeight="15"/>
  <cols>
    <col min="1" max="1" width="22.33203125" style="3" customWidth="1"/>
    <col min="2" max="2" width="8.88671875" style="4" customWidth="1"/>
    <col min="3" max="3" width="4.6640625" style="121" customWidth="1"/>
    <col min="4" max="4" width="8.88671875" style="4" customWidth="1"/>
    <col min="5" max="5" width="5.77734375" style="121" customWidth="1"/>
    <col min="6" max="6" width="10.77734375" style="4" customWidth="1"/>
    <col min="7" max="7" width="1.88671875" customWidth="1"/>
    <col min="10" max="11" width="3.77734375" customWidth="1"/>
  </cols>
  <sheetData>
    <row r="1" spans="1:11" s="30" customFormat="1" ht="18.75" thickBot="1">
      <c r="A1" s="180">
        <f ca="1">TODAY()</f>
        <v>46155</v>
      </c>
      <c r="B1" s="186" t="s">
        <v>203</v>
      </c>
      <c r="C1" s="187">
        <f>A!$AW$13+1</f>
        <v>5</v>
      </c>
      <c r="D1" s="186" t="s">
        <v>144</v>
      </c>
      <c r="E1" s="187">
        <f>B!$C$4</f>
        <v>335</v>
      </c>
      <c r="F1" s="186" t="s">
        <v>204</v>
      </c>
      <c r="H1" s="242" t="str">
        <f>Team1Name</f>
        <v>PIRATES OF THE TABLE</v>
      </c>
      <c r="I1" s="242"/>
      <c r="J1" s="242"/>
      <c r="K1" s="242"/>
    </row>
    <row r="2" spans="1:11" s="30" customFormat="1" ht="18">
      <c r="A2" s="211" t="s">
        <v>249</v>
      </c>
      <c r="B2" s="212" t="s">
        <v>2</v>
      </c>
      <c r="C2" s="213"/>
      <c r="D2" s="212" t="str">
        <f>IF(C1&gt;=B!$C$8*0.5,"Remaining","")</f>
        <v/>
      </c>
      <c r="E2" s="213"/>
      <c r="F2" s="214"/>
      <c r="G2" s="214"/>
      <c r="H2" s="212" t="s">
        <v>97</v>
      </c>
      <c r="I2" s="214"/>
      <c r="J2" s="214"/>
      <c r="K2" s="214"/>
    </row>
    <row r="3" spans="1:11" ht="18" customHeight="1" thickBot="1">
      <c r="A3" s="215" t="s">
        <v>250</v>
      </c>
      <c r="B3" s="216" t="s">
        <v>139</v>
      </c>
      <c r="C3" s="217"/>
      <c r="D3" s="216" t="str">
        <f>IF(C1&gt;=B!$C$8*0.5,"Dues","")</f>
        <v/>
      </c>
      <c r="E3" s="217"/>
      <c r="F3" s="218"/>
      <c r="G3" s="219"/>
      <c r="H3" s="216" t="s">
        <v>139</v>
      </c>
      <c r="I3" s="219"/>
      <c r="J3" s="219"/>
      <c r="K3" s="219"/>
    </row>
    <row r="4" spans="1:11" ht="36" customHeight="1" thickBot="1">
      <c r="A4" s="177" t="str">
        <f t="array" ref="A4:A8">IF(ISBLANK(Team1Players),"Empty",Team1Players)</f>
        <v>JASON</v>
      </c>
      <c r="B4" s="188" t="s">
        <v>205</v>
      </c>
      <c r="D4" s="189" t="str">
        <f t="array" ref="D4:D8">IF(C1&gt;=B!$C$8*0.5,Team1Due,"")</f>
        <v/>
      </c>
      <c r="H4" s="188" t="s">
        <v>205</v>
      </c>
    </row>
    <row r="5" spans="1:11" ht="36" customHeight="1" thickBot="1">
      <c r="A5" s="177" t="str">
        <v>TRAYE</v>
      </c>
      <c r="B5" s="188" t="s">
        <v>205</v>
      </c>
      <c r="D5" s="189" t="str">
        <v/>
      </c>
    </row>
    <row r="6" spans="1:11" ht="36" customHeight="1" thickBot="1">
      <c r="A6" s="177" t="str">
        <v>WC</v>
      </c>
      <c r="B6" s="188" t="s">
        <v>205</v>
      </c>
      <c r="D6" s="189" t="str">
        <v/>
      </c>
    </row>
    <row r="7" spans="1:11" ht="36" customHeight="1" thickBot="1">
      <c r="A7" s="177" t="str">
        <v>DON</v>
      </c>
      <c r="B7" s="188" t="s">
        <v>205</v>
      </c>
      <c r="D7" s="189" t="str">
        <v/>
      </c>
    </row>
    <row r="8" spans="1:11" ht="36" customHeight="1" thickBot="1">
      <c r="A8" s="177" t="str">
        <v>SAM</v>
      </c>
      <c r="B8" s="188" t="s">
        <v>205</v>
      </c>
      <c r="D8" s="189" t="str">
        <v/>
      </c>
      <c r="G8" s="4" t="s">
        <v>108</v>
      </c>
      <c r="H8" s="220"/>
      <c r="I8" s="220"/>
      <c r="J8" s="220"/>
      <c r="K8" s="220"/>
    </row>
    <row r="9" spans="1:11" ht="18.75" thickBot="1">
      <c r="A9" s="180">
        <f ca="1">TODAY()</f>
        <v>46155</v>
      </c>
      <c r="B9" s="186" t="s">
        <v>203</v>
      </c>
      <c r="C9" s="187">
        <f>A!$AW$13+1</f>
        <v>5</v>
      </c>
      <c r="D9" s="186" t="s">
        <v>144</v>
      </c>
      <c r="E9" s="187">
        <f>B!$C$4</f>
        <v>335</v>
      </c>
      <c r="F9" s="186" t="s">
        <v>206</v>
      </c>
      <c r="G9" s="30"/>
      <c r="H9" s="242" t="str">
        <f>Team2Name</f>
        <v>VLADIMIR POOLIN</v>
      </c>
      <c r="I9" s="242"/>
      <c r="J9" s="242"/>
      <c r="K9" s="242"/>
    </row>
    <row r="10" spans="1:11" ht="18">
      <c r="A10" s="211" t="s">
        <v>249</v>
      </c>
      <c r="B10" s="212" t="s">
        <v>2</v>
      </c>
      <c r="C10" s="213"/>
      <c r="D10" s="212" t="str">
        <f>IF(C9&gt;=B!$C$8*0.5,"Remaining","")</f>
        <v/>
      </c>
      <c r="E10" s="213"/>
      <c r="F10" s="214"/>
      <c r="G10" s="214"/>
      <c r="H10" s="212" t="s">
        <v>97</v>
      </c>
      <c r="I10" s="214"/>
      <c r="J10" s="214"/>
      <c r="K10" s="214"/>
    </row>
    <row r="11" spans="1:11" ht="18.75" thickBot="1">
      <c r="A11" s="215" t="s">
        <v>250</v>
      </c>
      <c r="B11" s="216" t="s">
        <v>139</v>
      </c>
      <c r="C11" s="217"/>
      <c r="D11" s="216" t="str">
        <f>IF(C9&gt;=B!$C$8*0.5,"Dues","")</f>
        <v/>
      </c>
      <c r="E11" s="217"/>
      <c r="F11" s="218"/>
      <c r="G11" s="219"/>
      <c r="H11" s="216" t="s">
        <v>139</v>
      </c>
      <c r="I11" s="219"/>
      <c r="J11" s="219"/>
      <c r="K11" s="219"/>
    </row>
    <row r="12" spans="1:11" ht="36" customHeight="1" thickBot="1">
      <c r="A12" s="177" t="str">
        <f t="array" ref="A12:A16">IF(ISBLANK(Team2Players),"Empty",Team2Players)</f>
        <v>LEIGH</v>
      </c>
      <c r="B12" s="188" t="s">
        <v>205</v>
      </c>
      <c r="D12" s="189" t="str">
        <f t="array" ref="D12:D16">IF(C9&gt;=B!$C$8*0.5,Team2Due,"")</f>
        <v/>
      </c>
      <c r="H12" s="188" t="s">
        <v>205</v>
      </c>
    </row>
    <row r="13" spans="1:11" ht="36" customHeight="1" thickBot="1">
      <c r="A13" s="177" t="str">
        <v>IAN</v>
      </c>
      <c r="B13" s="188" t="s">
        <v>205</v>
      </c>
      <c r="D13" s="189" t="str">
        <v/>
      </c>
    </row>
    <row r="14" spans="1:11" ht="36" customHeight="1" thickBot="1">
      <c r="A14" s="177" t="str">
        <v>ELI</v>
      </c>
      <c r="B14" s="188" t="s">
        <v>205</v>
      </c>
      <c r="D14" s="189" t="str">
        <v/>
      </c>
    </row>
    <row r="15" spans="1:11" ht="36" customHeight="1" thickBot="1">
      <c r="A15" s="177" t="str">
        <v>COLE</v>
      </c>
      <c r="B15" s="188" t="s">
        <v>205</v>
      </c>
      <c r="D15" s="189" t="str">
        <v/>
      </c>
    </row>
    <row r="16" spans="1:11" ht="36" customHeight="1" thickBot="1">
      <c r="A16" s="177" t="str">
        <v>JAMES</v>
      </c>
      <c r="B16" s="188" t="s">
        <v>205</v>
      </c>
      <c r="D16" s="189" t="str">
        <v/>
      </c>
      <c r="G16" s="4" t="s">
        <v>108</v>
      </c>
      <c r="H16" s="220"/>
      <c r="I16" s="220"/>
      <c r="J16" s="220"/>
      <c r="K16" s="220"/>
    </row>
    <row r="17" spans="1:11" ht="18.75" thickBot="1">
      <c r="A17" s="180">
        <f ca="1">TODAY()</f>
        <v>46155</v>
      </c>
      <c r="B17" s="186" t="s">
        <v>203</v>
      </c>
      <c r="C17" s="187">
        <f>A!$AW$13+1</f>
        <v>5</v>
      </c>
      <c r="D17" s="186" t="s">
        <v>144</v>
      </c>
      <c r="E17" s="187">
        <f>B!$C$4</f>
        <v>335</v>
      </c>
      <c r="F17" s="186" t="s">
        <v>207</v>
      </c>
      <c r="G17" s="30"/>
      <c r="H17" s="242" t="str">
        <f>Team3Name</f>
        <v>RACK PACK</v>
      </c>
      <c r="I17" s="242"/>
      <c r="J17" s="242"/>
      <c r="K17" s="242"/>
    </row>
    <row r="18" spans="1:11" ht="18">
      <c r="A18" s="211" t="s">
        <v>249</v>
      </c>
      <c r="B18" s="212" t="s">
        <v>2</v>
      </c>
      <c r="C18" s="213"/>
      <c r="D18" s="212" t="str">
        <f>IF(C17&gt;=B!$C$8*0.5,"Remaining","")</f>
        <v/>
      </c>
      <c r="E18" s="213"/>
      <c r="F18" s="214"/>
      <c r="G18" s="214"/>
      <c r="H18" s="212" t="s">
        <v>97</v>
      </c>
      <c r="I18" s="214"/>
      <c r="J18" s="214"/>
      <c r="K18" s="214"/>
    </row>
    <row r="19" spans="1:11" ht="18.75" thickBot="1">
      <c r="A19" s="215" t="s">
        <v>250</v>
      </c>
      <c r="B19" s="216" t="s">
        <v>139</v>
      </c>
      <c r="C19" s="217"/>
      <c r="D19" s="216" t="str">
        <f>IF(C17&gt;=B!$C$8*0.5,"Dues","")</f>
        <v/>
      </c>
      <c r="E19" s="217"/>
      <c r="F19" s="218"/>
      <c r="G19" s="219"/>
      <c r="H19" s="216" t="s">
        <v>139</v>
      </c>
      <c r="I19" s="219"/>
      <c r="J19" s="219"/>
      <c r="K19" s="219"/>
    </row>
    <row r="20" spans="1:11" ht="36" customHeight="1" thickBot="1">
      <c r="A20" s="177" t="str">
        <f t="array" ref="A20:A24">IF(ISBLANK(Team3Players),"Empty",Team3Players)</f>
        <v>BRENNEN</v>
      </c>
      <c r="B20" s="188" t="s">
        <v>205</v>
      </c>
      <c r="D20" s="189" t="str">
        <f t="array" ref="D20:D24">IF(C17&gt;=B!$C$8*0.5,Team3Due,"")</f>
        <v/>
      </c>
      <c r="H20" s="188" t="s">
        <v>205</v>
      </c>
    </row>
    <row r="21" spans="1:11" ht="36" customHeight="1" thickBot="1">
      <c r="A21" s="177" t="str">
        <v>NICK</v>
      </c>
      <c r="B21" s="188" t="s">
        <v>205</v>
      </c>
      <c r="D21" s="189" t="str">
        <v/>
      </c>
    </row>
    <row r="22" spans="1:11" ht="36" customHeight="1" thickBot="1">
      <c r="A22" s="177" t="str">
        <v>IAN</v>
      </c>
      <c r="B22" s="188" t="s">
        <v>205</v>
      </c>
      <c r="D22" s="189" t="str">
        <v/>
      </c>
    </row>
    <row r="23" spans="1:11" ht="36" customHeight="1" thickBot="1">
      <c r="A23" s="177" t="str">
        <v>SCOTT</v>
      </c>
      <c r="B23" s="188" t="s">
        <v>205</v>
      </c>
      <c r="D23" s="189" t="str">
        <v/>
      </c>
    </row>
    <row r="24" spans="1:11" ht="36" customHeight="1" thickBot="1">
      <c r="A24" s="177" t="str">
        <v>TIM</v>
      </c>
      <c r="B24" s="188" t="s">
        <v>205</v>
      </c>
      <c r="D24" s="189" t="str">
        <v/>
      </c>
      <c r="G24" s="4" t="s">
        <v>108</v>
      </c>
      <c r="H24" s="220"/>
      <c r="I24" s="220"/>
      <c r="J24" s="220"/>
      <c r="K24" s="220"/>
    </row>
    <row r="25" spans="1:11" ht="18.75" thickBot="1">
      <c r="A25" s="180">
        <f ca="1">TODAY()</f>
        <v>46155</v>
      </c>
      <c r="B25" s="186" t="s">
        <v>203</v>
      </c>
      <c r="C25" s="187">
        <f>A!$AW$13+1</f>
        <v>5</v>
      </c>
      <c r="D25" s="186" t="s">
        <v>144</v>
      </c>
      <c r="E25" s="187">
        <f>B!$C$4</f>
        <v>335</v>
      </c>
      <c r="F25" s="186" t="s">
        <v>208</v>
      </c>
      <c r="G25" s="30"/>
      <c r="H25" s="242" t="str">
        <f>Team4Name</f>
        <v>HOT WHEELS</v>
      </c>
      <c r="I25" s="242"/>
      <c r="J25" s="242"/>
      <c r="K25" s="242"/>
    </row>
    <row r="26" spans="1:11" ht="18">
      <c r="A26" s="211" t="s">
        <v>249</v>
      </c>
      <c r="B26" s="212" t="s">
        <v>2</v>
      </c>
      <c r="C26" s="213"/>
      <c r="D26" s="212" t="str">
        <f>IF(C25&gt;=B!$C$8*0.5,"Remaining","")</f>
        <v/>
      </c>
      <c r="E26" s="213"/>
      <c r="F26" s="214"/>
      <c r="G26" s="214"/>
      <c r="H26" s="212" t="s">
        <v>97</v>
      </c>
      <c r="I26" s="214"/>
      <c r="J26" s="214"/>
      <c r="K26" s="214"/>
    </row>
    <row r="27" spans="1:11" ht="18.75" thickBot="1">
      <c r="A27" s="215" t="s">
        <v>250</v>
      </c>
      <c r="B27" s="216" t="s">
        <v>139</v>
      </c>
      <c r="C27" s="217"/>
      <c r="D27" s="216" t="str">
        <f>IF(C25&gt;=B!$C$8*0.5,"Dues","")</f>
        <v/>
      </c>
      <c r="E27" s="217"/>
      <c r="F27" s="218"/>
      <c r="G27" s="219"/>
      <c r="H27" s="216" t="s">
        <v>139</v>
      </c>
      <c r="I27" s="219"/>
      <c r="J27" s="219"/>
      <c r="K27" s="219"/>
    </row>
    <row r="28" spans="1:11" ht="36" customHeight="1" thickBot="1">
      <c r="A28" s="177" t="str">
        <f t="array" ref="A28:A32">IF(ISBLANK(Team4Players),"Empty",Team4Players)</f>
        <v>PATRICK</v>
      </c>
      <c r="B28" s="188" t="s">
        <v>205</v>
      </c>
      <c r="D28" s="189" t="str">
        <f t="array" ref="D28:D32">IF(C25&gt;=B!$C$8*0.5,Team4Due,"")</f>
        <v/>
      </c>
      <c r="H28" s="188" t="s">
        <v>205</v>
      </c>
    </row>
    <row r="29" spans="1:11" ht="36" customHeight="1" thickBot="1">
      <c r="A29" s="177" t="str">
        <v>BRANDY</v>
      </c>
      <c r="B29" s="188" t="s">
        <v>205</v>
      </c>
      <c r="D29" s="189" t="str">
        <v/>
      </c>
    </row>
    <row r="30" spans="1:11" ht="36" customHeight="1" thickBot="1">
      <c r="A30" s="177" t="str">
        <v>PJ</v>
      </c>
      <c r="B30" s="188" t="s">
        <v>205</v>
      </c>
      <c r="D30" s="189" t="str">
        <v/>
      </c>
    </row>
    <row r="31" spans="1:11" ht="36" customHeight="1" thickBot="1">
      <c r="A31" s="177" t="str">
        <v>CARA</v>
      </c>
      <c r="B31" s="188" t="s">
        <v>205</v>
      </c>
      <c r="D31" s="189" t="str">
        <v/>
      </c>
    </row>
    <row r="32" spans="1:11" ht="36" customHeight="1" thickBot="1">
      <c r="A32" s="177">
        <v>0</v>
      </c>
      <c r="B32" s="188" t="s">
        <v>205</v>
      </c>
      <c r="D32" s="189" t="str">
        <v/>
      </c>
      <c r="G32" s="4" t="s">
        <v>108</v>
      </c>
      <c r="H32" s="220"/>
      <c r="I32" s="220"/>
      <c r="J32" s="220"/>
      <c r="K32" s="220"/>
    </row>
    <row r="33" spans="1:11" ht="18.75" thickBot="1">
      <c r="A33" s="180">
        <f ca="1">TODAY()</f>
        <v>46155</v>
      </c>
      <c r="B33" s="186" t="s">
        <v>203</v>
      </c>
      <c r="C33" s="187">
        <f>A!$AW$13+1</f>
        <v>5</v>
      </c>
      <c r="D33" s="186" t="s">
        <v>144</v>
      </c>
      <c r="E33" s="187">
        <f>B!$C$4</f>
        <v>335</v>
      </c>
      <c r="F33" s="186" t="s">
        <v>209</v>
      </c>
      <c r="G33" s="30"/>
      <c r="H33" s="242" t="str">
        <f>Team5Name</f>
        <v>HABOOBS</v>
      </c>
      <c r="I33" s="242"/>
      <c r="J33" s="242"/>
      <c r="K33" s="242"/>
    </row>
    <row r="34" spans="1:11" ht="18">
      <c r="A34" s="211" t="s">
        <v>249</v>
      </c>
      <c r="B34" s="212" t="s">
        <v>2</v>
      </c>
      <c r="C34" s="213"/>
      <c r="D34" s="212" t="str">
        <f>IF(C33&gt;=B!$C$8*0.5,"Remaining","")</f>
        <v/>
      </c>
      <c r="E34" s="213"/>
      <c r="F34" s="214"/>
      <c r="G34" s="214"/>
      <c r="H34" s="212" t="s">
        <v>97</v>
      </c>
      <c r="I34" s="214"/>
      <c r="J34" s="214"/>
      <c r="K34" s="214"/>
    </row>
    <row r="35" spans="1:11" ht="18.75" thickBot="1">
      <c r="A35" s="215" t="s">
        <v>250</v>
      </c>
      <c r="B35" s="216" t="s">
        <v>139</v>
      </c>
      <c r="C35" s="217"/>
      <c r="D35" s="216" t="str">
        <f>IF(C33&gt;=B!$C$8*0.5,"Dues","")</f>
        <v/>
      </c>
      <c r="E35" s="217"/>
      <c r="F35" s="218"/>
      <c r="G35" s="219"/>
      <c r="H35" s="216" t="s">
        <v>139</v>
      </c>
      <c r="I35" s="219"/>
      <c r="J35" s="219"/>
      <c r="K35" s="219"/>
    </row>
    <row r="36" spans="1:11" ht="36" customHeight="1" thickBot="1">
      <c r="A36" s="177" t="str">
        <f t="array" ref="A36:A40">IF(ISBLANK(Team5Players),"Empty",Team5Players)</f>
        <v>MIKE</v>
      </c>
      <c r="B36" s="188" t="s">
        <v>205</v>
      </c>
      <c r="D36" s="189" t="str">
        <f t="array" ref="D36:D40">IF(C33&gt;=B!$C$8*0.5,Team5Due,"")</f>
        <v/>
      </c>
      <c r="H36" s="188" t="s">
        <v>205</v>
      </c>
    </row>
    <row r="37" spans="1:11" ht="36" customHeight="1" thickBot="1">
      <c r="A37" s="177" t="str">
        <v>OLGA</v>
      </c>
      <c r="B37" s="188" t="s">
        <v>205</v>
      </c>
      <c r="D37" s="189" t="str">
        <v/>
      </c>
    </row>
    <row r="38" spans="1:11" ht="36" customHeight="1" thickBot="1">
      <c r="A38" s="177" t="str">
        <v>DAN</v>
      </c>
      <c r="B38" s="188" t="s">
        <v>205</v>
      </c>
      <c r="D38" s="189" t="str">
        <v/>
      </c>
    </row>
    <row r="39" spans="1:11" ht="36" customHeight="1" thickBot="1">
      <c r="A39" s="177" t="str">
        <v>MIKE MO</v>
      </c>
      <c r="B39" s="188" t="s">
        <v>205</v>
      </c>
      <c r="D39" s="189" t="str">
        <v/>
      </c>
    </row>
    <row r="40" spans="1:11" ht="36" customHeight="1" thickBot="1">
      <c r="A40" s="177" t="str">
        <v>VICKIE</v>
      </c>
      <c r="B40" s="188" t="s">
        <v>205</v>
      </c>
      <c r="D40" s="189" t="str">
        <v/>
      </c>
      <c r="G40" s="4" t="s">
        <v>108</v>
      </c>
      <c r="H40" s="220"/>
      <c r="I40" s="220"/>
      <c r="J40" s="220"/>
      <c r="K40" s="220"/>
    </row>
    <row r="41" spans="1:11" ht="18.75" thickBot="1">
      <c r="A41" s="180">
        <f ca="1">TODAY()</f>
        <v>46155</v>
      </c>
      <c r="B41" s="186" t="s">
        <v>203</v>
      </c>
      <c r="C41" s="187">
        <f>A!$AW$13+1</f>
        <v>5</v>
      </c>
      <c r="D41" s="186" t="s">
        <v>144</v>
      </c>
      <c r="E41" s="187">
        <f>B!$C$4</f>
        <v>335</v>
      </c>
      <c r="F41" s="186" t="s">
        <v>210</v>
      </c>
      <c r="G41" s="30"/>
      <c r="H41" s="242" t="str">
        <f>Team6Name</f>
        <v>FFFFF TO THE 1OTH POWER</v>
      </c>
      <c r="I41" s="242"/>
      <c r="J41" s="242"/>
      <c r="K41" s="242"/>
    </row>
    <row r="42" spans="1:11" ht="18">
      <c r="A42" s="211" t="s">
        <v>249</v>
      </c>
      <c r="B42" s="212" t="s">
        <v>2</v>
      </c>
      <c r="C42" s="213"/>
      <c r="D42" s="212" t="str">
        <f>IF(C41&gt;=B!$C$8*0.5,"Remaining","")</f>
        <v/>
      </c>
      <c r="E42" s="213"/>
      <c r="F42" s="214"/>
      <c r="G42" s="214"/>
      <c r="H42" s="212" t="s">
        <v>97</v>
      </c>
      <c r="I42" s="214"/>
      <c r="J42" s="214"/>
      <c r="K42" s="214"/>
    </row>
    <row r="43" spans="1:11" ht="18.75" thickBot="1">
      <c r="A43" s="215" t="s">
        <v>250</v>
      </c>
      <c r="B43" s="216" t="s">
        <v>139</v>
      </c>
      <c r="C43" s="217"/>
      <c r="D43" s="216" t="str">
        <f>IF(C41&gt;=B!$C$8*0.5,"Dues","")</f>
        <v/>
      </c>
      <c r="E43" s="217"/>
      <c r="F43" s="218"/>
      <c r="G43" s="219"/>
      <c r="H43" s="216" t="s">
        <v>139</v>
      </c>
      <c r="I43" s="219"/>
      <c r="J43" s="219"/>
      <c r="K43" s="219"/>
    </row>
    <row r="44" spans="1:11" ht="36" customHeight="1" thickBot="1">
      <c r="A44" s="177" t="str">
        <f t="array" ref="A44:A48">IF(ISBLANK(Team6Players),"Empty",Team6Players)</f>
        <v>RICHARD</v>
      </c>
      <c r="B44" s="188" t="s">
        <v>205</v>
      </c>
      <c r="D44" s="189" t="str">
        <f t="array" ref="D44:D48">IF(C41&gt;=B!$C$8*0.5,Team6Due,"")</f>
        <v/>
      </c>
      <c r="H44" s="188" t="s">
        <v>205</v>
      </c>
    </row>
    <row r="45" spans="1:11" ht="36" customHeight="1" thickBot="1">
      <c r="A45" s="177" t="str">
        <v>JUSTIN</v>
      </c>
      <c r="B45" s="188" t="s">
        <v>205</v>
      </c>
      <c r="D45" s="189" t="str">
        <v/>
      </c>
    </row>
    <row r="46" spans="1:11" ht="36" customHeight="1" thickBot="1">
      <c r="A46" s="177" t="str">
        <v>SANDY</v>
      </c>
      <c r="B46" s="188" t="s">
        <v>205</v>
      </c>
      <c r="D46" s="189" t="str">
        <v/>
      </c>
    </row>
    <row r="47" spans="1:11" ht="36" customHeight="1" thickBot="1">
      <c r="A47" s="177" t="str">
        <v>DENNIS</v>
      </c>
      <c r="B47" s="188" t="s">
        <v>205</v>
      </c>
      <c r="D47" s="189" t="str">
        <v/>
      </c>
    </row>
    <row r="48" spans="1:11" ht="36" customHeight="1" thickBot="1">
      <c r="A48" s="177" t="str">
        <v>VE</v>
      </c>
      <c r="B48" s="188" t="s">
        <v>205</v>
      </c>
      <c r="D48" s="189" t="str">
        <v/>
      </c>
      <c r="G48" s="4" t="s">
        <v>108</v>
      </c>
      <c r="H48" s="220"/>
      <c r="I48" s="220"/>
      <c r="J48" s="220"/>
      <c r="K48" s="220"/>
    </row>
    <row r="49" spans="1:11" ht="18.75" thickBot="1">
      <c r="A49" s="180">
        <f ca="1">TODAY()</f>
        <v>46155</v>
      </c>
      <c r="B49" s="186" t="s">
        <v>203</v>
      </c>
      <c r="C49" s="187">
        <f>A!$AW$13+1</f>
        <v>5</v>
      </c>
      <c r="D49" s="186" t="s">
        <v>144</v>
      </c>
      <c r="E49" s="187">
        <f>B!$C$4</f>
        <v>335</v>
      </c>
      <c r="F49" s="186" t="s">
        <v>211</v>
      </c>
      <c r="G49" s="30"/>
      <c r="H49" s="242" t="str">
        <f>Team7Name</f>
        <v>YOUNG BLOODS</v>
      </c>
      <c r="I49" s="242"/>
      <c r="J49" s="242"/>
      <c r="K49" s="242"/>
    </row>
    <row r="50" spans="1:11" ht="18">
      <c r="A50" s="211" t="s">
        <v>249</v>
      </c>
      <c r="B50" s="212" t="s">
        <v>2</v>
      </c>
      <c r="C50" s="213"/>
      <c r="D50" s="212" t="str">
        <f>IF(C49&gt;=B!$C$8*0.5,"Remaining","")</f>
        <v/>
      </c>
      <c r="E50" s="213"/>
      <c r="F50" s="214"/>
      <c r="G50" s="214"/>
      <c r="H50" s="212" t="s">
        <v>97</v>
      </c>
      <c r="I50" s="214"/>
      <c r="J50" s="214"/>
      <c r="K50" s="214"/>
    </row>
    <row r="51" spans="1:11" ht="18.75" thickBot="1">
      <c r="A51" s="215" t="s">
        <v>250</v>
      </c>
      <c r="B51" s="216" t="s">
        <v>139</v>
      </c>
      <c r="C51" s="217"/>
      <c r="D51" s="216" t="str">
        <f>IF(C49&gt;=B!$C$8*0.5,"Dues","")</f>
        <v/>
      </c>
      <c r="E51" s="217"/>
      <c r="F51" s="218"/>
      <c r="G51" s="219"/>
      <c r="H51" s="216" t="s">
        <v>139</v>
      </c>
      <c r="I51" s="219"/>
      <c r="J51" s="219"/>
      <c r="K51" s="219"/>
    </row>
    <row r="52" spans="1:11" ht="36" customHeight="1" thickBot="1">
      <c r="A52" s="177" t="str">
        <f t="array" ref="A52:A56">IF(ISBLANK(Team7Players),"Empty",Team7Players)</f>
        <v>GARY</v>
      </c>
      <c r="B52" s="188" t="s">
        <v>205</v>
      </c>
      <c r="D52" s="189" t="str">
        <f t="array" ref="D52:D56">IF(C49&gt;=B!$C$8*0.5,Team7Due,"")</f>
        <v/>
      </c>
      <c r="H52" s="188" t="s">
        <v>205</v>
      </c>
    </row>
    <row r="53" spans="1:11" ht="36" customHeight="1" thickBot="1">
      <c r="A53" s="177" t="str">
        <v>RICH</v>
      </c>
      <c r="B53" s="188" t="s">
        <v>205</v>
      </c>
      <c r="D53" s="189" t="str">
        <v/>
      </c>
    </row>
    <row r="54" spans="1:11" ht="36" customHeight="1" thickBot="1">
      <c r="A54" s="177" t="str">
        <v>VIC</v>
      </c>
      <c r="B54" s="188" t="s">
        <v>205</v>
      </c>
      <c r="D54" s="189" t="str">
        <v/>
      </c>
    </row>
    <row r="55" spans="1:11" ht="36" customHeight="1" thickBot="1">
      <c r="A55" s="177" t="str">
        <v>JIM</v>
      </c>
      <c r="B55" s="188" t="s">
        <v>205</v>
      </c>
      <c r="D55" s="189" t="str">
        <v/>
      </c>
    </row>
    <row r="56" spans="1:11" ht="36" customHeight="1" thickBot="1">
      <c r="A56" s="177" t="str">
        <v>PAM</v>
      </c>
      <c r="B56" s="188" t="s">
        <v>205</v>
      </c>
      <c r="D56" s="189" t="str">
        <v/>
      </c>
      <c r="G56" s="4" t="s">
        <v>108</v>
      </c>
      <c r="H56" s="220"/>
      <c r="I56" s="220"/>
      <c r="J56" s="220"/>
      <c r="K56" s="220"/>
    </row>
    <row r="57" spans="1:11" ht="18.75" thickBot="1">
      <c r="A57" s="180">
        <f ca="1">TODAY()</f>
        <v>46155</v>
      </c>
      <c r="B57" s="186" t="s">
        <v>203</v>
      </c>
      <c r="C57" s="187">
        <f>A!$AW$13+1</f>
        <v>5</v>
      </c>
      <c r="D57" s="186" t="s">
        <v>144</v>
      </c>
      <c r="E57" s="187">
        <f>B!$C$4</f>
        <v>335</v>
      </c>
      <c r="F57" s="186" t="s">
        <v>212</v>
      </c>
      <c r="G57" s="30"/>
      <c r="H57" s="242" t="str">
        <f>Team8Name</f>
        <v>THE BOYS</v>
      </c>
      <c r="I57" s="242"/>
      <c r="J57" s="242"/>
      <c r="K57" s="242"/>
    </row>
    <row r="58" spans="1:11" ht="18">
      <c r="A58" s="211" t="s">
        <v>249</v>
      </c>
      <c r="B58" s="212" t="s">
        <v>2</v>
      </c>
      <c r="C58" s="213"/>
      <c r="D58" s="212" t="str">
        <f>IF(C57&gt;=B!$C$8*0.5,"Remaining","")</f>
        <v/>
      </c>
      <c r="E58" s="213"/>
      <c r="F58" s="214"/>
      <c r="G58" s="214"/>
      <c r="H58" s="212" t="s">
        <v>97</v>
      </c>
      <c r="I58" s="214"/>
      <c r="J58" s="214"/>
      <c r="K58" s="214"/>
    </row>
    <row r="59" spans="1:11" ht="18.75" thickBot="1">
      <c r="A59" s="215" t="s">
        <v>250</v>
      </c>
      <c r="B59" s="216" t="s">
        <v>139</v>
      </c>
      <c r="C59" s="217"/>
      <c r="D59" s="216" t="str">
        <f>IF(C57&gt;=B!$C$8*0.5,"Dues","")</f>
        <v/>
      </c>
      <c r="E59" s="217"/>
      <c r="F59" s="218"/>
      <c r="G59" s="219"/>
      <c r="H59" s="216" t="s">
        <v>139</v>
      </c>
      <c r="I59" s="219"/>
      <c r="J59" s="219"/>
      <c r="K59" s="219"/>
    </row>
    <row r="60" spans="1:11" ht="36" customHeight="1" thickBot="1">
      <c r="A60" s="177" t="str">
        <f t="array" ref="A60:A64">IF(ISBLANK(Team8Players),"Empty",Team8Players)</f>
        <v>JOHN A</v>
      </c>
      <c r="B60" s="188" t="s">
        <v>205</v>
      </c>
      <c r="D60" s="189" t="str">
        <f t="array" ref="D60:D64">IF(C57&gt;=B!$C$8*0.5,Team8Due,"")</f>
        <v/>
      </c>
      <c r="H60" s="188" t="s">
        <v>205</v>
      </c>
    </row>
    <row r="61" spans="1:11" ht="36" customHeight="1" thickBot="1">
      <c r="A61" s="177" t="str">
        <v>BOBBY</v>
      </c>
      <c r="B61" s="188" t="s">
        <v>205</v>
      </c>
      <c r="D61" s="189" t="str">
        <v/>
      </c>
    </row>
    <row r="62" spans="1:11" ht="36" customHeight="1" thickBot="1">
      <c r="A62" s="177" t="str">
        <v>MIKE</v>
      </c>
      <c r="B62" s="188" t="s">
        <v>205</v>
      </c>
      <c r="D62" s="189" t="str">
        <v/>
      </c>
    </row>
    <row r="63" spans="1:11" ht="36" customHeight="1" thickBot="1">
      <c r="A63" s="177" t="str">
        <v>ROGER</v>
      </c>
      <c r="B63" s="188" t="s">
        <v>205</v>
      </c>
      <c r="D63" s="189" t="str">
        <v/>
      </c>
    </row>
    <row r="64" spans="1:11" ht="36" customHeight="1" thickBot="1">
      <c r="A64" s="177" t="str">
        <v>JOHN B.</v>
      </c>
      <c r="B64" s="188" t="s">
        <v>205</v>
      </c>
      <c r="D64" s="189" t="str">
        <v/>
      </c>
      <c r="G64" s="4" t="s">
        <v>108</v>
      </c>
      <c r="H64" s="220"/>
      <c r="I64" s="220"/>
      <c r="J64" s="220"/>
      <c r="K64" s="220"/>
    </row>
    <row r="65" spans="1:11" ht="18.75" thickBot="1">
      <c r="A65" s="180">
        <f ca="1">TODAY()</f>
        <v>46155</v>
      </c>
      <c r="B65" s="186" t="s">
        <v>203</v>
      </c>
      <c r="C65" s="187">
        <f>A!$AW$13+1</f>
        <v>5</v>
      </c>
      <c r="D65" s="186" t="s">
        <v>144</v>
      </c>
      <c r="E65" s="187">
        <f>B!$C$4</f>
        <v>335</v>
      </c>
      <c r="F65" s="186" t="s">
        <v>213</v>
      </c>
      <c r="G65" s="30"/>
      <c r="H65" s="242" t="str">
        <f>Team9Name</f>
        <v>THE DOUGERNAUTS</v>
      </c>
      <c r="I65" s="242"/>
      <c r="J65" s="242"/>
      <c r="K65" s="242"/>
    </row>
    <row r="66" spans="1:11" ht="18">
      <c r="A66" s="211" t="s">
        <v>249</v>
      </c>
      <c r="B66" s="212" t="s">
        <v>2</v>
      </c>
      <c r="C66" s="213"/>
      <c r="D66" s="212" t="str">
        <f>IF(C65&gt;=B!$C$8*0.5,"Remaining","")</f>
        <v/>
      </c>
      <c r="E66" s="213"/>
      <c r="F66" s="214"/>
      <c r="G66" s="214"/>
      <c r="H66" s="212" t="s">
        <v>97</v>
      </c>
      <c r="I66" s="214"/>
      <c r="J66" s="214"/>
      <c r="K66" s="214"/>
    </row>
    <row r="67" spans="1:11" ht="18.75" thickBot="1">
      <c r="A67" s="215" t="s">
        <v>250</v>
      </c>
      <c r="B67" s="216" t="s">
        <v>139</v>
      </c>
      <c r="C67" s="217"/>
      <c r="D67" s="216" t="str">
        <f>IF(C65&gt;=B!$C$8*0.5,"Dues","")</f>
        <v/>
      </c>
      <c r="E67" s="217"/>
      <c r="F67" s="218"/>
      <c r="G67" s="219"/>
      <c r="H67" s="216" t="s">
        <v>139</v>
      </c>
      <c r="I67" s="219"/>
      <c r="J67" s="219"/>
      <c r="K67" s="219"/>
    </row>
    <row r="68" spans="1:11" ht="36" customHeight="1" thickBot="1">
      <c r="A68" s="177" t="str">
        <f t="array" ref="A68:A72">IF(ISBLANK(Team9Players),"Empty",Team9Players)</f>
        <v>MICHAEL</v>
      </c>
      <c r="B68" s="188" t="s">
        <v>205</v>
      </c>
      <c r="D68" s="189" t="str">
        <f t="array" ref="D68:D72">IF(C65&gt;=B!$C$8*0.5,Team9Due,"")</f>
        <v/>
      </c>
      <c r="H68" s="188" t="s">
        <v>205</v>
      </c>
    </row>
    <row r="69" spans="1:11" ht="36" customHeight="1" thickBot="1">
      <c r="A69" s="177" t="str">
        <v>JIM</v>
      </c>
      <c r="B69" s="188" t="s">
        <v>205</v>
      </c>
      <c r="D69" s="189" t="str">
        <v/>
      </c>
    </row>
    <row r="70" spans="1:11" ht="36" customHeight="1" thickBot="1">
      <c r="A70" s="177" t="str">
        <v>DOUG</v>
      </c>
      <c r="B70" s="188" t="s">
        <v>205</v>
      </c>
      <c r="D70" s="189" t="str">
        <v/>
      </c>
    </row>
    <row r="71" spans="1:11" ht="36" customHeight="1" thickBot="1">
      <c r="A71" s="177" t="str">
        <v>SARAH</v>
      </c>
      <c r="B71" s="188" t="s">
        <v>205</v>
      </c>
      <c r="D71" s="189" t="str">
        <v/>
      </c>
    </row>
    <row r="72" spans="1:11" ht="36" customHeight="1" thickBot="1">
      <c r="A72" s="177" t="str">
        <v>KASH</v>
      </c>
      <c r="B72" s="188" t="s">
        <v>205</v>
      </c>
      <c r="D72" s="189" t="str">
        <v/>
      </c>
      <c r="G72" s="4" t="s">
        <v>108</v>
      </c>
      <c r="H72" s="220"/>
      <c r="I72" s="220"/>
      <c r="J72" s="220"/>
      <c r="K72" s="220"/>
    </row>
    <row r="73" spans="1:11" ht="18.75" thickBot="1">
      <c r="A73" s="180">
        <f ca="1">TODAY()</f>
        <v>46155</v>
      </c>
      <c r="B73" s="186" t="s">
        <v>203</v>
      </c>
      <c r="C73" s="187">
        <f>A!$AW$13+1</f>
        <v>5</v>
      </c>
      <c r="D73" s="186" t="s">
        <v>144</v>
      </c>
      <c r="E73" s="187">
        <f>B!$C$4</f>
        <v>335</v>
      </c>
      <c r="F73" s="186" t="s">
        <v>214</v>
      </c>
      <c r="G73" s="30"/>
      <c r="H73" s="242" t="str">
        <f>Team10Name</f>
        <v>CRAZY TRAIN</v>
      </c>
      <c r="I73" s="242"/>
      <c r="J73" s="242"/>
      <c r="K73" s="242"/>
    </row>
    <row r="74" spans="1:11" ht="18">
      <c r="A74" s="211" t="s">
        <v>249</v>
      </c>
      <c r="B74" s="212" t="s">
        <v>2</v>
      </c>
      <c r="C74" s="213"/>
      <c r="D74" s="212" t="str">
        <f>IF(C73&gt;=B!$C$8*0.5,"Remaining","")</f>
        <v/>
      </c>
      <c r="E74" s="213"/>
      <c r="F74" s="214"/>
      <c r="G74" s="214"/>
      <c r="H74" s="212" t="s">
        <v>97</v>
      </c>
      <c r="I74" s="214"/>
      <c r="J74" s="214"/>
      <c r="K74" s="214"/>
    </row>
    <row r="75" spans="1:11" ht="18.75" thickBot="1">
      <c r="A75" s="215" t="s">
        <v>250</v>
      </c>
      <c r="B75" s="216" t="s">
        <v>139</v>
      </c>
      <c r="C75" s="217"/>
      <c r="D75" s="216" t="str">
        <f>IF(C73&gt;=B!$C$8*0.5,"Dues","")</f>
        <v/>
      </c>
      <c r="E75" s="217"/>
      <c r="F75" s="218"/>
      <c r="G75" s="219"/>
      <c r="H75" s="216" t="s">
        <v>139</v>
      </c>
      <c r="I75" s="219"/>
      <c r="J75" s="219"/>
      <c r="K75" s="219"/>
    </row>
    <row r="76" spans="1:11" ht="36" customHeight="1" thickBot="1">
      <c r="A76" s="177" t="str">
        <f t="array" ref="A76:A80">IF(ISBLANK(Team10Players),"Empty",Team10Players)</f>
        <v>DARRIC</v>
      </c>
      <c r="B76" s="188" t="s">
        <v>205</v>
      </c>
      <c r="D76" s="189" t="str">
        <f t="array" ref="D76:D80">IF(C73&gt;=B!$C$8*0.5,Team10Due,"")</f>
        <v/>
      </c>
      <c r="H76" s="188" t="s">
        <v>205</v>
      </c>
    </row>
    <row r="77" spans="1:11" ht="36" customHeight="1" thickBot="1">
      <c r="A77" s="177" t="str">
        <v>CHRIS</v>
      </c>
      <c r="B77" s="188" t="s">
        <v>205</v>
      </c>
      <c r="D77" s="189" t="str">
        <v/>
      </c>
    </row>
    <row r="78" spans="1:11" ht="36" customHeight="1" thickBot="1">
      <c r="A78" s="177" t="str">
        <v>MIKE R.</v>
      </c>
      <c r="B78" s="188" t="s">
        <v>205</v>
      </c>
      <c r="D78" s="189" t="str">
        <v/>
      </c>
    </row>
    <row r="79" spans="1:11" ht="36" customHeight="1" thickBot="1">
      <c r="A79" s="177" t="str">
        <v>SERGEI</v>
      </c>
      <c r="B79" s="188" t="s">
        <v>205</v>
      </c>
      <c r="D79" s="189" t="str">
        <v/>
      </c>
    </row>
    <row r="80" spans="1:11" ht="36" customHeight="1" thickBot="1">
      <c r="A80" s="177" t="str">
        <v>JORDAN</v>
      </c>
      <c r="B80" s="188" t="s">
        <v>205</v>
      </c>
      <c r="D80" s="189" t="str">
        <v/>
      </c>
      <c r="G80" s="4" t="s">
        <v>108</v>
      </c>
      <c r="H80" s="220"/>
      <c r="I80" s="220"/>
      <c r="J80" s="220"/>
      <c r="K80" s="220"/>
    </row>
    <row r="81" spans="1:11" ht="18.75" thickBot="1">
      <c r="A81" s="180">
        <f ca="1">TODAY()</f>
        <v>46155</v>
      </c>
      <c r="B81" s="186" t="s">
        <v>203</v>
      </c>
      <c r="C81" s="187">
        <f>A!$AW$13+1</f>
        <v>5</v>
      </c>
      <c r="D81" s="186" t="s">
        <v>144</v>
      </c>
      <c r="E81" s="187">
        <f>B!$C$4</f>
        <v>335</v>
      </c>
      <c r="F81" s="186" t="s">
        <v>215</v>
      </c>
      <c r="G81" s="30"/>
      <c r="H81" s="242" t="str">
        <f>Team11Name</f>
        <v>SPAM FO LUNCH</v>
      </c>
      <c r="I81" s="242"/>
      <c r="J81" s="242"/>
      <c r="K81" s="242"/>
    </row>
    <row r="82" spans="1:11" ht="18">
      <c r="A82" s="211" t="s">
        <v>249</v>
      </c>
      <c r="B82" s="212" t="s">
        <v>2</v>
      </c>
      <c r="C82" s="213"/>
      <c r="D82" s="212" t="str">
        <f>IF(C81&gt;=B!$C$8*0.5,"Remaining","")</f>
        <v/>
      </c>
      <c r="E82" s="213"/>
      <c r="F82" s="214"/>
      <c r="G82" s="214"/>
      <c r="H82" s="212" t="s">
        <v>97</v>
      </c>
      <c r="I82" s="214"/>
      <c r="J82" s="214"/>
      <c r="K82" s="214"/>
    </row>
    <row r="83" spans="1:11" ht="18.75" thickBot="1">
      <c r="A83" s="215" t="s">
        <v>250</v>
      </c>
      <c r="B83" s="216" t="s">
        <v>139</v>
      </c>
      <c r="C83" s="217"/>
      <c r="D83" s="216" t="str">
        <f>IF(C81&gt;=B!$C$8*0.5,"Dues","")</f>
        <v/>
      </c>
      <c r="E83" s="217"/>
      <c r="F83" s="218"/>
      <c r="G83" s="219"/>
      <c r="H83" s="216" t="s">
        <v>139</v>
      </c>
      <c r="I83" s="219"/>
      <c r="J83" s="219"/>
      <c r="K83" s="219"/>
    </row>
    <row r="84" spans="1:11" ht="36" customHeight="1" thickBot="1">
      <c r="A84" s="177" t="str">
        <f t="array" ref="A84:A88">IF(ISBLANK(Team11Players),"Empty",Team11Players)</f>
        <v>PABLO</v>
      </c>
      <c r="B84" s="188" t="s">
        <v>205</v>
      </c>
      <c r="D84" s="189" t="str">
        <f t="array" ref="D84:D88">IF(C81&gt;=B!$C$8*0.5,Team11Due,"")</f>
        <v/>
      </c>
      <c r="H84" s="188" t="s">
        <v>205</v>
      </c>
    </row>
    <row r="85" spans="1:11" ht="36" customHeight="1" thickBot="1">
      <c r="A85" s="177" t="str">
        <v>ERIC</v>
      </c>
      <c r="B85" s="188" t="s">
        <v>205</v>
      </c>
      <c r="D85" s="189" t="str">
        <v/>
      </c>
    </row>
    <row r="86" spans="1:11" ht="36" customHeight="1" thickBot="1">
      <c r="A86" s="177" t="str">
        <v>SABRINA</v>
      </c>
      <c r="B86" s="188" t="s">
        <v>205</v>
      </c>
      <c r="D86" s="189" t="str">
        <v/>
      </c>
    </row>
    <row r="87" spans="1:11" ht="36" customHeight="1" thickBot="1">
      <c r="A87" s="177" t="str">
        <v>NICK</v>
      </c>
      <c r="B87" s="188" t="s">
        <v>205</v>
      </c>
      <c r="D87" s="189" t="str">
        <v/>
      </c>
    </row>
    <row r="88" spans="1:11" ht="36" customHeight="1" thickBot="1">
      <c r="A88" s="177" t="str">
        <v>LON</v>
      </c>
      <c r="B88" s="188" t="s">
        <v>205</v>
      </c>
      <c r="D88" s="189" t="str">
        <v/>
      </c>
      <c r="G88" s="4" t="s">
        <v>108</v>
      </c>
      <c r="H88" s="220"/>
      <c r="I88" s="220"/>
      <c r="J88" s="220"/>
      <c r="K88" s="220"/>
    </row>
    <row r="89" spans="1:11" ht="18.75" thickBot="1">
      <c r="A89" s="180">
        <f ca="1">TODAY()</f>
        <v>46155</v>
      </c>
      <c r="B89" s="186" t="s">
        <v>203</v>
      </c>
      <c r="C89" s="187">
        <f>A!$AW$13+1</f>
        <v>5</v>
      </c>
      <c r="D89" s="186" t="s">
        <v>144</v>
      </c>
      <c r="E89" s="187">
        <f>B!$C$4</f>
        <v>335</v>
      </c>
      <c r="F89" s="186" t="s">
        <v>216</v>
      </c>
      <c r="G89" s="30"/>
      <c r="H89" s="242" t="str">
        <f>Team12Name</f>
        <v>BYE</v>
      </c>
      <c r="I89" s="242"/>
      <c r="J89" s="242"/>
      <c r="K89" s="242"/>
    </row>
    <row r="90" spans="1:11" ht="18">
      <c r="A90" s="211" t="s">
        <v>249</v>
      </c>
      <c r="B90" s="212" t="s">
        <v>2</v>
      </c>
      <c r="C90" s="213"/>
      <c r="D90" s="212" t="str">
        <f>IF(C89&gt;=B!$C$8*0.5,"Remaining","")</f>
        <v/>
      </c>
      <c r="E90" s="213"/>
      <c r="F90" s="214"/>
      <c r="G90" s="214"/>
      <c r="H90" s="212" t="s">
        <v>97</v>
      </c>
      <c r="I90" s="214"/>
      <c r="J90" s="214"/>
      <c r="K90" s="214"/>
    </row>
    <row r="91" spans="1:11" ht="18.75" thickBot="1">
      <c r="A91" s="215" t="s">
        <v>250</v>
      </c>
      <c r="B91" s="216" t="s">
        <v>139</v>
      </c>
      <c r="C91" s="217"/>
      <c r="D91" s="216" t="str">
        <f>IF(C89&gt;=B!$C$8*0.5,"Dues","")</f>
        <v/>
      </c>
      <c r="E91" s="217"/>
      <c r="F91" s="218"/>
      <c r="G91" s="219"/>
      <c r="H91" s="216" t="s">
        <v>139</v>
      </c>
      <c r="I91" s="219"/>
      <c r="J91" s="219"/>
      <c r="K91" s="219"/>
    </row>
    <row r="92" spans="1:11" ht="36" customHeight="1" thickBot="1">
      <c r="A92" s="177">
        <f t="array" ref="A92:A96">IF(ISBLANK(Team12Players),"Empty",Team12Players)</f>
        <v>1</v>
      </c>
      <c r="B92" s="188" t="s">
        <v>205</v>
      </c>
      <c r="D92" s="189" t="str">
        <f t="array" ref="D92:D96">IF(C89&gt;=B!$C$8*0.5,Team12Due,"")</f>
        <v/>
      </c>
      <c r="H92" s="188" t="s">
        <v>205</v>
      </c>
    </row>
    <row r="93" spans="1:11" ht="36" customHeight="1" thickBot="1">
      <c r="A93" s="177">
        <v>2</v>
      </c>
      <c r="B93" s="188" t="s">
        <v>205</v>
      </c>
      <c r="D93" s="189" t="str">
        <v/>
      </c>
    </row>
    <row r="94" spans="1:11" ht="36" customHeight="1" thickBot="1">
      <c r="A94" s="177">
        <v>3</v>
      </c>
      <c r="B94" s="188" t="s">
        <v>205</v>
      </c>
      <c r="D94" s="189" t="str">
        <v/>
      </c>
    </row>
    <row r="95" spans="1:11" ht="36" customHeight="1" thickBot="1">
      <c r="A95" s="177">
        <v>4</v>
      </c>
      <c r="B95" s="188" t="s">
        <v>205</v>
      </c>
      <c r="D95" s="189" t="str">
        <v/>
      </c>
    </row>
    <row r="96" spans="1:11" ht="36" customHeight="1" thickBot="1">
      <c r="A96" s="177">
        <v>5</v>
      </c>
      <c r="B96" s="188" t="s">
        <v>205</v>
      </c>
      <c r="D96" s="189" t="str">
        <v/>
      </c>
      <c r="G96" s="4" t="s">
        <v>108</v>
      </c>
      <c r="H96" s="220"/>
      <c r="I96" s="220"/>
      <c r="J96" s="220"/>
      <c r="K96" s="220"/>
    </row>
    <row r="97" spans="1:11" ht="18.75" thickBot="1">
      <c r="A97" s="180">
        <f ca="1">TODAY()</f>
        <v>46155</v>
      </c>
      <c r="B97" s="186" t="s">
        <v>203</v>
      </c>
      <c r="C97" s="187">
        <f>A!$AW$13+1</f>
        <v>5</v>
      </c>
      <c r="D97" s="186" t="s">
        <v>144</v>
      </c>
      <c r="E97" s="187">
        <f>B!$C$4</f>
        <v>335</v>
      </c>
      <c r="F97" s="186" t="s">
        <v>217</v>
      </c>
      <c r="G97" s="30"/>
      <c r="H97" s="242">
        <f>Team13Name</f>
        <v>0</v>
      </c>
      <c r="I97" s="242"/>
      <c r="J97" s="242"/>
      <c r="K97" s="242"/>
    </row>
    <row r="98" spans="1:11" ht="18">
      <c r="A98" s="211" t="s">
        <v>249</v>
      </c>
      <c r="B98" s="212" t="s">
        <v>2</v>
      </c>
      <c r="C98" s="213"/>
      <c r="D98" s="212" t="str">
        <f>IF(C97&gt;=B!$C$8*0.5,"Remaining","")</f>
        <v/>
      </c>
      <c r="E98" s="213"/>
      <c r="F98" s="214"/>
      <c r="G98" s="214"/>
      <c r="H98" s="212" t="s">
        <v>97</v>
      </c>
      <c r="I98" s="214"/>
      <c r="J98" s="214"/>
      <c r="K98" s="214"/>
    </row>
    <row r="99" spans="1:11" ht="18.75" thickBot="1">
      <c r="A99" s="215" t="s">
        <v>250</v>
      </c>
      <c r="B99" s="216" t="s">
        <v>139</v>
      </c>
      <c r="C99" s="217"/>
      <c r="D99" s="216" t="str">
        <f>IF(C97&gt;=B!$C$8*0.5,"Dues","")</f>
        <v/>
      </c>
      <c r="E99" s="217"/>
      <c r="F99" s="218"/>
      <c r="G99" s="219"/>
      <c r="H99" s="216" t="s">
        <v>139</v>
      </c>
      <c r="I99" s="219"/>
      <c r="J99" s="219"/>
      <c r="K99" s="219"/>
    </row>
    <row r="100" spans="1:11" ht="36" customHeight="1" thickBot="1">
      <c r="A100" s="177">
        <f t="array" ref="A100:A104">IF(ISBLANK(Team13Players),"Empty",Team13Players)</f>
        <v>0</v>
      </c>
      <c r="B100" s="188" t="s">
        <v>205</v>
      </c>
      <c r="D100" s="189" t="str">
        <f t="array" ref="D100:D104">IF(C97&gt;=B!$C$8*0.5,Team13Due,"")</f>
        <v/>
      </c>
      <c r="H100" s="188" t="s">
        <v>205</v>
      </c>
    </row>
    <row r="101" spans="1:11" ht="36" customHeight="1" thickBot="1">
      <c r="A101" s="177">
        <v>0</v>
      </c>
      <c r="B101" s="188" t="s">
        <v>205</v>
      </c>
      <c r="D101" s="189" t="str">
        <v/>
      </c>
    </row>
    <row r="102" spans="1:11" ht="36" customHeight="1" thickBot="1">
      <c r="A102" s="177">
        <v>0</v>
      </c>
      <c r="B102" s="188" t="s">
        <v>205</v>
      </c>
      <c r="D102" s="189" t="str">
        <v/>
      </c>
    </row>
    <row r="103" spans="1:11" ht="36" customHeight="1" thickBot="1">
      <c r="A103" s="177">
        <v>0</v>
      </c>
      <c r="B103" s="188" t="s">
        <v>205</v>
      </c>
      <c r="D103" s="189" t="str">
        <v/>
      </c>
    </row>
    <row r="104" spans="1:11" ht="36" customHeight="1" thickBot="1">
      <c r="A104" s="177">
        <v>0</v>
      </c>
      <c r="B104" s="188" t="s">
        <v>205</v>
      </c>
      <c r="D104" s="189" t="str">
        <v/>
      </c>
      <c r="G104" s="4" t="s">
        <v>108</v>
      </c>
      <c r="H104" s="220"/>
      <c r="I104" s="220"/>
      <c r="J104" s="220"/>
      <c r="K104" s="220"/>
    </row>
    <row r="105" spans="1:11" ht="18.75" thickBot="1">
      <c r="A105" s="180">
        <f ca="1">TODAY()</f>
        <v>46155</v>
      </c>
      <c r="B105" s="186" t="s">
        <v>203</v>
      </c>
      <c r="C105" s="187">
        <f>A!$AW$13+1</f>
        <v>5</v>
      </c>
      <c r="D105" s="186" t="s">
        <v>144</v>
      </c>
      <c r="E105" s="187">
        <f>B!$C$4</f>
        <v>335</v>
      </c>
      <c r="F105" s="186" t="s">
        <v>218</v>
      </c>
      <c r="G105" s="30"/>
      <c r="H105" s="242">
        <f>Team14Name</f>
        <v>0</v>
      </c>
      <c r="I105" s="242"/>
      <c r="J105" s="242"/>
      <c r="K105" s="242"/>
    </row>
    <row r="106" spans="1:11" ht="18">
      <c r="A106" s="211" t="s">
        <v>249</v>
      </c>
      <c r="B106" s="212" t="s">
        <v>2</v>
      </c>
      <c r="C106" s="213"/>
      <c r="D106" s="212" t="str">
        <f>IF(C105&gt;=B!$C$8*0.5,"Remaining","")</f>
        <v/>
      </c>
      <c r="E106" s="213"/>
      <c r="F106" s="214"/>
      <c r="G106" s="214"/>
      <c r="H106" s="212" t="s">
        <v>97</v>
      </c>
      <c r="I106" s="214"/>
      <c r="J106" s="214"/>
      <c r="K106" s="214"/>
    </row>
    <row r="107" spans="1:11" ht="18.75" thickBot="1">
      <c r="A107" s="215" t="s">
        <v>250</v>
      </c>
      <c r="B107" s="216" t="s">
        <v>139</v>
      </c>
      <c r="C107" s="217"/>
      <c r="D107" s="216" t="str">
        <f>IF(C105&gt;=B!$C$8*0.5,"Dues","")</f>
        <v/>
      </c>
      <c r="E107" s="217"/>
      <c r="F107" s="218"/>
      <c r="G107" s="219"/>
      <c r="H107" s="216" t="s">
        <v>139</v>
      </c>
      <c r="I107" s="219"/>
      <c r="J107" s="219"/>
      <c r="K107" s="219"/>
    </row>
    <row r="108" spans="1:11" ht="36" customHeight="1" thickBot="1">
      <c r="A108" s="177">
        <f t="array" ref="A108:A112">IF(ISBLANK(Team14Players),"Empty",Team14Players)</f>
        <v>0</v>
      </c>
      <c r="B108" s="188" t="s">
        <v>205</v>
      </c>
      <c r="D108" s="189" t="str">
        <f t="array" ref="D108:D112">IF(C105&gt;=B!$C$8*0.5,Team14Due,"")</f>
        <v/>
      </c>
      <c r="H108" s="188" t="s">
        <v>205</v>
      </c>
    </row>
    <row r="109" spans="1:11" ht="36" customHeight="1" thickBot="1">
      <c r="A109" s="177">
        <v>0</v>
      </c>
      <c r="B109" s="188" t="s">
        <v>205</v>
      </c>
      <c r="D109" s="189" t="str">
        <v/>
      </c>
    </row>
    <row r="110" spans="1:11" ht="36" customHeight="1" thickBot="1">
      <c r="A110" s="177">
        <v>0</v>
      </c>
      <c r="B110" s="188" t="s">
        <v>205</v>
      </c>
      <c r="D110" s="189" t="str">
        <v/>
      </c>
    </row>
    <row r="111" spans="1:11" ht="36" customHeight="1" thickBot="1">
      <c r="A111" s="177">
        <v>0</v>
      </c>
      <c r="B111" s="188" t="s">
        <v>205</v>
      </c>
      <c r="D111" s="189" t="str">
        <v/>
      </c>
    </row>
    <row r="112" spans="1:11" ht="36" customHeight="1" thickBot="1">
      <c r="A112" s="177">
        <v>0</v>
      </c>
      <c r="B112" s="188" t="s">
        <v>205</v>
      </c>
      <c r="D112" s="189" t="str">
        <v/>
      </c>
      <c r="G112" s="4" t="s">
        <v>108</v>
      </c>
      <c r="H112" s="220"/>
      <c r="I112" s="220"/>
      <c r="J112" s="220"/>
      <c r="K112" s="220"/>
    </row>
    <row r="113" spans="1:11" ht="18.75" thickBot="1">
      <c r="A113" s="180">
        <f ca="1">TODAY()</f>
        <v>46155</v>
      </c>
      <c r="B113" s="186" t="s">
        <v>203</v>
      </c>
      <c r="C113" s="187">
        <f>A!$AW$13+1</f>
        <v>5</v>
      </c>
      <c r="D113" s="186" t="s">
        <v>144</v>
      </c>
      <c r="E113" s="187">
        <f>B!$C$4</f>
        <v>335</v>
      </c>
      <c r="F113" s="186" t="s">
        <v>219</v>
      </c>
      <c r="G113" s="30"/>
      <c r="H113" s="242">
        <f>Team15Name</f>
        <v>0</v>
      </c>
      <c r="I113" s="242"/>
      <c r="J113" s="242"/>
      <c r="K113" s="242"/>
    </row>
    <row r="114" spans="1:11" ht="18">
      <c r="A114" s="211" t="s">
        <v>249</v>
      </c>
      <c r="B114" s="212" t="s">
        <v>2</v>
      </c>
      <c r="C114" s="213"/>
      <c r="D114" s="212" t="str">
        <f>IF(C113&gt;=B!$C$8*0.5,"Remaining","")</f>
        <v/>
      </c>
      <c r="E114" s="213"/>
      <c r="F114" s="214"/>
      <c r="G114" s="214"/>
      <c r="H114" s="212" t="s">
        <v>97</v>
      </c>
      <c r="I114" s="214"/>
      <c r="J114" s="214"/>
      <c r="K114" s="214"/>
    </row>
    <row r="115" spans="1:11" ht="18.75" thickBot="1">
      <c r="A115" s="215" t="s">
        <v>250</v>
      </c>
      <c r="B115" s="216" t="s">
        <v>139</v>
      </c>
      <c r="C115" s="217"/>
      <c r="D115" s="216" t="str">
        <f>IF(C113&gt;=B!$C$8*0.5,"Dues","")</f>
        <v/>
      </c>
      <c r="E115" s="217"/>
      <c r="F115" s="218"/>
      <c r="G115" s="219"/>
      <c r="H115" s="216" t="s">
        <v>139</v>
      </c>
      <c r="I115" s="219"/>
      <c r="J115" s="219"/>
      <c r="K115" s="219"/>
    </row>
    <row r="116" spans="1:11" ht="36" customHeight="1" thickBot="1">
      <c r="A116" s="177">
        <f t="array" ref="A116:A120">IF(ISBLANK(Team15Players),"Empty",Team15Players)</f>
        <v>0</v>
      </c>
      <c r="B116" s="188" t="s">
        <v>205</v>
      </c>
      <c r="D116" s="189" t="str">
        <f t="array" ref="D116:D120">IF(C113&gt;=B!$C$8*0.5,Team15Due,"")</f>
        <v/>
      </c>
      <c r="H116" s="188" t="s">
        <v>205</v>
      </c>
    </row>
    <row r="117" spans="1:11" ht="36" customHeight="1" thickBot="1">
      <c r="A117" s="177">
        <v>0</v>
      </c>
      <c r="B117" s="188" t="s">
        <v>205</v>
      </c>
      <c r="D117" s="189" t="str">
        <v/>
      </c>
    </row>
    <row r="118" spans="1:11" ht="36" customHeight="1" thickBot="1">
      <c r="A118" s="177">
        <v>0</v>
      </c>
      <c r="B118" s="188" t="s">
        <v>205</v>
      </c>
      <c r="D118" s="189" t="str">
        <v/>
      </c>
    </row>
    <row r="119" spans="1:11" ht="36" customHeight="1" thickBot="1">
      <c r="A119" s="177">
        <v>0</v>
      </c>
      <c r="B119" s="188" t="s">
        <v>205</v>
      </c>
      <c r="D119" s="189" t="str">
        <v/>
      </c>
    </row>
    <row r="120" spans="1:11" ht="36" customHeight="1" thickBot="1">
      <c r="A120" s="177">
        <v>0</v>
      </c>
      <c r="B120" s="188" t="s">
        <v>205</v>
      </c>
      <c r="D120" s="189" t="str">
        <v/>
      </c>
      <c r="G120" s="4" t="s">
        <v>108</v>
      </c>
      <c r="H120" s="220"/>
      <c r="I120" s="220"/>
      <c r="J120" s="220"/>
      <c r="K120" s="220"/>
    </row>
    <row r="121" spans="1:11" ht="18.75" thickBot="1">
      <c r="A121" s="180">
        <f ca="1">TODAY()</f>
        <v>46155</v>
      </c>
      <c r="B121" s="186" t="s">
        <v>203</v>
      </c>
      <c r="C121" s="187">
        <f>A!$AW$13+1</f>
        <v>5</v>
      </c>
      <c r="D121" s="186" t="s">
        <v>144</v>
      </c>
      <c r="E121" s="187">
        <f>B!$C$4</f>
        <v>335</v>
      </c>
      <c r="F121" s="186" t="s">
        <v>220</v>
      </c>
      <c r="G121" s="30"/>
      <c r="H121" s="242">
        <f>Team16Name</f>
        <v>0</v>
      </c>
      <c r="I121" s="242"/>
      <c r="J121" s="242"/>
      <c r="K121" s="242"/>
    </row>
    <row r="122" spans="1:11" ht="18">
      <c r="A122" s="211" t="s">
        <v>249</v>
      </c>
      <c r="B122" s="212" t="s">
        <v>2</v>
      </c>
      <c r="C122" s="213"/>
      <c r="D122" s="212" t="str">
        <f>IF(C121&gt;=B!$C$8*0.5,"Remaining","")</f>
        <v/>
      </c>
      <c r="E122" s="213"/>
      <c r="F122" s="214"/>
      <c r="G122" s="214"/>
      <c r="H122" s="212" t="s">
        <v>97</v>
      </c>
      <c r="I122" s="214"/>
      <c r="J122" s="214"/>
      <c r="K122" s="214"/>
    </row>
    <row r="123" spans="1:11" ht="18.75" thickBot="1">
      <c r="A123" s="215" t="s">
        <v>250</v>
      </c>
      <c r="B123" s="216" t="s">
        <v>139</v>
      </c>
      <c r="C123" s="217"/>
      <c r="D123" s="216" t="str">
        <f>IF(C121&gt;=B!$C$8*0.5,"Dues","")</f>
        <v/>
      </c>
      <c r="E123" s="217"/>
      <c r="F123" s="218"/>
      <c r="G123" s="219"/>
      <c r="H123" s="216" t="s">
        <v>139</v>
      </c>
      <c r="I123" s="219"/>
      <c r="J123" s="219"/>
      <c r="K123" s="219"/>
    </row>
    <row r="124" spans="1:11" ht="36" customHeight="1" thickBot="1">
      <c r="A124" s="177">
        <f t="array" ref="A124:A128">IF(ISBLANK(Team16Players),"Empty",Team16Players)</f>
        <v>0</v>
      </c>
      <c r="B124" s="188" t="s">
        <v>205</v>
      </c>
      <c r="D124" s="189" t="str">
        <f t="array" ref="D124:D128">IF(C121&gt;=B!$C$8*0.5,Team16Due,"")</f>
        <v/>
      </c>
      <c r="H124" s="188" t="s">
        <v>205</v>
      </c>
    </row>
    <row r="125" spans="1:11" ht="36" customHeight="1" thickBot="1">
      <c r="A125" s="177">
        <v>0</v>
      </c>
      <c r="B125" s="188" t="s">
        <v>205</v>
      </c>
      <c r="D125" s="189" t="str">
        <v/>
      </c>
    </row>
    <row r="126" spans="1:11" ht="36" customHeight="1" thickBot="1">
      <c r="A126" s="177">
        <v>0</v>
      </c>
      <c r="B126" s="188" t="s">
        <v>205</v>
      </c>
      <c r="D126" s="189" t="str">
        <v/>
      </c>
    </row>
    <row r="127" spans="1:11" ht="36" customHeight="1" thickBot="1">
      <c r="A127" s="177">
        <v>0</v>
      </c>
      <c r="B127" s="188" t="s">
        <v>205</v>
      </c>
      <c r="D127" s="189" t="str">
        <v/>
      </c>
    </row>
    <row r="128" spans="1:11" ht="36" customHeight="1" thickBot="1">
      <c r="A128" s="177">
        <v>0</v>
      </c>
      <c r="B128" s="188" t="s">
        <v>205</v>
      </c>
      <c r="D128" s="189" t="str">
        <v/>
      </c>
      <c r="G128" s="4" t="s">
        <v>108</v>
      </c>
      <c r="H128" s="220"/>
      <c r="I128" s="220"/>
      <c r="J128" s="220"/>
      <c r="K128" s="220"/>
    </row>
    <row r="129" spans="1:11" ht="18.75" thickBot="1">
      <c r="A129" s="180">
        <f ca="1">TODAY()</f>
        <v>46155</v>
      </c>
      <c r="B129" s="186" t="s">
        <v>203</v>
      </c>
      <c r="C129" s="187">
        <f>A!$AW$13+1</f>
        <v>5</v>
      </c>
      <c r="D129" s="186" t="s">
        <v>144</v>
      </c>
      <c r="E129" s="187">
        <f>B!$C$4</f>
        <v>335</v>
      </c>
      <c r="F129" s="186" t="s">
        <v>221</v>
      </c>
      <c r="G129" s="30"/>
      <c r="H129" s="242">
        <f>Team17Name</f>
        <v>0</v>
      </c>
      <c r="I129" s="242"/>
      <c r="J129" s="242"/>
      <c r="K129" s="242"/>
    </row>
    <row r="130" spans="1:11" ht="18">
      <c r="A130" s="211" t="s">
        <v>249</v>
      </c>
      <c r="B130" s="212" t="s">
        <v>2</v>
      </c>
      <c r="C130" s="213"/>
      <c r="D130" s="212" t="str">
        <f>IF(C129&gt;=B!$C$8*0.5,"Remaining","")</f>
        <v/>
      </c>
      <c r="E130" s="213"/>
      <c r="F130" s="214"/>
      <c r="G130" s="214"/>
      <c r="H130" s="212" t="s">
        <v>97</v>
      </c>
      <c r="I130" s="214"/>
      <c r="J130" s="214"/>
      <c r="K130" s="214"/>
    </row>
    <row r="131" spans="1:11" ht="18.75" thickBot="1">
      <c r="A131" s="215" t="s">
        <v>250</v>
      </c>
      <c r="B131" s="216" t="s">
        <v>139</v>
      </c>
      <c r="C131" s="217"/>
      <c r="D131" s="216" t="str">
        <f>IF(C129&gt;=B!$C$8*0.5,"Dues","")</f>
        <v/>
      </c>
      <c r="E131" s="217"/>
      <c r="F131" s="218"/>
      <c r="G131" s="219"/>
      <c r="H131" s="216" t="s">
        <v>139</v>
      </c>
      <c r="I131" s="219"/>
      <c r="J131" s="219"/>
      <c r="K131" s="219"/>
    </row>
    <row r="132" spans="1:11" ht="36" customHeight="1" thickBot="1">
      <c r="A132" s="177">
        <f t="array" ref="A132:A136">IF(ISBLANK(Team17Players),"Empty",Team17Players)</f>
        <v>0</v>
      </c>
      <c r="B132" s="188" t="s">
        <v>205</v>
      </c>
      <c r="D132" s="189" t="str">
        <f t="array" ref="D132:D136">IF(C129&gt;=B!$C$8*0.5,Team17Due,"")</f>
        <v/>
      </c>
      <c r="H132" s="188" t="s">
        <v>205</v>
      </c>
    </row>
    <row r="133" spans="1:11" ht="36" customHeight="1" thickBot="1">
      <c r="A133" s="177">
        <v>0</v>
      </c>
      <c r="B133" s="188" t="s">
        <v>205</v>
      </c>
      <c r="D133" s="189" t="str">
        <v/>
      </c>
    </row>
    <row r="134" spans="1:11" ht="36" customHeight="1" thickBot="1">
      <c r="A134" s="177">
        <v>0</v>
      </c>
      <c r="B134" s="188" t="s">
        <v>205</v>
      </c>
      <c r="D134" s="189" t="str">
        <v/>
      </c>
    </row>
    <row r="135" spans="1:11" ht="36" customHeight="1" thickBot="1">
      <c r="A135" s="177">
        <v>0</v>
      </c>
      <c r="B135" s="188" t="s">
        <v>205</v>
      </c>
      <c r="D135" s="189" t="str">
        <v/>
      </c>
    </row>
    <row r="136" spans="1:11" ht="36" customHeight="1" thickBot="1">
      <c r="A136" s="177">
        <v>0</v>
      </c>
      <c r="B136" s="188" t="s">
        <v>205</v>
      </c>
      <c r="D136" s="189" t="str">
        <v/>
      </c>
      <c r="G136" s="4" t="s">
        <v>108</v>
      </c>
      <c r="H136" s="220"/>
      <c r="I136" s="220"/>
      <c r="J136" s="220"/>
      <c r="K136" s="220"/>
    </row>
    <row r="137" spans="1:11" ht="18.75" thickBot="1">
      <c r="A137" s="180">
        <f ca="1">TODAY()</f>
        <v>46155</v>
      </c>
      <c r="B137" s="186" t="s">
        <v>203</v>
      </c>
      <c r="C137" s="187">
        <f>A!$AW$13+1</f>
        <v>5</v>
      </c>
      <c r="D137" s="186" t="s">
        <v>144</v>
      </c>
      <c r="E137" s="187">
        <f>B!$C$4</f>
        <v>335</v>
      </c>
      <c r="F137" s="186" t="s">
        <v>222</v>
      </c>
      <c r="G137" s="30"/>
      <c r="H137" s="242">
        <f>Team18Name</f>
        <v>0</v>
      </c>
      <c r="I137" s="242"/>
      <c r="J137" s="242"/>
      <c r="K137" s="242"/>
    </row>
    <row r="138" spans="1:11" ht="18">
      <c r="A138" s="211" t="s">
        <v>249</v>
      </c>
      <c r="B138" s="212" t="s">
        <v>2</v>
      </c>
      <c r="C138" s="213"/>
      <c r="D138" s="212" t="str">
        <f>IF(C137&gt;=B!$C$8*0.5,"Remaining","")</f>
        <v/>
      </c>
      <c r="E138" s="213"/>
      <c r="F138" s="214"/>
      <c r="G138" s="214"/>
      <c r="H138" s="212" t="s">
        <v>97</v>
      </c>
      <c r="I138" s="214"/>
      <c r="J138" s="214"/>
      <c r="K138" s="214"/>
    </row>
    <row r="139" spans="1:11" ht="18.75" thickBot="1">
      <c r="A139" s="215" t="s">
        <v>250</v>
      </c>
      <c r="B139" s="216" t="s">
        <v>139</v>
      </c>
      <c r="C139" s="217"/>
      <c r="D139" s="216" t="str">
        <f>IF(C137&gt;=B!$C$8*0.5,"Dues","")</f>
        <v/>
      </c>
      <c r="E139" s="217"/>
      <c r="F139" s="218"/>
      <c r="G139" s="219"/>
      <c r="H139" s="216" t="s">
        <v>139</v>
      </c>
      <c r="I139" s="219"/>
      <c r="J139" s="219"/>
      <c r="K139" s="219"/>
    </row>
    <row r="140" spans="1:11" ht="36" customHeight="1" thickBot="1">
      <c r="A140" s="177">
        <f t="array" ref="A140:A144">IF(ISBLANK(Team18Players),"Empty",Team18Players)</f>
        <v>0</v>
      </c>
      <c r="B140" s="188" t="s">
        <v>205</v>
      </c>
      <c r="D140" s="189" t="str">
        <f t="array" ref="D140:D144">IF(C137&gt;=B!$C$8*0.5,Team18Due,"")</f>
        <v/>
      </c>
      <c r="H140" s="188" t="s">
        <v>205</v>
      </c>
    </row>
    <row r="141" spans="1:11" ht="36" customHeight="1" thickBot="1">
      <c r="A141" s="177">
        <v>0</v>
      </c>
      <c r="B141" s="188" t="s">
        <v>205</v>
      </c>
      <c r="D141" s="189" t="str">
        <v/>
      </c>
    </row>
    <row r="142" spans="1:11" ht="36" customHeight="1" thickBot="1">
      <c r="A142" s="177">
        <v>0</v>
      </c>
      <c r="B142" s="188" t="s">
        <v>205</v>
      </c>
      <c r="D142" s="189" t="str">
        <v/>
      </c>
    </row>
    <row r="143" spans="1:11" ht="36" customHeight="1" thickBot="1">
      <c r="A143" s="177">
        <v>0</v>
      </c>
      <c r="B143" s="188" t="s">
        <v>205</v>
      </c>
      <c r="D143" s="189" t="str">
        <v/>
      </c>
    </row>
    <row r="144" spans="1:11" ht="36" customHeight="1" thickBot="1">
      <c r="A144" s="177">
        <v>0</v>
      </c>
      <c r="B144" s="188" t="s">
        <v>205</v>
      </c>
      <c r="D144" s="189" t="str">
        <v/>
      </c>
      <c r="G144" s="4" t="s">
        <v>108</v>
      </c>
      <c r="H144" s="220"/>
      <c r="I144" s="220"/>
      <c r="J144" s="220"/>
      <c r="K144" s="220"/>
    </row>
    <row r="145" spans="1:11" ht="18.75" thickBot="1">
      <c r="A145" s="180">
        <f ca="1">TODAY()</f>
        <v>46155</v>
      </c>
      <c r="B145" s="186" t="s">
        <v>203</v>
      </c>
      <c r="C145" s="187">
        <f>A!$AW$13+1</f>
        <v>5</v>
      </c>
      <c r="D145" s="186" t="s">
        <v>144</v>
      </c>
      <c r="E145" s="187">
        <f>B!$C$4</f>
        <v>335</v>
      </c>
      <c r="F145" s="186" t="s">
        <v>223</v>
      </c>
      <c r="G145" s="30"/>
      <c r="H145" s="242">
        <f>Team19Name</f>
        <v>0</v>
      </c>
      <c r="I145" s="242"/>
      <c r="J145" s="242"/>
      <c r="K145" s="242"/>
    </row>
    <row r="146" spans="1:11" ht="18">
      <c r="A146" s="211" t="s">
        <v>249</v>
      </c>
      <c r="B146" s="212" t="s">
        <v>2</v>
      </c>
      <c r="C146" s="213"/>
      <c r="D146" s="212" t="str">
        <f>IF(C145&gt;=B!$C$8*0.5,"Remaining","")</f>
        <v/>
      </c>
      <c r="E146" s="213"/>
      <c r="F146" s="214"/>
      <c r="G146" s="214"/>
      <c r="H146" s="212" t="s">
        <v>97</v>
      </c>
      <c r="I146" s="214"/>
      <c r="J146" s="214"/>
      <c r="K146" s="214"/>
    </row>
    <row r="147" spans="1:11" ht="18.75" thickBot="1">
      <c r="A147" s="215" t="s">
        <v>250</v>
      </c>
      <c r="B147" s="216" t="s">
        <v>139</v>
      </c>
      <c r="C147" s="217"/>
      <c r="D147" s="216" t="str">
        <f>IF(C145&gt;=B!$C$8*0.5,"Dues","")</f>
        <v/>
      </c>
      <c r="E147" s="217"/>
      <c r="F147" s="218"/>
      <c r="G147" s="219"/>
      <c r="H147" s="216" t="s">
        <v>139</v>
      </c>
      <c r="I147" s="219"/>
      <c r="J147" s="219"/>
      <c r="K147" s="219"/>
    </row>
    <row r="148" spans="1:11" ht="36" customHeight="1" thickBot="1">
      <c r="A148" s="177">
        <f t="array" ref="A148:A152">IF(ISBLANK(Team19Players),"Empty",Team19Players)</f>
        <v>0</v>
      </c>
      <c r="B148" s="188" t="s">
        <v>205</v>
      </c>
      <c r="D148" s="189" t="str">
        <f t="array" ref="D148:D152">IF(C145&gt;=B!$C$8*0.5,Team19Due,"")</f>
        <v/>
      </c>
      <c r="H148" s="188" t="s">
        <v>205</v>
      </c>
    </row>
    <row r="149" spans="1:11" ht="36" customHeight="1" thickBot="1">
      <c r="A149" s="177">
        <v>0</v>
      </c>
      <c r="B149" s="188" t="s">
        <v>205</v>
      </c>
      <c r="D149" s="189" t="str">
        <v/>
      </c>
    </row>
    <row r="150" spans="1:11" ht="36" customHeight="1" thickBot="1">
      <c r="A150" s="177">
        <v>0</v>
      </c>
      <c r="B150" s="188" t="s">
        <v>205</v>
      </c>
      <c r="D150" s="189" t="str">
        <v/>
      </c>
    </row>
    <row r="151" spans="1:11" ht="36" customHeight="1" thickBot="1">
      <c r="A151" s="177">
        <v>0</v>
      </c>
      <c r="B151" s="188" t="s">
        <v>205</v>
      </c>
      <c r="D151" s="189" t="str">
        <v/>
      </c>
    </row>
    <row r="152" spans="1:11" ht="36" customHeight="1" thickBot="1">
      <c r="A152" s="177">
        <v>0</v>
      </c>
      <c r="B152" s="188" t="s">
        <v>205</v>
      </c>
      <c r="D152" s="189" t="str">
        <v/>
      </c>
      <c r="G152" s="4" t="s">
        <v>108</v>
      </c>
      <c r="H152" s="220"/>
      <c r="I152" s="220"/>
      <c r="J152" s="220"/>
      <c r="K152" s="220"/>
    </row>
    <row r="153" spans="1:11" ht="18.75" thickBot="1">
      <c r="A153" s="180">
        <f ca="1">TODAY()</f>
        <v>46155</v>
      </c>
      <c r="B153" s="186" t="s">
        <v>203</v>
      </c>
      <c r="C153" s="187">
        <f>A!$AW$13+1</f>
        <v>5</v>
      </c>
      <c r="D153" s="186" t="s">
        <v>144</v>
      </c>
      <c r="E153" s="187">
        <f>B!$C$4</f>
        <v>335</v>
      </c>
      <c r="F153" s="186" t="s">
        <v>224</v>
      </c>
      <c r="G153" s="30"/>
      <c r="H153" s="242">
        <f>Team20Name</f>
        <v>0</v>
      </c>
      <c r="I153" s="242"/>
      <c r="J153" s="242"/>
      <c r="K153" s="242"/>
    </row>
    <row r="154" spans="1:11" ht="18">
      <c r="A154" s="211" t="s">
        <v>249</v>
      </c>
      <c r="B154" s="212" t="s">
        <v>2</v>
      </c>
      <c r="C154" s="213"/>
      <c r="D154" s="212" t="str">
        <f>IF(C153&gt;=B!$C$8*0.5,"Remaining","")</f>
        <v/>
      </c>
      <c r="E154" s="213"/>
      <c r="F154" s="214"/>
      <c r="G154" s="214"/>
      <c r="H154" s="212" t="s">
        <v>97</v>
      </c>
      <c r="I154" s="214"/>
      <c r="J154" s="214"/>
      <c r="K154" s="214"/>
    </row>
    <row r="155" spans="1:11" ht="18.75" thickBot="1">
      <c r="A155" s="215" t="s">
        <v>250</v>
      </c>
      <c r="B155" s="216" t="s">
        <v>139</v>
      </c>
      <c r="C155" s="217"/>
      <c r="D155" s="216" t="str">
        <f>IF(C153&gt;=B!$C$8*0.5,"Dues","")</f>
        <v/>
      </c>
      <c r="E155" s="217"/>
      <c r="F155" s="218"/>
      <c r="G155" s="219"/>
      <c r="H155" s="216" t="s">
        <v>139</v>
      </c>
      <c r="I155" s="219"/>
      <c r="J155" s="219"/>
      <c r="K155" s="219"/>
    </row>
    <row r="156" spans="1:11" ht="36" customHeight="1" thickBot="1">
      <c r="A156" s="177">
        <f t="array" ref="A156:A160">IF(ISBLANK(Team20Players),"Empty",Team20Players)</f>
        <v>0</v>
      </c>
      <c r="B156" s="188" t="s">
        <v>205</v>
      </c>
      <c r="D156" s="189" t="str">
        <f t="array" ref="D156:D160">IF(C153&gt;=B!$C$8*0.5,Team20Due,"")</f>
        <v/>
      </c>
      <c r="H156" s="188" t="s">
        <v>205</v>
      </c>
    </row>
    <row r="157" spans="1:11" ht="36" customHeight="1" thickBot="1">
      <c r="A157" s="177">
        <v>0</v>
      </c>
      <c r="B157" s="188" t="s">
        <v>205</v>
      </c>
      <c r="D157" s="189" t="str">
        <v/>
      </c>
    </row>
    <row r="158" spans="1:11" ht="36" customHeight="1" thickBot="1">
      <c r="A158" s="177">
        <v>0</v>
      </c>
      <c r="B158" s="188" t="s">
        <v>205</v>
      </c>
      <c r="D158" s="189" t="str">
        <v/>
      </c>
    </row>
    <row r="159" spans="1:11" ht="36" customHeight="1" thickBot="1">
      <c r="A159" s="177">
        <v>0</v>
      </c>
      <c r="B159" s="188" t="s">
        <v>205</v>
      </c>
      <c r="D159" s="189" t="str">
        <v/>
      </c>
    </row>
    <row r="160" spans="1:11" ht="36" customHeight="1" thickBot="1">
      <c r="A160" s="177">
        <v>0</v>
      </c>
      <c r="B160" s="188" t="s">
        <v>205</v>
      </c>
      <c r="D160" s="189" t="str">
        <v/>
      </c>
      <c r="G160" s="4" t="s">
        <v>108</v>
      </c>
      <c r="H160" s="220"/>
      <c r="I160" s="220"/>
      <c r="J160" s="220"/>
      <c r="K160" s="220"/>
    </row>
  </sheetData>
  <sheetProtection sheet="1" objects="1" scenarios="1"/>
  <mergeCells count="20">
    <mergeCell ref="H1:K1"/>
    <mergeCell ref="H17:K17"/>
    <mergeCell ref="H9:K9"/>
    <mergeCell ref="H153:K153"/>
    <mergeCell ref="H145:K145"/>
    <mergeCell ref="H137:K137"/>
    <mergeCell ref="H129:K129"/>
    <mergeCell ref="H121:K121"/>
    <mergeCell ref="H113:K113"/>
    <mergeCell ref="H105:K105"/>
    <mergeCell ref="H25:K25"/>
    <mergeCell ref="H65:K65"/>
    <mergeCell ref="H57:K57"/>
    <mergeCell ref="H49:K49"/>
    <mergeCell ref="H41:K41"/>
    <mergeCell ref="H97:K97"/>
    <mergeCell ref="H89:K89"/>
    <mergeCell ref="H81:K81"/>
    <mergeCell ref="H73:K73"/>
    <mergeCell ref="H33:K33"/>
  </mergeCells>
  <phoneticPr fontId="15" type="noConversion"/>
  <pageMargins left="0.125" right="0.125" top="0.25" bottom="0.46" header="0.5" footer="0.5"/>
  <pageSetup paperSize="20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39A89-1F99-482B-8B4A-BF44881E7656}">
  <sheetPr codeName="Sheet29"/>
  <dimension ref="A3:L24"/>
  <sheetViews>
    <sheetView tabSelected="1" workbookViewId="0"/>
  </sheetViews>
  <sheetFormatPr defaultRowHeight="15"/>
  <cols>
    <col min="1" max="12" width="8.88671875" style="195" customWidth="1"/>
  </cols>
  <sheetData>
    <row r="3" spans="3:3" ht="25.5">
      <c r="C3" s="196" t="s">
        <v>225</v>
      </c>
    </row>
    <row r="24" spans="2:2">
      <c r="B24" s="195" t="s">
        <v>226</v>
      </c>
    </row>
  </sheetData>
  <phoneticPr fontId="1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tup_New_League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_Weekly_Scores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rint_Individual_Standing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rint_Team_Standings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int_Score_Sheets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Print_Money_Envelopes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rint_Money_Statement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126</vt:i4>
      </vt:variant>
    </vt:vector>
  </HeadingPairs>
  <TitlesOfParts>
    <vt:vector size="155" baseType="lpstr"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Team</vt:lpstr>
      <vt:lpstr>Ind</vt:lpstr>
      <vt:lpstr>Cash</vt:lpstr>
      <vt:lpstr>Env</vt:lpstr>
      <vt:lpstr>Menu</vt:lpstr>
      <vt:lpstr>Cash1</vt:lpstr>
      <vt:lpstr>Cash2</vt:lpstr>
      <vt:lpstr>CurrentSchedule</vt:lpstr>
      <vt:lpstr>Envelope10</vt:lpstr>
      <vt:lpstr>Envelope12</vt:lpstr>
      <vt:lpstr>Envelope14</vt:lpstr>
      <vt:lpstr>Envelope16</vt:lpstr>
      <vt:lpstr>Envelope18</vt:lpstr>
      <vt:lpstr>Envelope20</vt:lpstr>
      <vt:lpstr>Envelope4</vt:lpstr>
      <vt:lpstr>Envelope6</vt:lpstr>
      <vt:lpstr>Envelope8</vt:lpstr>
      <vt:lpstr>Handicap</vt:lpstr>
      <vt:lpstr>IndStats_Sorted</vt:lpstr>
      <vt:lpstr>IndStats_Unsorted</vt:lpstr>
      <vt:lpstr>LeagueOptions</vt:lpstr>
      <vt:lpstr>Sched_10</vt:lpstr>
      <vt:lpstr>Sched_10_Matches</vt:lpstr>
      <vt:lpstr>Sched_12</vt:lpstr>
      <vt:lpstr>Sched_12_Matches</vt:lpstr>
      <vt:lpstr>Sched_14</vt:lpstr>
      <vt:lpstr>Sched_14_Matches</vt:lpstr>
      <vt:lpstr>Sched_16</vt:lpstr>
      <vt:lpstr>Sched_16_Matches</vt:lpstr>
      <vt:lpstr>Sched_18</vt:lpstr>
      <vt:lpstr>Sched_18_Matches</vt:lpstr>
      <vt:lpstr>Sched_20</vt:lpstr>
      <vt:lpstr>Sched_20_Matches</vt:lpstr>
      <vt:lpstr>Sched_4</vt:lpstr>
      <vt:lpstr>Sched_4_Matches</vt:lpstr>
      <vt:lpstr>Sched_6</vt:lpstr>
      <vt:lpstr>Sched_6_Matches</vt:lpstr>
      <vt:lpstr>Sched_8</vt:lpstr>
      <vt:lpstr>Sched_8_Matches</vt:lpstr>
      <vt:lpstr>ScoreSheet10</vt:lpstr>
      <vt:lpstr>ScoreSheet12</vt:lpstr>
      <vt:lpstr>ScoreSheet14</vt:lpstr>
      <vt:lpstr>ScoreSheet16</vt:lpstr>
      <vt:lpstr>ScoreSheet18</vt:lpstr>
      <vt:lpstr>ScoreSheet20</vt:lpstr>
      <vt:lpstr>ScoreSheet4</vt:lpstr>
      <vt:lpstr>ScoreSheet6</vt:lpstr>
      <vt:lpstr>ScoreSheet8</vt:lpstr>
      <vt:lpstr>Team_Score</vt:lpstr>
      <vt:lpstr>Team10Average</vt:lpstr>
      <vt:lpstr>Team10Due</vt:lpstr>
      <vt:lpstr>Team10Name</vt:lpstr>
      <vt:lpstr>Team10Players</vt:lpstr>
      <vt:lpstr>Team11Average</vt:lpstr>
      <vt:lpstr>Team11Due</vt:lpstr>
      <vt:lpstr>Team11Name</vt:lpstr>
      <vt:lpstr>Team11Players</vt:lpstr>
      <vt:lpstr>Team12Average</vt:lpstr>
      <vt:lpstr>Team12Due</vt:lpstr>
      <vt:lpstr>Team12Name</vt:lpstr>
      <vt:lpstr>Team12Players</vt:lpstr>
      <vt:lpstr>Team13Average</vt:lpstr>
      <vt:lpstr>Team13Due</vt:lpstr>
      <vt:lpstr>Team13Name</vt:lpstr>
      <vt:lpstr>Team13Players</vt:lpstr>
      <vt:lpstr>Team14Average</vt:lpstr>
      <vt:lpstr>Team14Due</vt:lpstr>
      <vt:lpstr>Team14Name</vt:lpstr>
      <vt:lpstr>Team14Players</vt:lpstr>
      <vt:lpstr>Team15Average</vt:lpstr>
      <vt:lpstr>Team15Due</vt:lpstr>
      <vt:lpstr>Team15Name</vt:lpstr>
      <vt:lpstr>Team15Players</vt:lpstr>
      <vt:lpstr>Team16Average</vt:lpstr>
      <vt:lpstr>Team16Due</vt:lpstr>
      <vt:lpstr>Team16Name</vt:lpstr>
      <vt:lpstr>Team16Players</vt:lpstr>
      <vt:lpstr>Team17Average</vt:lpstr>
      <vt:lpstr>Team17Due</vt:lpstr>
      <vt:lpstr>Team17Name</vt:lpstr>
      <vt:lpstr>Team17Players</vt:lpstr>
      <vt:lpstr>Team18Average</vt:lpstr>
      <vt:lpstr>Team18Due</vt:lpstr>
      <vt:lpstr>Team18Name</vt:lpstr>
      <vt:lpstr>Team18Players</vt:lpstr>
      <vt:lpstr>Team19Average</vt:lpstr>
      <vt:lpstr>Team19Due</vt:lpstr>
      <vt:lpstr>Team19Name</vt:lpstr>
      <vt:lpstr>Team19Players</vt:lpstr>
      <vt:lpstr>Team1Average</vt:lpstr>
      <vt:lpstr>Team1Due</vt:lpstr>
      <vt:lpstr>Team1Name</vt:lpstr>
      <vt:lpstr>Team1Players</vt:lpstr>
      <vt:lpstr>Team20Average</vt:lpstr>
      <vt:lpstr>Team20Due</vt:lpstr>
      <vt:lpstr>Team20Name</vt:lpstr>
      <vt:lpstr>Team20Players</vt:lpstr>
      <vt:lpstr>Team2Average</vt:lpstr>
      <vt:lpstr>Team2Due</vt:lpstr>
      <vt:lpstr>Team2Name</vt:lpstr>
      <vt:lpstr>Team2Players</vt:lpstr>
      <vt:lpstr>Team3Average</vt:lpstr>
      <vt:lpstr>Team3Due</vt:lpstr>
      <vt:lpstr>Team3Name</vt:lpstr>
      <vt:lpstr>Team3Players</vt:lpstr>
      <vt:lpstr>Team4Average</vt:lpstr>
      <vt:lpstr>Team4Due</vt:lpstr>
      <vt:lpstr>Team4Name</vt:lpstr>
      <vt:lpstr>Team4Players</vt:lpstr>
      <vt:lpstr>Team5Average</vt:lpstr>
      <vt:lpstr>Team5Due</vt:lpstr>
      <vt:lpstr>Team5Name</vt:lpstr>
      <vt:lpstr>Team5Players</vt:lpstr>
      <vt:lpstr>Team6Average</vt:lpstr>
      <vt:lpstr>Team6Due</vt:lpstr>
      <vt:lpstr>Team6Name</vt:lpstr>
      <vt:lpstr>Team6Players</vt:lpstr>
      <vt:lpstr>Team7Average</vt:lpstr>
      <vt:lpstr>Team7Due</vt:lpstr>
      <vt:lpstr>Team7Name</vt:lpstr>
      <vt:lpstr>Team7Players</vt:lpstr>
      <vt:lpstr>Team8Average</vt:lpstr>
      <vt:lpstr>Team8Due</vt:lpstr>
      <vt:lpstr>Team8Name</vt:lpstr>
      <vt:lpstr>Team8Players</vt:lpstr>
      <vt:lpstr>Team9Average</vt:lpstr>
      <vt:lpstr>Team9Due</vt:lpstr>
      <vt:lpstr>Team9Name</vt:lpstr>
      <vt:lpstr>Team9Players</vt:lpstr>
      <vt:lpstr>TeamStats_Sorted</vt:lpstr>
      <vt:lpstr>TeamStats_Unsorted</vt:lpstr>
    </vt:vector>
  </TitlesOfParts>
  <Company>Javelin Joint Venture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rtnipcontrolcode:unrestricted|rtnipcontrolcodevm:rpogc035|rtnexportcontrolcountry:usa|rtnexportcontrolcode:otherinfo|rtnexportcontrolcodevm:piogcgtc5004</dc:subject>
  <dc:creator>Chris Chlup</dc:creator>
  <cp:lastModifiedBy>Chris Chlup</cp:lastModifiedBy>
  <cp:lastPrinted>2026-05-13T18:43:37Z</cp:lastPrinted>
  <dcterms:created xsi:type="dcterms:W3CDTF">2003-10-21T20:32:02Z</dcterms:created>
  <dcterms:modified xsi:type="dcterms:W3CDTF">2026-05-13T18:43:42Z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447dd6a-a4a1-440b-a6a3-9124ef1ee017_Enabled">
    <vt:lpwstr>true</vt:lpwstr>
  </property>
  <property fmtid="{D5CDD505-2E9C-101B-9397-08002B2CF9AE}" pid="3" name="MSIP_Label_4447dd6a-a4a1-440b-a6a3-9124ef1ee017_SetDate">
    <vt:lpwstr>2025-11-11T23:52:39Z</vt:lpwstr>
  </property>
  <property fmtid="{D5CDD505-2E9C-101B-9397-08002B2CF9AE}" pid="4" name="MSIP_Label_4447dd6a-a4a1-440b-a6a3-9124ef1ee017_Method">
    <vt:lpwstr>Standard</vt:lpwstr>
  </property>
  <property fmtid="{D5CDD505-2E9C-101B-9397-08002B2CF9AE}" pid="5" name="MSIP_Label_4447dd6a-a4a1-440b-a6a3-9124ef1ee017_Name">
    <vt:lpwstr>NO TECH DATA</vt:lpwstr>
  </property>
  <property fmtid="{D5CDD505-2E9C-101B-9397-08002B2CF9AE}" pid="6" name="MSIP_Label_4447dd6a-a4a1-440b-a6a3-9124ef1ee017_SiteId">
    <vt:lpwstr>7a18110d-ef9b-4274-acef-e62ab0fe28ed</vt:lpwstr>
  </property>
  <property fmtid="{D5CDD505-2E9C-101B-9397-08002B2CF9AE}" pid="7" name="MSIP_Label_4447dd6a-a4a1-440b-a6a3-9124ef1ee017_ActionId">
    <vt:lpwstr>2571a303-668f-4ba9-88eb-3824c578d955</vt:lpwstr>
  </property>
  <property fmtid="{D5CDD505-2E9C-101B-9397-08002B2CF9AE}" pid="8" name="MSIP_Label_4447dd6a-a4a1-440b-a6a3-9124ef1ee017_ContentBits">
    <vt:lpwstr>0</vt:lpwstr>
  </property>
  <property fmtid="{D5CDD505-2E9C-101B-9397-08002B2CF9AE}" pid="9" name="bjDocumentLabelXML">
    <vt:lpwstr>&lt;?xml version="1.0" encoding="us-ascii"?&gt;&lt;sisl xmlns:xsd="http://www.w3.org/2001/XMLSchema" xmlns:xsi="http://www.w3.org/2001/XMLSchema-instance" sislVersion="0" policy="cde53ac1-bf5f-4aae-9cf1-07509e23a4b0" origin="userSelected" xmlns="http://www.boldonj</vt:lpwstr>
  </property>
  <property fmtid="{D5CDD505-2E9C-101B-9397-08002B2CF9AE}" pid="10" name="bjDocumentLabelXML-0">
    <vt:lpwstr>ames.com/2008/01/sie/internal/label"&gt;&lt;element uid="dececbd6-da3b-46fe-8f00-f9d9deea2ee1" value="" /&gt;&lt;element uid="bba94c65-ac3d-4f34-b2e1-8de11ef6f01c" value="" /&gt;&lt;element uid="5a7c1d3c-72ce-436f-8e0f-5a13b827e20e" value="" /&gt;&lt;element uid="bc2b7c01-6db1-4</vt:lpwstr>
  </property>
  <property fmtid="{D5CDD505-2E9C-101B-9397-08002B2CF9AE}" pid="11" name="bjDocumentLabelXML-1">
    <vt:lpwstr>e7d-88d1-fc61674f86fd" value="" /&gt;&lt;element uid="c206d5fa-aee1-4f64-89d9-f81e4d7b3acc" value="" /&gt;&lt;/sisl&gt;</vt:lpwstr>
  </property>
  <property fmtid="{D5CDD505-2E9C-101B-9397-08002B2CF9AE}" pid="12" name="rtnipcontrolcode">
    <vt:lpwstr>unrestricted</vt:lpwstr>
  </property>
  <property fmtid="{D5CDD505-2E9C-101B-9397-08002B2CF9AE}" pid="13" name="rtnipcontrolcodevm">
    <vt:lpwstr>rpogc035</vt:lpwstr>
  </property>
  <property fmtid="{D5CDD505-2E9C-101B-9397-08002B2CF9AE}" pid="14" name="rtnexportcontrolcountry">
    <vt:lpwstr>usa</vt:lpwstr>
  </property>
  <property fmtid="{D5CDD505-2E9C-101B-9397-08002B2CF9AE}" pid="15" name="rtnexportcontrolcode">
    <vt:lpwstr>otherinfo</vt:lpwstr>
  </property>
  <property fmtid="{D5CDD505-2E9C-101B-9397-08002B2CF9AE}" pid="16" name="rtnexportcontrolcodevm">
    <vt:lpwstr>piogcgtc5004</vt:lpwstr>
  </property>
  <property fmtid="{D5CDD505-2E9C-101B-9397-08002B2CF9AE}" pid="17" name="bjLabelRefreshRequired">
    <vt:lpwstr>FileClassifier</vt:lpwstr>
  </property>
</Properties>
</file>