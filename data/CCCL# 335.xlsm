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drawings/drawing109.xml" ContentType="application/vnd.openxmlformats-officedocument.drawing+xml"/>
  <Override PartName="/xl/drawings/vmlDrawing1.vml" ContentType="application/vnd.openxmlformats-officedocument.vmlDrawing"/>
  <Override PartName="/xl/drawings/vmlDrawing18.vml" ContentType="application/vnd.openxmlformats-officedocument.vmlDrawing"/>
  <Override PartName="/xl/drawings/drawing137.xml" ContentType="application/vnd.openxmlformats-officedocument.drawing+xml"/>
  <Override PartName="/xl/drawings/drawing1.xml" ContentType="application/vnd.openxmlformats-officedocument.drawing+xml"/>
  <Override PartName="/xl/drawings/vmlDrawing12.vml" ContentType="application/vnd.openxmlformats-officedocument.vmlDrawing"/>
  <Override PartName="/xl/drawings/drawing103.xml" ContentType="application/vnd.openxmlformats-officedocument.drawing+xml"/>
  <Override PartName="/xl/drawings/vmlDrawing16.vml" ContentType="application/vnd.openxmlformats-officedocument.vmlDrawing"/>
  <Override PartName="/xl/drawings/drawing107.xml" ContentType="application/vnd.openxmlformats-officedocument.drawing+xml"/>
  <Override PartName="/xl/drawings/drawing113.xml" ContentType="application/vnd.openxmlformats-officedocument.drawing+xml"/>
  <Override PartName="/xl/drawings/vmlDrawing2.vml" ContentType="application/vnd.openxmlformats-officedocument.vmlDrawing"/>
  <Override PartName="/xl/drawings/vmlDrawing14.vml" ContentType="application/vnd.openxmlformats-officedocument.vmlDrawing"/>
  <Override PartName="/xl/drawings/drawing105.xml" ContentType="application/vnd.openxmlformats-officedocument.drawing+xml"/>
  <Override PartName="/xl/drawings/drawing131.xml" ContentType="application/vnd.openxmlformats-officedocument.drawing+xml"/>
  <Override PartName="/xl/drawings/vmlDrawing20.vml" ContentType="application/vnd.openxmlformats-officedocument.vmlDrawing"/>
  <Override PartName="/xl/drawings/vmlDrawing3.vml" ContentType="application/vnd.openxmlformats-officedocument.vmlDrawing"/>
  <Override PartName="/xl/drawings/drawing129.xml" ContentType="application/vnd.openxmlformats-officedocument.drawing+xml"/>
  <Override PartName="/xl/drawings/vmlDrawing21.vml" ContentType="application/vnd.openxmlformats-officedocument.vmlDrawing"/>
  <Override PartName="/xl/drawings/drawing115.xml" ContentType="application/vnd.openxmlformats-officedocument.drawing+xml"/>
  <Override PartName="/xl/drawings/vmlDrawing4.vml" ContentType="application/vnd.openxmlformats-officedocument.vmlDrawing"/>
  <Override PartName="/xl/drawings/drawing133.xml" ContentType="application/vnd.openxmlformats-officedocument.drawing+xml"/>
  <Override PartName="/xl/drawings/vmlDrawing22.vml" ContentType="application/vnd.openxmlformats-officedocument.vmlDrawing"/>
  <Override PartName="/xl/drawings/vmlDrawing5.vml" ContentType="application/vnd.openxmlformats-officedocument.vmlDrawing"/>
  <Override PartName="/xl/drawings/vmlDrawing10.vml" ContentType="application/vnd.openxmlformats-officedocument.vmlDrawing"/>
  <Override PartName="/xl/drawings/vmlDrawing9.vml" ContentType="application/vnd.openxmlformats-officedocument.vmlDrawing"/>
  <Override PartName="/xl/drawings/vmlDrawing19.vml" ContentType="application/vnd.openxmlformats-officedocument.vmlDrawing"/>
  <Override PartName="/xl/drawings/drawing111.xml" ContentType="application/vnd.openxmlformats-officedocument.drawing+xml"/>
  <Override PartName="/xl/drawings/vmlDrawing23.vml" ContentType="application/vnd.openxmlformats-officedocument.vmlDrawing"/>
  <Override PartName="/xl/drawings/drawing117.xml" ContentType="application/vnd.openxmlformats-officedocument.drawing+xml"/>
  <Override PartName="/xl/drawings/vmlDrawing6.vml" ContentType="application/vnd.openxmlformats-officedocument.vmlDrawing"/>
  <Override PartName="/xl/drawings/drawing135.xml" ContentType="application/vnd.openxmlformats-officedocument.drawing+xml"/>
  <Override PartName="/xl/drawings/vmlDrawing24.vml" ContentType="application/vnd.openxmlformats-officedocument.vmlDrawing"/>
  <Override PartName="/xl/drawings/vmlDrawing7.vml" ContentType="application/vnd.openxmlformats-officedocument.vmlDrawing"/>
  <Override PartName="/xl/drawings/vmlDrawing11.vml" ContentType="application/vnd.openxmlformats-officedocument.vmlDrawing"/>
  <Override PartName="/xl/drawings/drawing119.xml" ContentType="application/vnd.openxmlformats-officedocument.drawing+xml"/>
  <Override PartName="/xl/drawings/vmlDrawing8.vml" ContentType="application/vnd.openxmlformats-officedocument.vmlDrawing"/>
  <Override PartName="/xl/drawings/drawing121.xml" ContentType="application/vnd.openxmlformats-officedocument.drawing+xml"/>
  <Override PartName="/xl/drawings/drawing123.xml" ContentType="application/vnd.openxmlformats-officedocument.drawing+xml"/>
  <Override PartName="/xl/drawings/drawing125.xml" ContentType="application/vnd.openxmlformats-officedocument.drawing+xml"/>
  <Override PartName="/xl/drawings/vmlDrawing13.vml" ContentType="application/vnd.openxmlformats-officedocument.vmlDrawing"/>
  <Override PartName="/xl/drawings/drawing127.xml" ContentType="application/vnd.openxmlformats-officedocument.drawing+xml"/>
  <Override PartName="/xl/drawings/vmlDrawing15.vml" ContentType="application/vnd.openxmlformats-officedocument.vmlDrawing"/>
  <Override PartName="/xl/drawings/vmlDrawing17.vml" ContentType="application/vnd.openxmlformats-officedocument.vmlDrawing"/>
  <Override PartName="/xl/drawings/drawing139.xml" ContentType="application/vnd.openxmlformats-officedocument.drawing+xml"/>
  <Override PartName="/xl/drawings/drawing141.xml" ContentType="application/vnd.openxmlformats-officedocument.drawing+xml"/>
  <Override PartName="/xl/drawings/drawing143.xml" ContentType="application/vnd.openxmlformats-officedocument.drawing+xml"/>
  <Override PartName="/xl/drawings/drawing145.xml" ContentType="application/vnd.openxmlformats-officedocument.drawing+xml"/>
  <Override PartName="/xl/drawings/drawing147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76.xml" ContentType="application/vnd.ms-excel.controlproperties+xml"/>
  <Override PartName="/xl/ctrlProps/ctrlProps20.xml" ContentType="application/vnd.ms-excel.controlproperties+xml"/>
  <Override PartName="/xl/ctrlProps/ctrlProps46.xml" ContentType="application/vnd.ms-excel.controlproperties+xml"/>
  <Override PartName="/xl/ctrlProps/ctrlProps2.xml" ContentType="application/vnd.ms-excel.controlproperties+xml"/>
  <Override PartName="/xl/ctrlProps/ctrlProps77.xml" ContentType="application/vnd.ms-excel.controlproperties+xml"/>
  <Override PartName="/xl/ctrlProps/ctrlProps102.xml" ContentType="application/vnd.ms-excel.controlproperties+xml"/>
  <Override PartName="/xl/ctrlProps/ctrlProps21.xml" ContentType="application/vnd.ms-excel.controlproperties+xml"/>
  <Override PartName="/xl/ctrlProps/ctrlProps47.xml" ContentType="application/vnd.ms-excel.controlproperties+xml"/>
  <Override PartName="/xl/ctrlProps/ctrlProps3.xml" ContentType="application/vnd.ms-excel.controlproperties+xml"/>
  <Override PartName="/xl/ctrlProps/ctrlProps106.xml" ContentType="application/vnd.ms-excel.controlproperties+xml"/>
  <Override PartName="/xl/ctrlProps/ctrlProps25.xml" ContentType="application/vnd.ms-excel.controlproperties+xml"/>
  <Override PartName="/xl/ctrlProps/ctrlProps78.xml" ContentType="application/vnd.ms-excel.controlproperties+xml"/>
  <Override PartName="/xl/ctrlProps/ctrlProps40.xml" ContentType="application/vnd.ms-excel.controlproperties+xml"/>
  <Override PartName="/xl/ctrlProps/ctrlProps4.xml" ContentType="application/vnd.ms-excel.controlproperties+xml"/>
  <Override PartName="/xl/ctrlProps/ctrlProps101.xml" ContentType="application/vnd.ms-excel.controlproperties+xml"/>
  <Override PartName="/xl/ctrlProps/ctrlProps22.xml" ContentType="application/vnd.ms-excel.controlproperties+xml"/>
  <Override PartName="/xl/ctrlProps/ctrlProps24.xml" ContentType="application/vnd.ms-excel.controlproperties+xml"/>
  <Override PartName="/xl/ctrlProps/ctrlProps79.xml" ContentType="application/vnd.ms-excel.controlproperties+xml"/>
  <Override PartName="/xl/ctrlProps/ctrlProps41.xml" ContentType="application/vnd.ms-excel.controlproperties+xml"/>
  <Override PartName="/xl/ctrlProps/ctrlProps5.xml" ContentType="application/vnd.ms-excel.controlproperties+xml"/>
  <Override PartName="/xl/ctrlProps/ctrlProps100.xml" ContentType="application/vnd.ms-excel.controlproperties+xml"/>
  <Override PartName="/xl/ctrlProps/ctrlProps23.xml" ContentType="application/vnd.ms-excel.controlproperties+xml"/>
  <Override PartName="/xl/ctrlProps/ctrlProps42.xml" ContentType="application/vnd.ms-excel.controlproperties+xml"/>
  <Override PartName="/xl/ctrlProps/ctrlProps6.xml" ContentType="application/vnd.ms-excel.controlproperties+xml"/>
  <Override PartName="/xl/ctrlProps/ctrlProps43.xml" ContentType="application/vnd.ms-excel.controlproperties+xml"/>
  <Override PartName="/xl/ctrlProps/ctrlProps7.xml" ContentType="application/vnd.ms-excel.controlproperties+xml"/>
  <Override PartName="/xl/ctrlProps/ctrlProps154.xml" ContentType="application/vnd.ms-excel.controlproperties+xml"/>
  <Override PartName="/xl/ctrlProps/ctrlProps11.xml" ContentType="application/vnd.ms-excel.controlproperties+xml"/>
  <Override PartName="/xl/ctrlProps/ctrlProps8.xml" ContentType="application/vnd.ms-excel.controlproperties+xml"/>
  <Override PartName="/xl/ctrlProps/ctrlProps26.xml" ContentType="application/vnd.ms-excel.controlproperties+xml"/>
  <Override PartName="/xl/ctrlProps/ctrlProps10.xml" ContentType="application/vnd.ms-excel.controlproperties+xml"/>
  <Override PartName="/xl/ctrlProps/ctrlProps9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49.xml" ContentType="application/vnd.ms-excel.controlproperties+xml"/>
  <Override PartName="/xl/ctrlProps/ctrlProps151.xml" ContentType="application/vnd.ms-excel.controlproperties+xml"/>
  <Override PartName="/xl/ctrlProps/ctrlProps14.xml" ContentType="application/vnd.ms-excel.controlproperties+xml"/>
  <Override PartName="/xl/ctrlProps/ctrlProps48.xml" ContentType="application/vnd.ms-excel.controlproperties+xml"/>
  <Override PartName="/xl/ctrlProps/ctrlProps150.xml" ContentType="application/vnd.ms-excel.controlproperties+xml"/>
  <Override PartName="/xl/ctrlProps/ctrlProps15.xml" ContentType="application/vnd.ms-excel.controlproperties+xml"/>
  <Override PartName="/xl/ctrlProps/ctrlProps153.xml" ContentType="application/vnd.ms-excel.controlproperties+xml"/>
  <Override PartName="/xl/ctrlProps/ctrlProps16.xml" ContentType="application/vnd.ms-excel.controlproperties+xml"/>
  <Override PartName="/xl/ctrlProps/ctrlProps152.xml" ContentType="application/vnd.ms-excel.controlproperties+xml"/>
  <Override PartName="/xl/ctrlProps/ctrlProps17.xml" ContentType="application/vnd.ms-excel.controlproperties+xml"/>
  <Override PartName="/xl/ctrlProps/ctrlProps45.xml" ContentType="application/vnd.ms-excel.controlproperties+xml"/>
  <Override PartName="/xl/ctrlProps/ctrlProps18.xml" ContentType="application/vnd.ms-excel.controlproperties+xml"/>
  <Override PartName="/xl/ctrlProps/ctrlProps44.xml" ContentType="application/vnd.ms-excel.controlproperties+xml"/>
  <Override PartName="/xl/ctrlProps/ctrlProps19.xml" ContentType="application/vnd.ms-excel.controlproperties+xml"/>
  <Override PartName="/xl/ctrlProps/ctrlProps104.xml" ContentType="application/vnd.ms-excel.controlproperties+xml"/>
  <Override PartName="/xl/ctrlProps/ctrlProps27.xml" ContentType="application/vnd.ms-excel.controlproperties+xml"/>
  <Override PartName="/xl/ctrlProps/ctrlProps28.xml" ContentType="application/vnd.ms-excel.controlproperties+xml"/>
  <Override PartName="/xl/ctrlProps/ctrlProps29.xml" ContentType="application/vnd.ms-excel.controlproperties+xml"/>
  <Override PartName="/xl/ctrlProps/ctrlProps30.xml" ContentType="application/vnd.ms-excel.controlproperties+xml"/>
  <Override PartName="/xl/ctrlProps/ctrlProps31.xml" ContentType="application/vnd.ms-excel.controlproperties+xml"/>
  <Override PartName="/xl/ctrlProps/ctrlProps32.xml" ContentType="application/vnd.ms-excel.controlproperties+xml"/>
  <Override PartName="/xl/ctrlProps/ctrlProps33.xml" ContentType="application/vnd.ms-excel.controlproperties+xml"/>
  <Override PartName="/xl/ctrlProps/ctrlProps34.xml" ContentType="application/vnd.ms-excel.controlproperties+xml"/>
  <Override PartName="/xl/ctrlProps/ctrlProps35.xml" ContentType="application/vnd.ms-excel.controlproperties+xml"/>
  <Override PartName="/xl/ctrlProps/ctrlProps36.xml" ContentType="application/vnd.ms-excel.controlproperties+xml"/>
  <Override PartName="/xl/ctrlProps/ctrlProps37.xml" ContentType="application/vnd.ms-excel.controlproperties+xml"/>
  <Override PartName="/xl/ctrlProps/ctrlProps38.xml" ContentType="application/vnd.ms-excel.controlproperties+xml"/>
  <Override PartName="/xl/ctrlProps/ctrlProps39.xml" ContentType="application/vnd.ms-excel.controlproperties+xml"/>
  <Override PartName="/xl/ctrlProps/ctrlProps50.xml" ContentType="application/vnd.ms-excel.controlproperties+xml"/>
  <Override PartName="/xl/ctrlProps/ctrlProps51.xml" ContentType="application/vnd.ms-excel.controlproperties+xml"/>
  <Override PartName="/xl/ctrlProps/ctrlProps52.xml" ContentType="application/vnd.ms-excel.controlproperties+xml"/>
  <Override PartName="/xl/ctrlProps/ctrlProps53.xml" ContentType="application/vnd.ms-excel.controlproperties+xml"/>
  <Override PartName="/xl/ctrlProps/ctrlProps54.xml" ContentType="application/vnd.ms-excel.controlproperties+xml"/>
  <Override PartName="/xl/ctrlProps/ctrlProps55.xml" ContentType="application/vnd.ms-excel.controlproperties+xml"/>
  <Override PartName="/xl/ctrlProps/ctrlProps56.xml" ContentType="application/vnd.ms-excel.controlproperties+xml"/>
  <Override PartName="/xl/ctrlProps/ctrlProps57.xml" ContentType="application/vnd.ms-excel.controlproperties+xml"/>
  <Override PartName="/xl/ctrlProps/ctrlProps58.xml" ContentType="application/vnd.ms-excel.controlproperties+xml"/>
  <Override PartName="/xl/ctrlProps/ctrlProps59.xml" ContentType="application/vnd.ms-excel.controlproperties+xml"/>
  <Override PartName="/xl/ctrlProps/ctrlProps60.xml" ContentType="application/vnd.ms-excel.controlproperties+xml"/>
  <Override PartName="/xl/ctrlProps/ctrlProps142.xml" ContentType="application/vnd.ms-excel.controlproperties+xml"/>
  <Override PartName="/xl/ctrlProps/ctrlProps61.xml" ContentType="application/vnd.ms-excel.controlproperties+xml"/>
  <Override PartName="/xl/ctrlProps/ctrlProps62.xml" ContentType="application/vnd.ms-excel.controlproperties+xml"/>
  <Override PartName="/xl/ctrlProps/ctrlProps140.xml" ContentType="application/vnd.ms-excel.controlproperties+xml"/>
  <Override PartName="/xl/ctrlProps/ctrlProps63.xml" ContentType="application/vnd.ms-excel.controlproperties+xml"/>
  <Override PartName="/xl/ctrlProps/ctrlProps64.xml" ContentType="application/vnd.ms-excel.controlproperties+xml"/>
  <Override PartName="/xl/ctrlProps/ctrlProps146.xml" ContentType="application/vnd.ms-excel.controlproperties+xml"/>
  <Override PartName="/xl/ctrlProps/ctrlProps65.xml" ContentType="application/vnd.ms-excel.controlproperties+xml"/>
  <Override PartName="/xl/ctrlProps/ctrlProps66.xml" ContentType="application/vnd.ms-excel.controlproperties+xml"/>
  <Override PartName="/xl/ctrlProps/ctrlProps144.xml" ContentType="application/vnd.ms-excel.controlproperties+xml"/>
  <Override PartName="/xl/ctrlProps/ctrlProps67.xml" ContentType="application/vnd.ms-excel.controlproperties+xml"/>
  <Override PartName="/xl/ctrlProps/ctrlProps68.xml" ContentType="application/vnd.ms-excel.controlproperties+xml"/>
  <Override PartName="/xl/ctrlProps/ctrlProps69.xml" ContentType="application/vnd.ms-excel.controlproperties+xml"/>
  <Override PartName="/xl/ctrlProps/ctrlProps70.xml" ContentType="application/vnd.ms-excel.controlproperties+xml"/>
  <Override PartName="/xl/ctrlProps/ctrlProps71.xml" ContentType="application/vnd.ms-excel.controlproperties+xml"/>
  <Override PartName="/xl/ctrlProps/ctrlProps72.xml" ContentType="application/vnd.ms-excel.controlproperties+xml"/>
  <Override PartName="/xl/ctrlProps/ctrlProps73.xml" ContentType="application/vnd.ms-excel.controlproperties+xml"/>
  <Override PartName="/xl/ctrlProps/ctrlProps74.xml" ContentType="application/vnd.ms-excel.controlproperties+xml"/>
  <Override PartName="/xl/ctrlProps/ctrlProps75.xml" ContentType="application/vnd.ms-excel.controlproperties+xml"/>
  <Override PartName="/xl/ctrlProps/ctrlProps80.xml" ContentType="application/vnd.ms-excel.controlproperties+xml"/>
  <Override PartName="/xl/ctrlProps/ctrlProps81.xml" ContentType="application/vnd.ms-excel.controlproperties+xml"/>
  <Override PartName="/xl/ctrlProps/ctrlProps82.xml" ContentType="application/vnd.ms-excel.controlproperties+xml"/>
  <Override PartName="/xl/ctrlProps/ctrlProps83.xml" ContentType="application/vnd.ms-excel.controlproperties+xml"/>
  <Override PartName="/xl/ctrlProps/ctrlProps84.xml" ContentType="application/vnd.ms-excel.controlproperties+xml"/>
  <Override PartName="/xl/ctrlProps/ctrlProps85.xml" ContentType="application/vnd.ms-excel.controlproperties+xml"/>
  <Override PartName="/xl/ctrlProps/ctrlProps86.xml" ContentType="application/vnd.ms-excel.controlproperties+xml"/>
  <Override PartName="/xl/ctrlProps/ctrlProps87.xml" ContentType="application/vnd.ms-excel.controlproperties+xml"/>
  <Override PartName="/xl/ctrlProps/ctrlProps88.xml" ContentType="application/vnd.ms-excel.controlproperties+xml"/>
  <Override PartName="/xl/ctrlProps/ctrlProps89.xml" ContentType="application/vnd.ms-excel.controlproperties+xml"/>
  <Override PartName="/xl/ctrlProps/ctrlProps90.xml" ContentType="application/vnd.ms-excel.controlproperties+xml"/>
  <Override PartName="/xl/ctrlProps/ctrlProps91.xml" ContentType="application/vnd.ms-excel.controlproperties+xml"/>
  <Override PartName="/xl/ctrlProps/ctrlProps92.xml" ContentType="application/vnd.ms-excel.controlproperties+xml"/>
  <Override PartName="/xl/ctrlProps/ctrlProps93.xml" ContentType="application/vnd.ms-excel.controlproperties+xml"/>
  <Override PartName="/xl/ctrlProps/ctrlProps94.xml" ContentType="application/vnd.ms-excel.controlproperties+xml"/>
  <Override PartName="/xl/ctrlProps/ctrlProps95.xml" ContentType="application/vnd.ms-excel.controlproperties+xml"/>
  <Override PartName="/xl/ctrlProps/ctrlProps96.xml" ContentType="application/vnd.ms-excel.controlproperties+xml"/>
  <Override PartName="/xl/ctrlProps/ctrlProps97.xml" ContentType="application/vnd.ms-excel.controlproperties+xml"/>
  <Override PartName="/xl/ctrlProps/ctrlProps98.xml" ContentType="application/vnd.ms-excel.controlproperties+xml"/>
  <Override PartName="/xl/ctrlProps/ctrlProps99.xml" ContentType="application/vnd.ms-excel.controlproperties+xml"/>
  <Override PartName="/xl/ctrlProps/ctrlProps108.xml" ContentType="application/vnd.ms-excel.controlproperties+xml"/>
  <Override PartName="/xl/ctrlProps/ctrlProps110.xml" ContentType="application/vnd.ms-excel.controlproperties+xml"/>
  <Override PartName="/xl/ctrlProps/ctrlProps112.xml" ContentType="application/vnd.ms-excel.controlproperties+xml"/>
  <Override PartName="/xl/ctrlProps/ctrlProps114.xml" ContentType="application/vnd.ms-excel.controlproperties+xml"/>
  <Override PartName="/xl/ctrlProps/ctrlProps116.xml" ContentType="application/vnd.ms-excel.controlproperties+xml"/>
  <Override PartName="/xl/ctrlProps/ctrlProps118.xml" ContentType="application/vnd.ms-excel.controlproperties+xml"/>
  <Override PartName="/xl/ctrlProps/ctrlProps120.xml" ContentType="application/vnd.ms-excel.controlproperties+xml"/>
  <Override PartName="/xl/ctrlProps/ctrlProps122.xml" ContentType="application/vnd.ms-excel.controlproperties+xml"/>
  <Override PartName="/xl/ctrlProps/ctrlProps124.xml" ContentType="application/vnd.ms-excel.controlproperties+xml"/>
  <Override PartName="/xl/ctrlProps/ctrlProps126.xml" ContentType="application/vnd.ms-excel.controlproperties+xml"/>
  <Override PartName="/xl/ctrlProps/ctrlProps128.xml" ContentType="application/vnd.ms-excel.controlproperties+xml"/>
  <Override PartName="/xl/ctrlProps/ctrlProps130.xml" ContentType="application/vnd.ms-excel.controlproperties+xml"/>
  <Override PartName="/xl/ctrlProps/ctrlProps132.xml" ContentType="application/vnd.ms-excel.controlproperties+xml"/>
  <Override PartName="/xl/ctrlProps/ctrlProps134.xml" ContentType="application/vnd.ms-excel.controlproperties+xml"/>
  <Override PartName="/xl/ctrlProps/ctrlProps136.xml" ContentType="application/vnd.ms-excel.controlproperties+xml"/>
  <Override PartName="/xl/ctrlProps/ctrlProps138.xml" ContentType="application/vnd.ms-excel.controlproperties+xml"/>
  <Override PartName="/xl/ctrlProps/ctrlProps148.xml" ContentType="application/vnd.ms-excel.controlproperties+xml"/>
  <Override PartName="/xl/ctrlProps/ctrlProps149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" sheetId="1" state="visible" r:id="rId4"/>
    <sheet name="B" sheetId="2" state="visible" r:id="rId5"/>
    <sheet name="C" sheetId="3" state="visible" r:id="rId6"/>
    <sheet name="D" sheetId="4" state="visible" r:id="rId7"/>
    <sheet name="E" sheetId="5" state="visible" r:id="rId8"/>
    <sheet name="F" sheetId="6" state="visible" r:id="rId9"/>
    <sheet name="G" sheetId="7" state="visible" r:id="rId10"/>
    <sheet name="H" sheetId="8" state="visible" r:id="rId11"/>
    <sheet name="I" sheetId="9" state="visible" r:id="rId12"/>
    <sheet name="J" sheetId="10" state="visible" r:id="rId13"/>
    <sheet name="K" sheetId="11" state="visible" r:id="rId14"/>
    <sheet name="L" sheetId="12" state="visible" r:id="rId15"/>
    <sheet name="M" sheetId="13" state="visible" r:id="rId16"/>
    <sheet name="N" sheetId="14" state="visible" r:id="rId17"/>
    <sheet name="O" sheetId="15" state="visible" r:id="rId18"/>
    <sheet name="P" sheetId="16" state="visible" r:id="rId19"/>
    <sheet name="Q" sheetId="17" state="visible" r:id="rId20"/>
    <sheet name="R" sheetId="18" state="visible" r:id="rId21"/>
    <sheet name="S" sheetId="19" state="visible" r:id="rId22"/>
    <sheet name="T" sheetId="20" state="visible" r:id="rId23"/>
    <sheet name="U" sheetId="21" state="visible" r:id="rId24"/>
    <sheet name="V" sheetId="22" state="visible" r:id="rId25"/>
    <sheet name="W" sheetId="23" state="visible" r:id="rId26"/>
    <sheet name="X" sheetId="24" state="visible" r:id="rId27"/>
    <sheet name="Team" sheetId="25" state="visible" r:id="rId28"/>
    <sheet name="Ind" sheetId="26" state="visible" r:id="rId29"/>
    <sheet name="Cash" sheetId="27" state="visible" r:id="rId30"/>
    <sheet name="Env" sheetId="28" state="visible" r:id="rId31"/>
    <sheet name="Menu" sheetId="29" state="visible" r:id="rId32"/>
  </sheets>
  <definedNames>
    <definedName function="false" hidden="false" name="Cash1" vbProcedure="false">Cash!$A$1:$AA$80</definedName>
    <definedName function="false" hidden="false" name="Cash2" vbProcedure="false">Cash!$A$1:$AA$160</definedName>
    <definedName function="false" hidden="false" name="CurrentSchedule" vbProcedure="false">B!$AB$687</definedName>
    <definedName function="false" hidden="false" name="Envelope10" vbProcedure="false">Env!$A$1:$K$80</definedName>
    <definedName function="false" hidden="false" name="Envelope12" vbProcedure="false">Env!$A$1:$K$96</definedName>
    <definedName function="false" hidden="false" name="Envelope14" vbProcedure="false">Env!$A$1:$K$112</definedName>
    <definedName function="false" hidden="false" name="Envelope16" vbProcedure="false">Env!$A$1:$K$128</definedName>
    <definedName function="false" hidden="false" name="Envelope18" vbProcedure="false">Env!$A$1:$K$144</definedName>
    <definedName function="false" hidden="false" name="Envelope20" vbProcedure="false">Env!$A$1:$K$160</definedName>
    <definedName function="false" hidden="false" name="Envelope4" vbProcedure="false">Env!$A$1:$K$32</definedName>
    <definedName function="false" hidden="false" name="Envelope6" vbProcedure="false">Env!$A$1:$K$48</definedName>
    <definedName function="false" hidden="false" name="Envelope8" vbProcedure="false">Env!$A$1:$K$64</definedName>
    <definedName function="false" hidden="false" name="Handicap" vbProcedure="false">B!$C$13</definedName>
    <definedName function="false" hidden="false" name="IndStats_Sorted" vbProcedure="false">A!$BA$5:$BC$281</definedName>
    <definedName function="false" hidden="false" name="IndStats_Unsorted" vbProcedure="false">A!$AX$5:$AZ$281</definedName>
    <definedName function="false" hidden="false" name="LeagueOptions" vbProcedure="false">B!$H$14:$H$17</definedName>
    <definedName function="false" hidden="false" name="Sched_10" vbProcedure="false">B!$AY$691:$BH$712</definedName>
    <definedName function="false" hidden="false" name="Sched_10_Matches" vbProcedure="false">B!$AY$689:$BH$689</definedName>
    <definedName function="false" hidden="false" name="Sched_12" vbProcedure="false">B!$BJ$691:$BU$712</definedName>
    <definedName function="false" hidden="false" name="Sched_12_Matches" vbProcedure="false">B!$BJ$689:$BU$689</definedName>
    <definedName function="false" hidden="false" name="Sched_14" vbProcedure="false">B!$BW$691:$CJ$712</definedName>
    <definedName function="false" hidden="false" name="Sched_14_Matches" vbProcedure="false">B!$BW$689:$CJ$689</definedName>
    <definedName function="false" hidden="false" name="Sched_16" vbProcedure="false">B!$CL$691:$DA$712</definedName>
    <definedName function="false" hidden="false" name="Sched_16_Matches" vbProcedure="false">B!$CL$689:$DA$689</definedName>
    <definedName function="false" hidden="false" name="Sched_18" vbProcedure="false">B!$DC$691:$DT$712</definedName>
    <definedName function="false" hidden="false" name="Sched_18_Matches" vbProcedure="false">B!$DC$689:$DT$689</definedName>
    <definedName function="false" hidden="false" name="Sched_20" vbProcedure="false">B!$DV$691:$EO$712</definedName>
    <definedName function="false" hidden="false" name="Sched_20_Matches" vbProcedure="false">B!$DV$689:$EO$689</definedName>
    <definedName function="false" hidden="false" name="Sched_4" vbProcedure="false">B!$AD$691:$AG$712</definedName>
    <definedName function="false" hidden="false" name="Sched_4_Matches" vbProcedure="false">B!$AD$689:$AG$689</definedName>
    <definedName function="false" hidden="false" name="Sched_6" vbProcedure="false">B!$AI$691:$AN$712</definedName>
    <definedName function="false" hidden="false" name="Sched_6_Matches" vbProcedure="false">B!$AI$689:$AN$689</definedName>
    <definedName function="false" hidden="false" name="Sched_8" vbProcedure="false">B!$AP$691:$AW$712</definedName>
    <definedName function="false" hidden="false" name="Sched_8_Matches" vbProcedure="false">B!$AP$689:$AW$689</definedName>
    <definedName function="false" hidden="false" name="ScoreSheet10" vbProcedure="false">B!$G$445:$Z$564</definedName>
    <definedName function="false" hidden="false" name="ScoreSheet12" vbProcedure="false">B!$G$445:$Z$588</definedName>
    <definedName function="false" hidden="false" name="ScoreSheet14" vbProcedure="false">B!$G$445:$Z$612</definedName>
    <definedName function="false" hidden="false" name="ScoreSheet16" vbProcedure="false">B!$G$445:$Z$636</definedName>
    <definedName function="false" hidden="false" name="ScoreSheet18" vbProcedure="false">B!$G$445:$Z$660</definedName>
    <definedName function="false" hidden="false" name="ScoreSheet20" vbProcedure="false">B!$G$445:$Z$684</definedName>
    <definedName function="false" hidden="false" name="ScoreSheet4" vbProcedure="false">B!$G$445:$Z$492</definedName>
    <definedName function="false" hidden="false" name="ScoreSheet6" vbProcedure="false">B!$G$445:$Z$516</definedName>
    <definedName function="false" hidden="false" name="ScoreSheet8" vbProcedure="false">B!$G$445:$Z$540</definedName>
    <definedName function="false" hidden="false" name="Team10Average" vbProcedure="false">A!$Y$139</definedName>
    <definedName function="false" hidden="false" name="Team10Due" vbProcedure="false">Cash!$AA$75:$AA$79</definedName>
    <definedName function="false" hidden="false" name="Team10Name" vbProcedure="false">B!$B$403</definedName>
    <definedName function="false" hidden="false" name="Team10Players" vbProcedure="false">B!$A$761:$A$765</definedName>
    <definedName function="false" hidden="false" name="Team11Average" vbProcedure="false">A!$Y$153</definedName>
    <definedName function="false" hidden="false" name="Team11Due" vbProcedure="false">Cash!$AA$83:$AA$87</definedName>
    <definedName function="false" hidden="false" name="Team11Name" vbProcedure="false">B!$E$16</definedName>
    <definedName function="false" hidden="false" name="Team11Players" vbProcedure="false">B!$A$767:$A$771</definedName>
    <definedName function="false" hidden="false" name="Team12Average" vbProcedure="false">A!$Y$167</definedName>
    <definedName function="false" hidden="false" name="Team12Due" vbProcedure="false">Cash!$AA$91:$AA$95</definedName>
    <definedName function="false" hidden="false" name="Team12Name" vbProcedure="false">B!$E$59</definedName>
    <definedName function="false" hidden="false" name="Team12Players" vbProcedure="false">B!$A$773:$A$777</definedName>
    <definedName function="false" hidden="false" name="Team13Average" vbProcedure="false">A!$Y$181</definedName>
    <definedName function="false" hidden="false" name="Team13Due" vbProcedure="false">Cash!$AA$99:$AA$103</definedName>
    <definedName function="false" hidden="false" name="Team13Name" vbProcedure="false">B!$E$102</definedName>
    <definedName function="false" hidden="false" name="Team13Players" vbProcedure="false">B!$A$779:$A$783</definedName>
    <definedName function="false" hidden="false" name="Team14Average" vbProcedure="false">A!$Y$195</definedName>
    <definedName function="false" hidden="false" name="Team14Due" vbProcedure="false">Cash!$AA$107:$AA$111</definedName>
    <definedName function="false" hidden="false" name="Team14Name" vbProcedure="false">B!$E$145</definedName>
    <definedName function="false" hidden="false" name="Team14Players" vbProcedure="false">B!$A$785:$A$789</definedName>
    <definedName function="false" hidden="false" name="Team15Average" vbProcedure="false">A!$Y$209</definedName>
    <definedName function="false" hidden="false" name="Team15Due" vbProcedure="false">Cash!$AA$115:$AA$119</definedName>
    <definedName function="false" hidden="false" name="Team15Name" vbProcedure="false">B!$E$188</definedName>
    <definedName function="false" hidden="false" name="Team15Players" vbProcedure="false">B!$A$791:$A$795</definedName>
    <definedName function="false" hidden="false" name="Team16Average" vbProcedure="false">A!$Y$223</definedName>
    <definedName function="false" hidden="false" name="Team16Due" vbProcedure="false">Cash!$AA$123:$AA$127</definedName>
    <definedName function="false" hidden="false" name="Team16Name" vbProcedure="false">B!$E$231</definedName>
    <definedName function="false" hidden="false" name="Team16Players" vbProcedure="false">B!$A$797:$A$801</definedName>
    <definedName function="false" hidden="false" name="Team17Average" vbProcedure="false">A!$Y$237</definedName>
    <definedName function="false" hidden="false" name="Team17Due" vbProcedure="false">Cash!$AA$131:$AA$135</definedName>
    <definedName function="false" hidden="false" name="Team17Name" vbProcedure="false">B!$E$274</definedName>
    <definedName function="false" hidden="false" name="Team17Players" vbProcedure="false">B!$A$803:$A$807</definedName>
    <definedName function="false" hidden="false" name="Team18Average" vbProcedure="false">A!$Y$251</definedName>
    <definedName function="false" hidden="false" name="Team18Due" vbProcedure="false">Cash!$AA$139:$AA$143</definedName>
    <definedName function="false" hidden="false" name="Team18Name" vbProcedure="false">B!$E$317</definedName>
    <definedName function="false" hidden="false" name="Team18Players" vbProcedure="false">B!$A$809:$A$813</definedName>
    <definedName function="false" hidden="false" name="Team19Average" vbProcedure="false">A!$Y$265</definedName>
    <definedName function="false" hidden="false" name="Team19Due" vbProcedure="false">Cash!$AA$147:$AA$151</definedName>
    <definedName function="false" hidden="false" name="Team19Name" vbProcedure="false">B!$E$360</definedName>
    <definedName function="false" hidden="false" name="Team19Players" vbProcedure="false">B!$A$815:$A$819</definedName>
    <definedName function="false" hidden="false" name="Team1Average" vbProcedure="false">A!$Y$13</definedName>
    <definedName function="false" hidden="false" name="Team1Due" vbProcedure="false">Cash!$AA$3:$AA$7</definedName>
    <definedName function="false" hidden="false" name="Team1Name" vbProcedure="false">B!$B$16</definedName>
    <definedName function="false" hidden="false" name="Team1Players" vbProcedure="false">B!$A$707:$A$711</definedName>
    <definedName function="false" hidden="false" name="Team20Average" vbProcedure="false">A!$Y$279</definedName>
    <definedName function="false" hidden="false" name="Team20Due" vbProcedure="false">Cash!$AA$155:$AA$159</definedName>
    <definedName function="false" hidden="false" name="Team20Name" vbProcedure="false">B!$E$403</definedName>
    <definedName function="false" hidden="false" name="Team20Players" vbProcedure="false">B!$A$821:$A$825</definedName>
    <definedName function="false" hidden="false" name="Team2Average" vbProcedure="false">A!$Y$27</definedName>
    <definedName function="false" hidden="false" name="Team2Due" vbProcedure="false">Cash!$AA$11:$AA$15</definedName>
    <definedName function="false" hidden="false" name="Team2Name" vbProcedure="false">B!$B$59</definedName>
    <definedName function="false" hidden="false" name="Team2Players" vbProcedure="false">B!$A$713:$A$717</definedName>
    <definedName function="false" hidden="false" name="Team3Average" vbProcedure="false">A!$Y$41</definedName>
    <definedName function="false" hidden="false" name="Team3Due" vbProcedure="false">Cash!$AA$19:$AA$23</definedName>
    <definedName function="false" hidden="false" name="Team3Name" vbProcedure="false">B!$B$102</definedName>
    <definedName function="false" hidden="false" name="Team3Players" vbProcedure="false">B!$A$719:$A$723</definedName>
    <definedName function="false" hidden="false" name="Team4Average" vbProcedure="false">A!$Y$55</definedName>
    <definedName function="false" hidden="false" name="Team4Due" vbProcedure="false">Cash!$AA$27:$AA$32</definedName>
    <definedName function="false" hidden="false" name="Team4Name" vbProcedure="false">B!$B$145</definedName>
    <definedName function="false" hidden="false" name="Team4Players" vbProcedure="false">B!$A$725:$A$729</definedName>
    <definedName function="false" hidden="false" name="Team5Average" vbProcedure="false">A!$Y$69</definedName>
    <definedName function="false" hidden="false" name="Team5Due" vbProcedure="false">Cash!$AA$35:$AA$39</definedName>
    <definedName function="false" hidden="false" name="Team5Name" vbProcedure="false">B!$B$188</definedName>
    <definedName function="false" hidden="false" name="Team5Players" vbProcedure="false">B!$A$731:$A$735</definedName>
    <definedName function="false" hidden="false" name="Team6Average" vbProcedure="false">A!$Y$83</definedName>
    <definedName function="false" hidden="false" name="Team6Due" vbProcedure="false">Cash!$AA$43:$AA$47</definedName>
    <definedName function="false" hidden="false" name="Team6Name" vbProcedure="false">B!$B$231</definedName>
    <definedName function="false" hidden="false" name="Team6Players" vbProcedure="false">B!$A$737:$A$741</definedName>
    <definedName function="false" hidden="false" name="Team7Average" vbProcedure="false">A!$Y$97</definedName>
    <definedName function="false" hidden="false" name="Team7Due" vbProcedure="false">Cash!$AA$51:$AA$55</definedName>
    <definedName function="false" hidden="false" name="Team7Name" vbProcedure="false">B!$B$274</definedName>
    <definedName function="false" hidden="false" name="Team7Players" vbProcedure="false">B!$A$743:$A$747</definedName>
    <definedName function="false" hidden="false" name="Team8Average" vbProcedure="false">A!$Y$111</definedName>
    <definedName function="false" hidden="false" name="Team8Due" vbProcedure="false">Cash!$AA$59:$AA$63</definedName>
    <definedName function="false" hidden="false" name="Team8Name" vbProcedure="false">B!$B$317</definedName>
    <definedName function="false" hidden="false" name="Team8Players" vbProcedure="false">B!$A$749:$A$753</definedName>
    <definedName function="false" hidden="false" name="Team9Average" vbProcedure="false">A!$Y$125</definedName>
    <definedName function="false" hidden="false" name="Team9Due" vbProcedure="false">Cash!$AA$67:$AA$71</definedName>
    <definedName function="false" hidden="false" name="Team9Name" vbProcedure="false">B!$B$360</definedName>
    <definedName function="false" hidden="false" name="Team9Players" vbProcedure="false">B!$A$755:$A$759</definedName>
    <definedName function="false" hidden="false" name="TeamStats_Sorted" vbProcedure="false">A!$BF$5:$BG$281</definedName>
    <definedName function="false" hidden="false" name="TeamStats_Unsorted" vbProcedure="false">A!$BD$5:$BE$281</definedName>
    <definedName function="false" hidden="false" name="Team_Score" vbProcedure="false">A!$BK$5:$BM$24</definedName>
    <definedName function="false" hidden="true" name="_Key1" vbProcedure="false">a!#ref!</definedName>
    <definedName function="false" hidden="true" name="_Key2" vbProcedure="false">a!#ref!</definedName>
    <definedName function="false" hidden="true" name="_Order1" vbProcedure="false">0</definedName>
    <definedName function="false" hidden="true" name="_Order2" vbProcedure="false">255</definedName>
    <definedName function="false" hidden="true" name="_xleta.INDIRECT" vbProcedure="false">#NAME?</definedName>
    <definedName function="false" hidden="false" localSheetId="1" name="_xlnm.Print_Area" vbProcedure="false">OFFSET(B!$G$445,0,0,B!$C$5*0.5*24,20)</definedName>
    <definedName function="false" hidden="false" localSheetId="24" name="_xlnm.Print_Area" vbProcedure="false">OFFSET(Team!$A$1,0,0,MAX(IF(LEN(TRIM(Team!$B$1:$B$26))&gt;0,ROW(Team!$B$1:$B$26),0)),3)</definedName>
    <definedName function="false" hidden="false" localSheetId="25" name="_xlnm.Print_Area" vbProcedure="false">OFFSET(Ind!$A$1,0,0,MAX(IF(LEN(TRIM(Ind!$B$1:$B$166))&gt;0,ROW(Ind!$B$1:$B$166),0)),4)</definedName>
    <definedName function="false" hidden="false" localSheetId="26" name="_xlnm.Print_Area" vbProcedure="false">OFFSET(Cash!$A$1,0,0,IF(B!$C$5&lt;=10,80,160),27)</definedName>
    <definedName function="false" hidden="false" localSheetId="27" name="_xlnm.Print_Area" vbProcedure="false">OFFSET(Env!$A$1,0,0,B!$C$5*8,11)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<sst xmlns="http://schemas.openxmlformats.org/spreadsheetml/2006/main" count="8039" uniqueCount="346">
  <si>
    <t xml:space="preserve">Team #1 Name: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</si>
  <si>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</si>
  <si>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</si>
  <si>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</si>
  <si>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</si>
  <si>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</si>
  <si>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</si>
  <si>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</si>
  <si>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</si>
  <si>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</si>
  <si>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</si>
  <si>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</si>
  <si>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</si>
  <si>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</si>
  <si>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</si>
  <si>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</si>
  <si>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</si>
  <si>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</si>
  <si>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</si>
  <si>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</si>
  <si>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</si>
  <si>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</si>
  <si>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</si>
  <si>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Total Average Information</t>
  </si>
  <si>
    <t xml:space="preserve">Individual Stats Range</t>
  </si>
  <si>
    <t xml:space="preserve">Individual Stats Value</t>
  </si>
  <si>
    <t xml:space="preserve">Team Stats Range</t>
  </si>
  <si>
    <t xml:space="preserve">Team Stats Value</t>
  </si>
  <si>
    <t xml:space="preserve">Score</t>
  </si>
  <si>
    <t xml:space="preserve">Totals</t>
  </si>
  <si>
    <t xml:space="preserve">Averages</t>
  </si>
  <si>
    <t xml:space="preserve">Total</t>
  </si>
  <si>
    <t xml:space="preserve">(Unsorted)</t>
  </si>
  <si>
    <t xml:space="preserve">(Sorted)</t>
  </si>
  <si>
    <t xml:space="preserve">Team</t>
  </si>
  <si>
    <t xml:space="preserve">Name</t>
  </si>
  <si>
    <t xml:space="preserve">CHRIS</t>
  </si>
  <si>
    <t xml:space="preserve">CRAZY TRAIN</t>
  </si>
  <si>
    <t xml:space="preserve">C</t>
  </si>
  <si>
    <t xml:space="preserve">GARY</t>
  </si>
  <si>
    <t xml:space="preserve">YOUNG BLOODS</t>
  </si>
  <si>
    <t xml:space="preserve">D</t>
  </si>
  <si>
    <t xml:space="preserve">KASH</t>
  </si>
  <si>
    <t xml:space="preserve">THE DOUGERNAUTS</t>
  </si>
  <si>
    <t xml:space="preserve">E</t>
  </si>
  <si>
    <t xml:space="preserve">DARRIC</t>
  </si>
  <si>
    <t xml:space="preserve">SPAM FO LUNCH</t>
  </si>
  <si>
    <t xml:space="preserve">F</t>
  </si>
  <si>
    <t xml:space="preserve">ERIC</t>
  </si>
  <si>
    <t xml:space="preserve">THE BOYS</t>
  </si>
  <si>
    <t xml:space="preserve">G</t>
  </si>
  <si>
    <t xml:space="preserve">VIC</t>
  </si>
  <si>
    <t xml:space="preserve">FFFFF TO THE 1OTH POWER</t>
  </si>
  <si>
    <t xml:space="preserve">H</t>
  </si>
  <si>
    <t xml:space="preserve">PAM</t>
  </si>
  <si>
    <t xml:space="preserve">RACK PACK</t>
  </si>
  <si>
    <t xml:space="preserve">I</t>
  </si>
  <si>
    <t xml:space="preserve">PATRICK</t>
  </si>
  <si>
    <t xml:space="preserve">HOT WHEELS</t>
  </si>
  <si>
    <t xml:space="preserve">J</t>
  </si>
  <si>
    <t xml:space="preserve">Sub Total</t>
  </si>
  <si>
    <t xml:space="preserve">DAN</t>
  </si>
  <si>
    <t xml:space="preserve">HABOOBS</t>
  </si>
  <si>
    <t xml:space="preserve">K</t>
  </si>
  <si>
    <t xml:space="preserve">Handicap</t>
  </si>
  <si>
    <t xml:space="preserve">MIKE</t>
  </si>
  <si>
    <t xml:space="preserve">VLADIMIR POOLIN</t>
  </si>
  <si>
    <t xml:space="preserve">L</t>
  </si>
  <si>
    <t xml:space="preserve">Team Total </t>
  </si>
  <si>
    <t xml:space="preserve">JASON</t>
  </si>
  <si>
    <t xml:space="preserve">PIRATES OF THE TABLE</t>
  </si>
  <si>
    <t xml:space="preserve">M</t>
  </si>
  <si>
    <t xml:space="preserve">MICHAEL</t>
  </si>
  <si>
    <t xml:space="preserve">BYE</t>
  </si>
  <si>
    <t xml:space="preserve">N</t>
  </si>
  <si>
    <t xml:space="preserve">Team #2 Name:</t>
  </si>
  <si>
    <t xml:space="preserve">BOBBY</t>
  </si>
  <si>
    <t xml:space="preserve">O</t>
  </si>
  <si>
    <t xml:space="preserve">SERGEI</t>
  </si>
  <si>
    <t xml:space="preserve">P</t>
  </si>
  <si>
    <t xml:space="preserve">JORDAN</t>
  </si>
  <si>
    <t xml:space="preserve">Q</t>
  </si>
  <si>
    <t xml:space="preserve">BRENNEN</t>
  </si>
  <si>
    <t xml:space="preserve">R</t>
  </si>
  <si>
    <t xml:space="preserve">MELISSA</t>
  </si>
  <si>
    <t xml:space="preserve">S</t>
  </si>
  <si>
    <t xml:space="preserve">T</t>
  </si>
  <si>
    <t xml:space="preserve">JUSTIN</t>
  </si>
  <si>
    <t xml:space="preserve">U</t>
  </si>
  <si>
    <t xml:space="preserve">LON</t>
  </si>
  <si>
    <t xml:space="preserve">V</t>
  </si>
  <si>
    <t xml:space="preserve">DENNIS</t>
  </si>
  <si>
    <t xml:space="preserve">W</t>
  </si>
  <si>
    <t xml:space="preserve">MIKE R.</t>
  </si>
  <si>
    <t xml:space="preserve">X</t>
  </si>
  <si>
    <t xml:space="preserve">PABLO</t>
  </si>
  <si>
    <t xml:space="preserve">TIM</t>
  </si>
  <si>
    <t xml:space="preserve">LEIGH</t>
  </si>
  <si>
    <t xml:space="preserve">JIM</t>
  </si>
  <si>
    <t xml:space="preserve">Team #3 Name:</t>
  </si>
  <si>
    <t xml:space="preserve">JOHN B.</t>
  </si>
  <si>
    <t xml:space="preserve">IAN</t>
  </si>
  <si>
    <t xml:space="preserve">SCOTT</t>
  </si>
  <si>
    <t xml:space="preserve">JOHN A</t>
  </si>
  <si>
    <t xml:space="preserve">SABRINA</t>
  </si>
  <si>
    <t xml:space="preserve">VE</t>
  </si>
  <si>
    <t xml:space="preserve">PJ</t>
  </si>
  <si>
    <t xml:space="preserve">OLGA</t>
  </si>
  <si>
    <t xml:space="preserve">MIKE MO</t>
  </si>
  <si>
    <t xml:space="preserve">SARAH</t>
  </si>
  <si>
    <t xml:space="preserve">DON</t>
  </si>
  <si>
    <t xml:space="preserve">RICHARD</t>
  </si>
  <si>
    <t xml:space="preserve">ELI</t>
  </si>
  <si>
    <t xml:space="preserve">Team #4 Name:</t>
  </si>
  <si>
    <t xml:space="preserve">CARA</t>
  </si>
  <si>
    <t xml:space="preserve">NICK</t>
  </si>
  <si>
    <t xml:space="preserve">ROGER</t>
  </si>
  <si>
    <t xml:space="preserve">RICH</t>
  </si>
  <si>
    <t xml:space="preserve">DOUG</t>
  </si>
  <si>
    <t xml:space="preserve">BRANDY</t>
  </si>
  <si>
    <t xml:space="preserve">ROWAN</t>
  </si>
  <si>
    <t xml:space="preserve">VICKIE</t>
  </si>
  <si>
    <t xml:space="preserve">SANDY</t>
  </si>
  <si>
    <t xml:space="preserve">WC</t>
  </si>
  <si>
    <t xml:space="preserve">SAM</t>
  </si>
  <si>
    <t xml:space="preserve">TRAYE</t>
  </si>
  <si>
    <t xml:space="preserve">Team #5 Name:</t>
  </si>
  <si>
    <t xml:space="preserve">JAMES</t>
  </si>
  <si>
    <t xml:space="preserve">Team #6 Name:</t>
  </si>
  <si>
    <t xml:space="preserve">Team #7 Name:</t>
  </si>
  <si>
    <t xml:space="preserve">Team #8 Name:</t>
  </si>
  <si>
    <t xml:space="preserve">Team #9 Name:</t>
  </si>
  <si>
    <t xml:space="preserve">Team #10 Name:</t>
  </si>
  <si>
    <t xml:space="preserve">Team #11 Name:</t>
  </si>
  <si>
    <t xml:space="preserve">Team #12 Name:</t>
  </si>
  <si>
    <t xml:space="preserve">Team #13 Name:</t>
  </si>
  <si>
    <t xml:space="preserve">Team #14 Name:</t>
  </si>
  <si>
    <t xml:space="preserve">Team #15 Name:</t>
  </si>
  <si>
    <t xml:space="preserve">Team #16 Name:</t>
  </si>
  <si>
    <t xml:space="preserve">Team #17 Name:</t>
  </si>
  <si>
    <t xml:space="preserve">Team #18 Name:</t>
  </si>
  <si>
    <t xml:space="preserve">Team #19 Name:</t>
  </si>
  <si>
    <t xml:space="preserve">Team #20 Name:</t>
  </si>
  <si>
    <t xml:space="preserve">     Clicks League Setup Utility</t>
  </si>
  <si>
    <t xml:space="preserve">Location:</t>
  </si>
  <si>
    <t xml:space="preserve">Tucson</t>
  </si>
  <si>
    <t xml:space="preserve">League Number:</t>
  </si>
  <si>
    <t xml:space="preserve"># of Teams:</t>
  </si>
  <si>
    <t xml:space="preserve"># of Players per Team:</t>
  </si>
  <si>
    <t xml:space="preserve"># of Subs per Team:</t>
  </si>
  <si>
    <t xml:space="preserve"># of Weeks in League:</t>
  </si>
  <si>
    <t xml:space="preserve">Type of League:</t>
  </si>
  <si>
    <t xml:space="preserve">Name of League:</t>
  </si>
  <si>
    <t xml:space="preserve">One Time Set-Up Fee:</t>
  </si>
  <si>
    <t xml:space="preserve">Day of the Week:</t>
  </si>
  <si>
    <t xml:space="preserve">Teams</t>
  </si>
  <si>
    <t xml:space="preserve">Type of Handicap:</t>
  </si>
  <si>
    <t xml:space="preserve">8-Ball</t>
  </si>
  <si>
    <t xml:space="preserve">Get-a-Cue</t>
  </si>
  <si>
    <t xml:space="preserve">Monday</t>
  </si>
  <si>
    <t xml:space="preserve">9-Ball</t>
  </si>
  <si>
    <t xml:space="preserve">Hard Hitters</t>
  </si>
  <si>
    <t xml:space="preserve">Tuesday</t>
  </si>
  <si>
    <t xml:space="preserve">League Money</t>
  </si>
  <si>
    <t xml:space="preserve">Scotch Doubles</t>
  </si>
  <si>
    <t xml:space="preserve">Wednesday Wizards</t>
  </si>
  <si>
    <t xml:space="preserve">Wednesday</t>
  </si>
  <si>
    <t xml:space="preserve">Team Captain:</t>
  </si>
  <si>
    <t xml:space="preserve">Darts</t>
  </si>
  <si>
    <t xml:space="preserve">Thursday</t>
  </si>
  <si>
    <t xml:space="preserve">Player 1 Name:</t>
  </si>
  <si>
    <t xml:space="preserve">Foosball</t>
  </si>
  <si>
    <t xml:space="preserve">Friday</t>
  </si>
  <si>
    <t xml:space="preserve">Address:</t>
  </si>
  <si>
    <t xml:space="preserve">Package Choice</t>
  </si>
  <si>
    <t xml:space="preserve">Saturday</t>
  </si>
  <si>
    <t xml:space="preserve">State, Zip:</t>
  </si>
  <si>
    <t xml:space="preserve">Sunday</t>
  </si>
  <si>
    <t xml:space="preserve">Phone:</t>
  </si>
  <si>
    <t xml:space="preserve">Mobile or Pager:</t>
  </si>
  <si>
    <t xml:space="preserve">Player 2 Name:</t>
  </si>
  <si>
    <t xml:space="preserve">Player 3 Name:</t>
  </si>
  <si>
    <t xml:space="preserve">Player 4 Name:</t>
  </si>
  <si>
    <t xml:space="preserve">Player 5 Name:</t>
  </si>
  <si>
    <t xml:space="preserve">Sub 1 Name:</t>
  </si>
  <si>
    <t xml:space="preserve">Sub 2 Name:</t>
  </si>
  <si>
    <t xml:space="preserve">Sub 3 Name:</t>
  </si>
  <si>
    <t xml:space="preserve">PKT CHANGE</t>
  </si>
  <si>
    <t xml:space="preserve">FFFFF&lt;sup&gt;10&lt;/sup&gt;</t>
  </si>
  <si>
    <t xml:space="preserve">Match 1</t>
  </si>
  <si>
    <t xml:space="preserve">Week # :</t>
  </si>
  <si>
    <t xml:space="preserve">League:</t>
  </si>
  <si>
    <t xml:space="preserve">Match to be played on tables:</t>
  </si>
  <si>
    <t xml:space="preserve">Home Team # :</t>
  </si>
  <si>
    <t xml:space="preserve">Name:</t>
  </si>
  <si>
    <t xml:space="preserve"># of</t>
  </si>
  <si>
    <t xml:space="preserve">Visiting Team # :</t>
  </si>
  <si>
    <t xml:space="preserve">Player Name</t>
  </si>
  <si>
    <t xml:space="preserve">$ Paid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</si>
  <si>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</si>
  <si>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</si>
  <si>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</si>
  <si>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</si>
  <si>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</si>
  <si>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Wins</t>
  </si>
  <si>
    <t xml:space="preserve">Hdcp.</t>
  </si>
  <si>
    <t xml:space="preserve">Visiting</t>
  </si>
  <si>
    <t xml:space="preserve">Home</t>
  </si>
  <si>
    <t xml:space="preserve">Captain</t>
  </si>
  <si>
    <t xml:space="preserve">Paid</t>
  </si>
  <si>
    <t xml:space="preserve">Notes:</t>
  </si>
  <si>
    <t xml:space="preserve">Shaded area denotes player who has choice of break.  Home Captain keeps Score.  Visiting Captain initials for accuracy.</t>
  </si>
  <si>
    <t xml:space="preserve">Match 2</t>
  </si>
  <si>
    <t xml:space="preserve">Match 3</t>
  </si>
  <si>
    <t xml:space="preserve">Match 4</t>
  </si>
  <si>
    <t xml:space="preserve">Match 5</t>
  </si>
  <si>
    <t xml:space="preserve">Match 6</t>
  </si>
  <si>
    <t xml:space="preserve">Match 7</t>
  </si>
  <si>
    <t xml:space="preserve">Match 8</t>
  </si>
  <si>
    <t xml:space="preserve">Match 9</t>
  </si>
  <si>
    <t xml:space="preserve">Match 10</t>
  </si>
  <si>
    <t xml:space="preserve">4 Team Schedule</t>
  </si>
  <si>
    <t xml:space="preserve">6 Team Schedule</t>
  </si>
  <si>
    <t xml:space="preserve">8 Team Schedule</t>
  </si>
  <si>
    <t xml:space="preserve">10 Team Schedule</t>
  </si>
  <si>
    <t xml:space="preserve">12 Team Schedule</t>
  </si>
  <si>
    <t xml:space="preserve">14 Team Schedule</t>
  </si>
  <si>
    <t xml:space="preserve">16 Team Schedule</t>
  </si>
  <si>
    <t xml:space="preserve">18 Team Schedule</t>
  </si>
  <si>
    <t xml:space="preserve">20 Team Schedule</t>
  </si>
  <si>
    <t xml:space="preserve">Tables</t>
  </si>
  <si>
    <t xml:space="preserve">3 &amp; 4</t>
  </si>
  <si>
    <t xml:space="preserve">12 &amp; 13</t>
  </si>
  <si>
    <t xml:space="preserve">4 &amp; 5</t>
  </si>
  <si>
    <t xml:space="preserve">13 &amp; 14</t>
  </si>
  <si>
    <t xml:space="preserve">3 &amp; 12</t>
  </si>
  <si>
    <t xml:space="preserve">2 &amp; 3</t>
  </si>
  <si>
    <t xml:space="preserve">11 &amp; 12</t>
  </si>
  <si>
    <t xml:space="preserve">6 &amp; 15</t>
  </si>
  <si>
    <t xml:space="preserve">TBD</t>
  </si>
  <si>
    <t xml:space="preserve">TBD1</t>
  </si>
  <si>
    <t xml:space="preserve">TBD2</t>
  </si>
  <si>
    <t xml:space="preserve">TBD3</t>
  </si>
  <si>
    <t xml:space="preserve">TBD4</t>
  </si>
  <si>
    <t xml:space="preserve">TBD5</t>
  </si>
  <si>
    <t xml:space="preserve">Home/Away</t>
  </si>
  <si>
    <t xml:space="preserve">A</t>
  </si>
  <si>
    <t xml:space="preserve">TEAM1</t>
  </si>
  <si>
    <t xml:space="preserve">TEAM2</t>
  </si>
  <si>
    <t xml:space="preserve">https://scheduler.leaguelobster.com/schedule/lite/2447020/new-league/new-season/</t>
  </si>
  <si>
    <t xml:space="preserve">12 team, 22 games, 22 rounds</t>
  </si>
  <si>
    <t xml:space="preserve">TEAM3</t>
  </si>
  <si>
    <t xml:space="preserve">TEAM4</t>
  </si>
  <si>
    <t xml:space="preserve">TEAM5</t>
  </si>
  <si>
    <t xml:space="preserve">TEAM6</t>
  </si>
  <si>
    <t xml:space="preserve">TEAM7</t>
  </si>
  <si>
    <t xml:space="preserve">TEAM8</t>
  </si>
  <si>
    <t xml:space="preserve">TEAM9</t>
  </si>
  <si>
    <t xml:space="preserve">TEAM10</t>
  </si>
  <si>
    <t xml:space="preserve">TEAM11</t>
  </si>
  <si>
    <t xml:space="preserve">TEAM12</t>
  </si>
  <si>
    <t xml:space="preserve">TEAM13</t>
  </si>
  <si>
    <t xml:space="preserve">TEAM14</t>
  </si>
  <si>
    <t xml:space="preserve">TEAM15</t>
  </si>
  <si>
    <t xml:space="preserve">TEAM16</t>
  </si>
  <si>
    <t xml:space="preserve">TEAM17</t>
  </si>
  <si>
    <t xml:space="preserve">TEAM18</t>
  </si>
  <si>
    <t xml:space="preserve">TEAM19</t>
  </si>
  <si>
    <t xml:space="preserve">TEAM20</t>
  </si>
  <si>
    <t xml:space="preserve">WEEK 1</t>
  </si>
  <si>
    <t xml:space="preserve">Raw</t>
  </si>
  <si>
    <t xml:space="preserve">Amount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</si>
  <si>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</si>
  <si>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</si>
  <si>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</si>
  <si>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</si>
  <si>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</si>
  <si>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</si>
  <si>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</si>
  <si>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</si>
  <si>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</si>
  <si>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</si>
  <si>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</si>
  <si>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</si>
  <si>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</si>
  <si>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</si>
  <si>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</si>
  <si>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</si>
  <si>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</si>
  <si>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</si>
  <si>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</si>
  <si>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</si>
  <si>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</si>
  <si>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Rank</t>
  </si>
  <si>
    <t xml:space="preserve">Team Name</t>
  </si>
  <si>
    <t xml:space="preserve">Reg. Fee</t>
  </si>
  <si>
    <t xml:space="preserve">Wk 1</t>
  </si>
  <si>
    <t xml:space="preserve">Wk 2</t>
  </si>
  <si>
    <t xml:space="preserve">Wk 3</t>
  </si>
  <si>
    <t xml:space="preserve">Wk 4</t>
  </si>
  <si>
    <t xml:space="preserve">Wk 5</t>
  </si>
  <si>
    <t xml:space="preserve">Wk 6</t>
  </si>
  <si>
    <t xml:space="preserve">Wk 7</t>
  </si>
  <si>
    <t xml:space="preserve">Wk 8</t>
  </si>
  <si>
    <t xml:space="preserve">Wk 9</t>
  </si>
  <si>
    <t xml:space="preserve">Wk 10</t>
  </si>
  <si>
    <t xml:space="preserve">Wk 11</t>
  </si>
  <si>
    <t xml:space="preserve">Wk 12</t>
  </si>
  <si>
    <t xml:space="preserve">Wk 13</t>
  </si>
  <si>
    <t xml:space="preserve">Wk 14</t>
  </si>
  <si>
    <t xml:space="preserve">Wk 15</t>
  </si>
  <si>
    <t xml:space="preserve">Wk 16</t>
  </si>
  <si>
    <t xml:space="preserve">Wk 17</t>
  </si>
  <si>
    <t xml:space="preserve">Wk 18</t>
  </si>
  <si>
    <t xml:space="preserve">Wk 19</t>
  </si>
  <si>
    <t xml:space="preserve">Wk 20</t>
  </si>
  <si>
    <t xml:space="preserve">Wk 21</t>
  </si>
  <si>
    <t xml:space="preserve">Wk 22</t>
  </si>
  <si>
    <t xml:space="preserve">Due</t>
  </si>
  <si>
    <t xml:space="preserve">Unpaid</t>
  </si>
  <si>
    <t xml:space="preserve">Total:</t>
  </si>
  <si>
    <t xml:space="preserve">Week:</t>
  </si>
  <si>
    <t xml:space="preserve">Team 1</t>
  </si>
  <si>
    <t xml:space="preserve">Player</t>
  </si>
  <si>
    <t xml:space="preserve">$</t>
  </si>
  <si>
    <t xml:space="preserve">Team 2</t>
  </si>
  <si>
    <t xml:space="preserve">Team 3</t>
  </si>
  <si>
    <t xml:space="preserve">Team 4</t>
  </si>
  <si>
    <t xml:space="preserve">Team 5</t>
  </si>
  <si>
    <t xml:space="preserve">Team 6</t>
  </si>
  <si>
    <t xml:space="preserve">Team 7</t>
  </si>
  <si>
    <t xml:space="preserve">Team 8</t>
  </si>
  <si>
    <t xml:space="preserve">Team 9</t>
  </si>
  <si>
    <t xml:space="preserve">Team 10</t>
  </si>
  <si>
    <t xml:space="preserve">Team 11</t>
  </si>
  <si>
    <t xml:space="preserve">Team 12</t>
  </si>
  <si>
    <t xml:space="preserve">Team 13</t>
  </si>
  <si>
    <t xml:space="preserve">Team 14</t>
  </si>
  <si>
    <t xml:space="preserve">Team 15</t>
  </si>
  <si>
    <t xml:space="preserve">Team 16</t>
  </si>
  <si>
    <t xml:space="preserve">Team 17</t>
  </si>
  <si>
    <t xml:space="preserve">Team 18</t>
  </si>
  <si>
    <t xml:space="preserve">Team 19</t>
  </si>
  <si>
    <t xml:space="preserve">Team 20</t>
  </si>
  <si>
    <t xml:space="preserve">Click's League Menu</t>
  </si>
  <si>
    <t xml:space="preserve">Written by:  Dan Mills - January 2004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</si>
</sst>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0"/>
    <numFmt numFmtId="166" formatCode="0.00_)"/>
    <numFmt numFmtId="167" formatCode="0%"/>
    <numFmt numFmtId="168" formatCode="\$#,##0.00_);&quot;($&quot;#,##0.00\)"/>
    <numFmt numFmtId="169" formatCode="\$#,##0"/>
    <numFmt numFmtId="170" formatCode="m/d/yyyy"/>
    <numFmt numFmtId="171" formatCode="[$-409]mmmm\ d&quot;, &quot;yyyy;@"/>
    <numFmt numFmtId="172" formatCode="0.00"/>
    <numFmt numFmtId="173" formatCode="\$#,##0.00"/>
  </numFmts>
  <fonts count="28">
    <font>
      <sz val="12"/>
      <name val="Arial MT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sz val="24"/>
      <name val="Arial MT"/>
      <family val="0"/>
      <charset val="1"/>
    </font>
    <font>
      <b val="true"/>
      <sz val="10"/>
      <name val="Arial MT"/>
      <family val="0"/>
      <charset val="1"/>
    </font>
    <font>
      <sz val="10"/>
      <name val="Arial MT"/>
      <family val="0"/>
      <charset val="1"/>
    </font>
    <font>
      <b val="true"/>
      <sz val="12"/>
      <name val="Arial MT"/>
      <family val="0"/>
      <charset val="1"/>
    </font>
    <font>
      <sz val="12"/>
      <color rgb="FF0000FF"/>
      <name val="Arial MT"/>
      <family val="0"/>
      <charset val="1"/>
    </font>
    <font>
      <sz val="24"/>
      <name val="Arial MT"/>
      <family val="0"/>
      <charset val="1"/>
    </font>
    <font>
      <sz val="11"/>
      <name val="Arial MT"/>
      <family val="0"/>
      <charset val="1"/>
    </font>
    <font>
      <sz val="12"/>
      <color rgb="FFFF0000"/>
      <name val="Arial MT"/>
      <family val="0"/>
      <charset val="1"/>
    </font>
    <font>
      <sz val="12"/>
      <color rgb="FFFF00FF"/>
      <name val="Arial MT"/>
      <family val="0"/>
      <charset val="1"/>
    </font>
    <font>
      <b val="true"/>
      <i val="true"/>
      <sz val="12"/>
      <name val="Arial MT"/>
      <family val="0"/>
      <charset val="1"/>
    </font>
    <font>
      <sz val="10"/>
      <color rgb="FF0000FF"/>
      <name val="Arial MT"/>
      <family val="0"/>
      <charset val="1"/>
    </font>
    <font>
      <b val="true"/>
      <sz val="18"/>
      <name val="Arial MT"/>
      <family val="0"/>
      <charset val="1"/>
    </font>
    <font>
      <b val="true"/>
      <sz val="14"/>
      <name val="Arial MT"/>
      <family val="0"/>
      <charset val="1"/>
    </font>
    <font>
      <sz val="14"/>
      <name val="Arial MT"/>
      <family val="0"/>
      <charset val="1"/>
    </font>
    <font>
      <sz val="8"/>
      <name val="Arial MT"/>
      <family val="0"/>
      <charset val="1"/>
    </font>
    <font>
      <u val="single"/>
      <sz val="12"/>
      <color theme="10"/>
      <name val="Arial MT"/>
      <family val="0"/>
      <charset val="1"/>
    </font>
    <font>
      <sz val="10"/>
      <name val="Arial"/>
      <family val="2"/>
      <charset val="1"/>
    </font>
    <font>
      <sz val="12"/>
      <name val="Arial"/>
      <family val="2"/>
      <charset val="1"/>
    </font>
    <font>
      <sz val="8"/>
      <color rgb="FF000000"/>
      <name val="Tahoma"/>
      <family val="0"/>
      <charset val="1"/>
    </font>
    <font>
      <sz val="12"/>
      <color rgb="FF000000"/>
      <name val="Arial MT"/>
      <family val="0"/>
      <charset val="1"/>
    </font>
    <font>
      <b val="true"/>
      <sz val="24"/>
      <name val="Arial MT"/>
      <family val="0"/>
      <charset val="1"/>
    </font>
    <font>
      <sz val="20"/>
      <name val="Arial MT"/>
      <family val="0"/>
      <charset val="1"/>
    </font>
    <font>
      <sz val="18"/>
      <name val="Arial MT"/>
      <family val="0"/>
      <charset val="1"/>
    </font>
    <font>
      <b val="true"/>
      <sz val="16"/>
      <name val="Arial MT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99CCFF"/>
        <bgColor rgb="FFCCCCFF"/>
      </patternFill>
    </fill>
    <fill>
      <patternFill patternType="solid">
        <fgColor rgb="FF333333"/>
        <bgColor rgb="FF333300"/>
      </patternFill>
    </fill>
    <fill>
      <patternFill patternType="solid">
        <fgColor rgb="FF000000"/>
        <bgColor rgb="FF003300"/>
      </patternFill>
    </fill>
    <fill>
      <patternFill patternType="solid">
        <fgColor rgb="FF339966"/>
        <bgColor rgb="FF467886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uble"/>
      <right/>
      <top style="double"/>
      <bottom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/>
      <top/>
      <bottom style="double"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medium"/>
      <right/>
      <top style="thick"/>
      <bottom style="thin"/>
      <diagonal/>
    </border>
    <border diagonalUp="false" diagonalDown="false">
      <left style="thin"/>
      <right style="medium"/>
      <top style="thick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/>
      <right style="thin"/>
      <top style="double"/>
      <bottom style="thin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/>
      <right style="thin"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thin"/>
      <right style="double"/>
      <top/>
      <bottom style="double"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medium"/>
      <right style="thin"/>
      <top style="double"/>
      <bottom/>
      <diagonal/>
    </border>
    <border diagonalUp="false" diagonalDown="false">
      <left/>
      <right style="thin"/>
      <top style="double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3" fillId="0" borderId="3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16" fillId="0" borderId="14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3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5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0" borderId="3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4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4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45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2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4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4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4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5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true"/>
      <protection locked="true" hidden="false"/>
    </xf>
    <xf numFmtId="171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71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6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6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3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6788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A!$C$18" lockText="1" noThreeD="1"/>
</file>

<file path=xl/ctrlProps/ctrlProps3.xml><?xml version="1.0" encoding="utf-8"?>
<formControlPr xmlns="http://schemas.microsoft.com/office/spreadsheetml/2009/9/main" objectType="CheckBox" autoLine="false" print="true" fmlaLink="B!$C$23" lockText="1" noThreeD="1"/>
</file>

<file path=xl/ctrlProps/ctrlProps4.xml><?xml version="1.0" encoding="utf-8"?>
<formControlPr xmlns="http://schemas.microsoft.com/office/spreadsheetml/2009/9/main" objectType="CheckBox" autoLine="false" print="true" fmlaLink="B!$C$28" lockText="1" noThreeD="1"/>
</file>

<file path=xl/ctrlProps/ctrlProps5.xml><?xml version="1.0" encoding="utf-8"?>
<formControlPr xmlns="http://schemas.microsoft.com/office/spreadsheetml/2009/9/main" objectType="CheckBox" autoLine="false" print="true" fmlaLink="B!$C$33" lockText="1" noThreeD="1"/>
</file>

<file path=xl/ctrlProps/ctrlProps6.xml><?xml version="1.0" encoding="utf-8"?>
<formControlPr xmlns="http://schemas.microsoft.com/office/spreadsheetml/2009/9/main" objectType="CheckBox" autoLine="false" print="true" fmlaLink="B!$C$38" lockText="1" noThreeD="1"/>
</file>

<file path=xl/ctrlProps/ctrlProps7.xml><?xml version="1.0" encoding="utf-8"?>
<formControlPr xmlns="http://schemas.microsoft.com/office/spreadsheetml/2009/9/main" objectType="CheckBox" autoLine="false" print="true" fmlaLink="B!$C$61" lockText="1" noThreeD="1"/>
</file>

<file path=xl/ctrlProps/ctrlProps8.xml><?xml version="1.0" encoding="utf-8"?>
<formControlPr xmlns="http://schemas.microsoft.com/office/spreadsheetml/2009/9/main" objectType="CheckBox" autoLine="false" print="true" fmlaLink="B!$C$66" lockText="1" noThreeD="1"/>
</file>

<file path=xl/ctrlProps/ctrlProps9.xml><?xml version="1.0" encoding="utf-8"?>
<formControlPr xmlns="http://schemas.microsoft.com/office/spreadsheetml/2009/9/main" objectType="CheckBox" autoLine="false" print="true" fmlaLink="B!$C$71" lockText="1" noThreeD="1"/>
</file>

<file path=xl/ctrlProps/ctrlProps10.xml><?xml version="1.0" encoding="utf-8"?>
<formControlPr xmlns="http://schemas.microsoft.com/office/spreadsheetml/2009/9/main" objectType="CheckBox" autoLine="false" print="true" fmlaLink="B!$C$76" lockText="1" noThreeD="1"/>
</file>

<file path=xl/ctrlProps/ctrlProps11.xml><?xml version="1.0" encoding="utf-8"?>
<formControlPr xmlns="http://schemas.microsoft.com/office/spreadsheetml/2009/9/main" objectType="CheckBox" autoLine="false" print="true" fmlaLink="B!$C$81" lockText="1" noThreeD="1"/>
</file>

<file path=xl/ctrlProps/ctrlProps12.xml><?xml version="1.0" encoding="utf-8"?>
<formControlPr xmlns="http://schemas.microsoft.com/office/spreadsheetml/2009/9/main" objectType="CheckBox" autoLine="false" print="true" fmlaLink="B!$C$104" lockText="1" noThreeD="1"/>
</file>

<file path=xl/ctrlProps/ctrlProps13.xml><?xml version="1.0" encoding="utf-8"?>
<formControlPr xmlns="http://schemas.microsoft.com/office/spreadsheetml/2009/9/main" objectType="CheckBox" autoLine="false" print="true" fmlaLink="B!$C$109" lockText="1" noThreeD="1"/>
</file>

<file path=xl/ctrlProps/ctrlProps14.xml><?xml version="1.0" encoding="utf-8"?>
<formControlPr xmlns="http://schemas.microsoft.com/office/spreadsheetml/2009/9/main" objectType="CheckBox" autoLine="false" print="true" fmlaLink="B!$C$114" lockText="1" noThreeD="1"/>
</file>

<file path=xl/ctrlProps/ctrlProps15.xml><?xml version="1.0" encoding="utf-8"?>
<formControlPr xmlns="http://schemas.microsoft.com/office/spreadsheetml/2009/9/main" objectType="CheckBox" autoLine="false" print="true" fmlaLink="B!$C$119" lockText="1" noThreeD="1"/>
</file>

<file path=xl/ctrlProps/ctrlProps16.xml><?xml version="1.0" encoding="utf-8"?>
<formControlPr xmlns="http://schemas.microsoft.com/office/spreadsheetml/2009/9/main" objectType="CheckBox" autoLine="false" print="true" fmlaLink="B!$C$124" lockText="1" noThreeD="1"/>
</file>

<file path=xl/ctrlProps/ctrlProps17.xml><?xml version="1.0" encoding="utf-8"?>
<formControlPr xmlns="http://schemas.microsoft.com/office/spreadsheetml/2009/9/main" objectType="CheckBox" autoLine="false" print="true" fmlaLink="B!$C$147" lockText="1" noThreeD="1"/>
</file>

<file path=xl/ctrlProps/ctrlProps18.xml><?xml version="1.0" encoding="utf-8"?>
<formControlPr xmlns="http://schemas.microsoft.com/office/spreadsheetml/2009/9/main" objectType="CheckBox" checked="Checked" autoLine="false" print="true" fmlaLink="B!$C$152" lockText="1" noThreeD="1"/>
</file>

<file path=xl/ctrlProps/ctrlProps19.xml><?xml version="1.0" encoding="utf-8"?>
<formControlPr xmlns="http://schemas.microsoft.com/office/spreadsheetml/2009/9/main" objectType="CheckBox" autoLine="false" print="true" fmlaLink="B!$C$157" lockText="1" noThreeD="1"/>
</file>

<file path=xl/ctrlProps/ctrlProps20.xml><?xml version="1.0" encoding="utf-8"?>
<formControlPr xmlns="http://schemas.microsoft.com/office/spreadsheetml/2009/9/main" objectType="CheckBox" autoLine="false" print="true" fmlaLink="B!$C$162" lockText="1" noThreeD="1"/>
</file>

<file path=xl/ctrlProps/ctrlProps21.xml><?xml version="1.0" encoding="utf-8"?>
<formControlPr xmlns="http://schemas.microsoft.com/office/spreadsheetml/2009/9/main" objectType="CheckBox" autoLine="false" print="true" fmlaLink="B!$C$167" lockText="1" noThreeD="1"/>
</file>

<file path=xl/ctrlProps/ctrlProps22.xml><?xml version="1.0" encoding="utf-8"?>
<formControlPr xmlns="http://schemas.microsoft.com/office/spreadsheetml/2009/9/main" objectType="CheckBox" autoLine="false" print="true" fmlaLink="B!$C$190" lockText="1" noThreeD="1"/>
</file>

<file path=xl/ctrlProps/ctrlProps23.xml><?xml version="1.0" encoding="utf-8"?>
<formControlPr xmlns="http://schemas.microsoft.com/office/spreadsheetml/2009/9/main" objectType="CheckBox" autoLine="false" print="true" fmlaLink="B!$C$195" lockText="1" noThreeD="1"/>
</file>

<file path=xl/ctrlProps/ctrlProps24.xml><?xml version="1.0" encoding="utf-8"?>
<formControlPr xmlns="http://schemas.microsoft.com/office/spreadsheetml/2009/9/main" objectType="CheckBox" autoLine="false" print="true" fmlaLink="B!$C$200" lockText="1" noThreeD="1"/>
</file>

<file path=xl/ctrlProps/ctrlProps25.xml><?xml version="1.0" encoding="utf-8"?>
<formControlPr xmlns="http://schemas.microsoft.com/office/spreadsheetml/2009/9/main" objectType="CheckBox" autoLine="false" print="true" fmlaLink="B!$C$205" lockText="1" noThreeD="1"/>
</file>

<file path=xl/ctrlProps/ctrlProps26.xml><?xml version="1.0" encoding="utf-8"?>
<formControlPr xmlns="http://schemas.microsoft.com/office/spreadsheetml/2009/9/main" objectType="CheckBox" autoLine="false" print="true" fmlaLink="B!$C$210" lockText="1" noThreeD="1"/>
</file>

<file path=xl/ctrlProps/ctrlProps27.xml><?xml version="1.0" encoding="utf-8"?>
<formControlPr xmlns="http://schemas.microsoft.com/office/spreadsheetml/2009/9/main" objectType="CheckBox" autoLine="false" print="true" fmlaLink="B!$C$233" lockText="1" noThreeD="1"/>
</file>

<file path=xl/ctrlProps/ctrlProps28.xml><?xml version="1.0" encoding="utf-8"?>
<formControlPr xmlns="http://schemas.microsoft.com/office/spreadsheetml/2009/9/main" objectType="CheckBox" autoLine="false" print="true" fmlaLink="B!$C$238" lockText="1" noThreeD="1"/>
</file>

<file path=xl/ctrlProps/ctrlProps29.xml><?xml version="1.0" encoding="utf-8"?>
<formControlPr xmlns="http://schemas.microsoft.com/office/spreadsheetml/2009/9/main" objectType="CheckBox" autoLine="false" print="true" fmlaLink="B!$C$243" lockText="1" noThreeD="1"/>
</file>

<file path=xl/ctrlProps/ctrlProps30.xml><?xml version="1.0" encoding="utf-8"?>
<formControlPr xmlns="http://schemas.microsoft.com/office/spreadsheetml/2009/9/main" objectType="CheckBox" autoLine="false" print="true" fmlaLink="B!$C$248" lockText="1" noThreeD="1"/>
</file>

<file path=xl/ctrlProps/ctrlProps31.xml><?xml version="1.0" encoding="utf-8"?>
<formControlPr xmlns="http://schemas.microsoft.com/office/spreadsheetml/2009/9/main" objectType="CheckBox" autoLine="false" print="true" fmlaLink="B!$C$253" lockText="1" noThreeD="1"/>
</file>

<file path=xl/ctrlProps/ctrlProps32.xml><?xml version="1.0" encoding="utf-8"?>
<formControlPr xmlns="http://schemas.microsoft.com/office/spreadsheetml/2009/9/main" objectType="CheckBox" autoLine="false" print="true" fmlaLink="B!$C$276" lockText="1" noThreeD="1"/>
</file>

<file path=xl/ctrlProps/ctrlProps33.xml><?xml version="1.0" encoding="utf-8"?>
<formControlPr xmlns="http://schemas.microsoft.com/office/spreadsheetml/2009/9/main" objectType="CheckBox" autoLine="false" print="true" fmlaLink="B!$C$281" lockText="1" noThreeD="1"/>
</file>

<file path=xl/ctrlProps/ctrlProps34.xml><?xml version="1.0" encoding="utf-8"?>
<formControlPr xmlns="http://schemas.microsoft.com/office/spreadsheetml/2009/9/main" objectType="CheckBox" autoLine="false" print="true" fmlaLink="B!$C$286" lockText="1" noThreeD="1"/>
</file>

<file path=xl/ctrlProps/ctrlProps35.xml><?xml version="1.0" encoding="utf-8"?>
<formControlPr xmlns="http://schemas.microsoft.com/office/spreadsheetml/2009/9/main" objectType="CheckBox" autoLine="false" print="true" fmlaLink="B!$C$291" lockText="1" noThreeD="1"/>
</file>

<file path=xl/ctrlProps/ctrlProps36.xml><?xml version="1.0" encoding="utf-8"?>
<formControlPr xmlns="http://schemas.microsoft.com/office/spreadsheetml/2009/9/main" objectType="CheckBox" autoLine="false" print="true" fmlaLink="B!$C$296" lockText="1" noThreeD="1"/>
</file>

<file path=xl/ctrlProps/ctrlProps37.xml><?xml version="1.0" encoding="utf-8"?>
<formControlPr xmlns="http://schemas.microsoft.com/office/spreadsheetml/2009/9/main" objectType="CheckBox" autoLine="false" print="true" fmlaLink="B!$C$319" lockText="1" noThreeD="1"/>
</file>

<file path=xl/ctrlProps/ctrlProps38.xml><?xml version="1.0" encoding="utf-8"?>
<formControlPr xmlns="http://schemas.microsoft.com/office/spreadsheetml/2009/9/main" objectType="CheckBox" autoLine="false" print="true" fmlaLink="B!$C$324" lockText="1" noThreeD="1"/>
</file>

<file path=xl/ctrlProps/ctrlProps39.xml><?xml version="1.0" encoding="utf-8"?>
<formControlPr xmlns="http://schemas.microsoft.com/office/spreadsheetml/2009/9/main" objectType="CheckBox" autoLine="false" print="true" fmlaLink="B!$C$329" lockText="1" noThreeD="1"/>
</file>

<file path=xl/ctrlProps/ctrlProps40.xml><?xml version="1.0" encoding="utf-8"?>
<formControlPr xmlns="http://schemas.microsoft.com/office/spreadsheetml/2009/9/main" objectType="CheckBox" autoLine="false" print="true" fmlaLink="B!$C$334" lockText="1" noThreeD="1"/>
</file>

<file path=xl/ctrlProps/ctrlProps41.xml><?xml version="1.0" encoding="utf-8"?>
<formControlPr xmlns="http://schemas.microsoft.com/office/spreadsheetml/2009/9/main" objectType="CheckBox" autoLine="false" print="true" fmlaLink="B!$C$339" lockText="1" noThreeD="1"/>
</file>

<file path=xl/ctrlProps/ctrlProps42.xml><?xml version="1.0" encoding="utf-8"?>
<formControlPr xmlns="http://schemas.microsoft.com/office/spreadsheetml/2009/9/main" objectType="CheckBox" autoLine="false" print="true" fmlaLink="B!$C$362" lockText="1" noThreeD="1"/>
</file>

<file path=xl/ctrlProps/ctrlProps43.xml><?xml version="1.0" encoding="utf-8"?>
<formControlPr xmlns="http://schemas.microsoft.com/office/spreadsheetml/2009/9/main" objectType="CheckBox" autoLine="false" print="true" fmlaLink="B!$C$367" lockText="1" noThreeD="1"/>
</file>

<file path=xl/ctrlProps/ctrlProps44.xml><?xml version="1.0" encoding="utf-8"?>
<formControlPr xmlns="http://schemas.microsoft.com/office/spreadsheetml/2009/9/main" objectType="CheckBox" autoLine="false" print="true" fmlaLink="B!$C$372" lockText="1" noThreeD="1"/>
</file>

<file path=xl/ctrlProps/ctrlProps45.xml><?xml version="1.0" encoding="utf-8"?>
<formControlPr xmlns="http://schemas.microsoft.com/office/spreadsheetml/2009/9/main" objectType="CheckBox" autoLine="false" print="true" fmlaLink="B!$C$377" lockText="1" noThreeD="1"/>
</file>

<file path=xl/ctrlProps/ctrlProps46.xml><?xml version="1.0" encoding="utf-8"?>
<formControlPr xmlns="http://schemas.microsoft.com/office/spreadsheetml/2009/9/main" objectType="CheckBox" autoLine="false" print="true" fmlaLink="B!$C$382" lockText="1" noThreeD="1"/>
</file>

<file path=xl/ctrlProps/ctrlProps47.xml><?xml version="1.0" encoding="utf-8"?>
<formControlPr xmlns="http://schemas.microsoft.com/office/spreadsheetml/2009/9/main" objectType="CheckBox" autoLine="false" print="true" fmlaLink="B!$C$405" lockText="1" noThreeD="1"/>
</file>

<file path=xl/ctrlProps/ctrlProps48.xml><?xml version="1.0" encoding="utf-8"?>
<formControlPr xmlns="http://schemas.microsoft.com/office/spreadsheetml/2009/9/main" objectType="CheckBox" autoLine="false" print="true" fmlaLink="B!$C$410" lockText="1" noThreeD="1"/>
</file>

<file path=xl/ctrlProps/ctrlProps49.xml><?xml version="1.0" encoding="utf-8"?>
<formControlPr xmlns="http://schemas.microsoft.com/office/spreadsheetml/2009/9/main" objectType="CheckBox" autoLine="false" print="true" fmlaLink="B!$C$415" lockText="1" noThreeD="1"/>
</file>

<file path=xl/ctrlProps/ctrlProps50.xml><?xml version="1.0" encoding="utf-8"?>
<formControlPr xmlns="http://schemas.microsoft.com/office/spreadsheetml/2009/9/main" objectType="CheckBox" autoLine="false" print="true" fmlaLink="B!$C$420" lockText="1" noThreeD="1"/>
</file>

<file path=xl/ctrlProps/ctrlProps51.xml><?xml version="1.0" encoding="utf-8"?>
<formControlPr xmlns="http://schemas.microsoft.com/office/spreadsheetml/2009/9/main" objectType="CheckBox" autoLine="false" print="true" fmlaLink="B!$C$425" lockText="1" noThreeD="1"/>
</file>

<file path=xl/ctrlProps/ctrlProps52.xml><?xml version="1.0" encoding="utf-8"?>
<formControlPr xmlns="http://schemas.microsoft.com/office/spreadsheetml/2009/9/main" objectType="CheckBox" autoLine="false" print="true" fmlaLink="B!$F$18" lockText="1" noThreeD="1"/>
</file>

<file path=xl/ctrlProps/ctrlProps53.xml><?xml version="1.0" encoding="utf-8"?>
<formControlPr xmlns="http://schemas.microsoft.com/office/spreadsheetml/2009/9/main" objectType="CheckBox" autoLine="false" print="true" fmlaLink="B!$F$23" lockText="1" noThreeD="1"/>
</file>

<file path=xl/ctrlProps/ctrlProps54.xml><?xml version="1.0" encoding="utf-8"?>
<formControlPr xmlns="http://schemas.microsoft.com/office/spreadsheetml/2009/9/main" objectType="CheckBox" autoLine="false" print="true" fmlaLink="B!$F$28" lockText="1" noThreeD="1"/>
</file>

<file path=xl/ctrlProps/ctrlProps55.xml><?xml version="1.0" encoding="utf-8"?>
<formControlPr xmlns="http://schemas.microsoft.com/office/spreadsheetml/2009/9/main" objectType="CheckBox" autoLine="false" print="true" fmlaLink="B!$F$33" lockText="1" noThreeD="1"/>
</file>

<file path=xl/ctrlProps/ctrlProps56.xml><?xml version="1.0" encoding="utf-8"?>
<formControlPr xmlns="http://schemas.microsoft.com/office/spreadsheetml/2009/9/main" objectType="CheckBox" autoLine="false" print="true" fmlaLink="B!$F$38" lockText="1" noThreeD="1"/>
</file>

<file path=xl/ctrlProps/ctrlProps57.xml><?xml version="1.0" encoding="utf-8"?>
<formControlPr xmlns="http://schemas.microsoft.com/office/spreadsheetml/2009/9/main" objectType="CheckBox" autoLine="false" print="true" fmlaLink="B!$F$61" lockText="1" noThreeD="1"/>
</file>

<file path=xl/ctrlProps/ctrlProps58.xml><?xml version="1.0" encoding="utf-8"?>
<formControlPr xmlns="http://schemas.microsoft.com/office/spreadsheetml/2009/9/main" objectType="CheckBox" autoLine="false" print="true" fmlaLink="B!$F$66" lockText="1" noThreeD="1"/>
</file>

<file path=xl/ctrlProps/ctrlProps59.xml><?xml version="1.0" encoding="utf-8"?>
<formControlPr xmlns="http://schemas.microsoft.com/office/spreadsheetml/2009/9/main" objectType="CheckBox" autoLine="false" print="true" fmlaLink="B!$F$71" lockText="1" noThreeD="1"/>
</file>

<file path=xl/ctrlProps/ctrlProps60.xml><?xml version="1.0" encoding="utf-8"?>
<formControlPr xmlns="http://schemas.microsoft.com/office/spreadsheetml/2009/9/main" objectType="CheckBox" autoLine="false" print="true" fmlaLink="B!$F$76" lockText="1" noThreeD="1"/>
</file>

<file path=xl/ctrlProps/ctrlProps61.xml><?xml version="1.0" encoding="utf-8"?>
<formControlPr xmlns="http://schemas.microsoft.com/office/spreadsheetml/2009/9/main" objectType="CheckBox" autoLine="false" print="true" fmlaLink="B!$F$81" lockText="1" noThreeD="1"/>
</file>

<file path=xl/ctrlProps/ctrlProps62.xml><?xml version="1.0" encoding="utf-8"?>
<formControlPr xmlns="http://schemas.microsoft.com/office/spreadsheetml/2009/9/main" objectType="CheckBox" autoLine="false" print="true" fmlaLink="B!$F$104" lockText="1" noThreeD="1"/>
</file>

<file path=xl/ctrlProps/ctrlProps63.xml><?xml version="1.0" encoding="utf-8"?>
<formControlPr xmlns="http://schemas.microsoft.com/office/spreadsheetml/2009/9/main" objectType="CheckBox" autoLine="false" print="true" fmlaLink="B!$F$109" lockText="1" noThreeD="1"/>
</file>

<file path=xl/ctrlProps/ctrlProps64.xml><?xml version="1.0" encoding="utf-8"?>
<formControlPr xmlns="http://schemas.microsoft.com/office/spreadsheetml/2009/9/main" objectType="CheckBox" autoLine="false" print="true" fmlaLink="B!$F$114" lockText="1" noThreeD="1"/>
</file>

<file path=xl/ctrlProps/ctrlProps65.xml><?xml version="1.0" encoding="utf-8"?>
<formControlPr xmlns="http://schemas.microsoft.com/office/spreadsheetml/2009/9/main" objectType="CheckBox" autoLine="false" print="true" fmlaLink="B!$F$119" lockText="1" noThreeD="1"/>
</file>

<file path=xl/ctrlProps/ctrlProps66.xml><?xml version="1.0" encoding="utf-8"?>
<formControlPr xmlns="http://schemas.microsoft.com/office/spreadsheetml/2009/9/main" objectType="CheckBox" autoLine="false" print="true" fmlaLink="B!$F$124" lockText="1" noThreeD="1"/>
</file>

<file path=xl/ctrlProps/ctrlProps67.xml><?xml version="1.0" encoding="utf-8"?>
<formControlPr xmlns="http://schemas.microsoft.com/office/spreadsheetml/2009/9/main" objectType="CheckBox" autoLine="false" print="true" fmlaLink="B!$F$147" lockText="1" noThreeD="1"/>
</file>

<file path=xl/ctrlProps/ctrlProps68.xml><?xml version="1.0" encoding="utf-8"?>
<formControlPr xmlns="http://schemas.microsoft.com/office/spreadsheetml/2009/9/main" objectType="CheckBox" autoLine="false" print="true" fmlaLink="B!$F$152" lockText="1" noThreeD="1"/>
</file>

<file path=xl/ctrlProps/ctrlProps69.xml><?xml version="1.0" encoding="utf-8"?>
<formControlPr xmlns="http://schemas.microsoft.com/office/spreadsheetml/2009/9/main" objectType="CheckBox" autoLine="false" print="true" fmlaLink="B!$F$157" lockText="1" noThreeD="1"/>
</file>

<file path=xl/ctrlProps/ctrlProps70.xml><?xml version="1.0" encoding="utf-8"?>
<formControlPr xmlns="http://schemas.microsoft.com/office/spreadsheetml/2009/9/main" objectType="CheckBox" autoLine="false" print="true" fmlaLink="B!$F$162" lockText="1" noThreeD="1"/>
</file>

<file path=xl/ctrlProps/ctrlProps71.xml><?xml version="1.0" encoding="utf-8"?>
<formControlPr xmlns="http://schemas.microsoft.com/office/spreadsheetml/2009/9/main" objectType="CheckBox" autoLine="false" print="true" fmlaLink="B!$F$167" lockText="1" noThreeD="1"/>
</file>

<file path=xl/ctrlProps/ctrlProps72.xml><?xml version="1.0" encoding="utf-8"?>
<formControlPr xmlns="http://schemas.microsoft.com/office/spreadsheetml/2009/9/main" objectType="CheckBox" autoLine="false" print="true" fmlaLink="B!$F$190" lockText="1" noThreeD="1"/>
</file>

<file path=xl/ctrlProps/ctrlProps73.xml><?xml version="1.0" encoding="utf-8"?>
<formControlPr xmlns="http://schemas.microsoft.com/office/spreadsheetml/2009/9/main" objectType="CheckBox" autoLine="false" print="true" fmlaLink="B!$F$195" lockText="1" noThreeD="1"/>
</file>

<file path=xl/ctrlProps/ctrlProps74.xml><?xml version="1.0" encoding="utf-8"?>
<formControlPr xmlns="http://schemas.microsoft.com/office/spreadsheetml/2009/9/main" objectType="CheckBox" autoLine="false" print="true" fmlaLink="B!$F$200" lockText="1" noThreeD="1"/>
</file>

<file path=xl/ctrlProps/ctrlProps75.xml><?xml version="1.0" encoding="utf-8"?>
<formControlPr xmlns="http://schemas.microsoft.com/office/spreadsheetml/2009/9/main" objectType="CheckBox" autoLine="false" print="true" fmlaLink="B!$F$205" lockText="1" noThreeD="1"/>
</file>

<file path=xl/ctrlProps/ctrlProps76.xml><?xml version="1.0" encoding="utf-8"?>
<formControlPr xmlns="http://schemas.microsoft.com/office/spreadsheetml/2009/9/main" objectType="CheckBox" autoLine="false" print="true" fmlaLink="B!$F$210" lockText="1" noThreeD="1"/>
</file>

<file path=xl/ctrlProps/ctrlProps77.xml><?xml version="1.0" encoding="utf-8"?>
<formControlPr xmlns="http://schemas.microsoft.com/office/spreadsheetml/2009/9/main" objectType="CheckBox" autoLine="false" print="true" fmlaLink="B!$F$233" lockText="1" noThreeD="1"/>
</file>

<file path=xl/ctrlProps/ctrlProps78.xml><?xml version="1.0" encoding="utf-8"?>
<formControlPr xmlns="http://schemas.microsoft.com/office/spreadsheetml/2009/9/main" objectType="CheckBox" autoLine="false" print="true" fmlaLink="B!$F$238" lockText="1" noThreeD="1"/>
</file>

<file path=xl/ctrlProps/ctrlProps79.xml><?xml version="1.0" encoding="utf-8"?>
<formControlPr xmlns="http://schemas.microsoft.com/office/spreadsheetml/2009/9/main" objectType="CheckBox" autoLine="false" print="true" fmlaLink="B!$F$243" lockText="1" noThreeD="1"/>
</file>

<file path=xl/ctrlProps/ctrlProps80.xml><?xml version="1.0" encoding="utf-8"?>
<formControlPr xmlns="http://schemas.microsoft.com/office/spreadsheetml/2009/9/main" objectType="CheckBox" autoLine="false" print="true" fmlaLink="B!$F$248" lockText="1" noThreeD="1"/>
</file>

<file path=xl/ctrlProps/ctrlProps81.xml><?xml version="1.0" encoding="utf-8"?>
<formControlPr xmlns="http://schemas.microsoft.com/office/spreadsheetml/2009/9/main" objectType="CheckBox" autoLine="false" print="true" fmlaLink="B!$F$253" lockText="1" noThreeD="1"/>
</file>

<file path=xl/ctrlProps/ctrlProps82.xml><?xml version="1.0" encoding="utf-8"?>
<formControlPr xmlns="http://schemas.microsoft.com/office/spreadsheetml/2009/9/main" objectType="CheckBox" autoLine="false" print="true" fmlaLink="B!$F$276" lockText="1" noThreeD="1"/>
</file>

<file path=xl/ctrlProps/ctrlProps83.xml><?xml version="1.0" encoding="utf-8"?>
<formControlPr xmlns="http://schemas.microsoft.com/office/spreadsheetml/2009/9/main" objectType="CheckBox" autoLine="false" print="true" fmlaLink="B!$F$281" lockText="1" noThreeD="1"/>
</file>

<file path=xl/ctrlProps/ctrlProps84.xml><?xml version="1.0" encoding="utf-8"?>
<formControlPr xmlns="http://schemas.microsoft.com/office/spreadsheetml/2009/9/main" objectType="CheckBox" autoLine="false" print="true" fmlaLink="B!$F$286" lockText="1" noThreeD="1"/>
</file>

<file path=xl/ctrlProps/ctrlProps85.xml><?xml version="1.0" encoding="utf-8"?>
<formControlPr xmlns="http://schemas.microsoft.com/office/spreadsheetml/2009/9/main" objectType="CheckBox" autoLine="false" print="true" fmlaLink="B!$F$291" lockText="1" noThreeD="1"/>
</file>

<file path=xl/ctrlProps/ctrlProps86.xml><?xml version="1.0" encoding="utf-8"?>
<formControlPr xmlns="http://schemas.microsoft.com/office/spreadsheetml/2009/9/main" objectType="CheckBox" autoLine="false" print="true" fmlaLink="B!$F$296" lockText="1" noThreeD="1"/>
</file>

<file path=xl/ctrlProps/ctrlProps87.xml><?xml version="1.0" encoding="utf-8"?>
<formControlPr xmlns="http://schemas.microsoft.com/office/spreadsheetml/2009/9/main" objectType="CheckBox" autoLine="false" print="true" fmlaLink="B!$F$319" lockText="1" noThreeD="1"/>
</file>

<file path=xl/ctrlProps/ctrlProps88.xml><?xml version="1.0" encoding="utf-8"?>
<formControlPr xmlns="http://schemas.microsoft.com/office/spreadsheetml/2009/9/main" objectType="CheckBox" autoLine="false" print="true" fmlaLink="B!$F$324" lockText="1" noThreeD="1"/>
</file>

<file path=xl/ctrlProps/ctrlProps89.xml><?xml version="1.0" encoding="utf-8"?>
<formControlPr xmlns="http://schemas.microsoft.com/office/spreadsheetml/2009/9/main" objectType="CheckBox" autoLine="false" print="true" fmlaLink="B!$F$329" lockText="1" noThreeD="1"/>
</file>

<file path=xl/ctrlProps/ctrlProps90.xml><?xml version="1.0" encoding="utf-8"?>
<formControlPr xmlns="http://schemas.microsoft.com/office/spreadsheetml/2009/9/main" objectType="CheckBox" autoLine="false" print="true" fmlaLink="B!$F$334" lockText="1" noThreeD="1"/>
</file>

<file path=xl/ctrlProps/ctrlProps91.xml><?xml version="1.0" encoding="utf-8"?>
<formControlPr xmlns="http://schemas.microsoft.com/office/spreadsheetml/2009/9/main" objectType="CheckBox" autoLine="false" print="true" fmlaLink="B!$F$339" lockText="1" noThreeD="1"/>
</file>

<file path=xl/ctrlProps/ctrlProps92.xml><?xml version="1.0" encoding="utf-8"?>
<formControlPr xmlns="http://schemas.microsoft.com/office/spreadsheetml/2009/9/main" objectType="CheckBox" autoLine="false" print="true" fmlaLink="B!$F$362" lockText="1" noThreeD="1"/>
</file>

<file path=xl/ctrlProps/ctrlProps93.xml><?xml version="1.0" encoding="utf-8"?>
<formControlPr xmlns="http://schemas.microsoft.com/office/spreadsheetml/2009/9/main" objectType="CheckBox" autoLine="false" print="true" fmlaLink="B!$F$367" lockText="1" noThreeD="1"/>
</file>

<file path=xl/ctrlProps/ctrlProps94.xml><?xml version="1.0" encoding="utf-8"?>
<formControlPr xmlns="http://schemas.microsoft.com/office/spreadsheetml/2009/9/main" objectType="CheckBox" autoLine="false" print="true" fmlaLink="B!$F$372" lockText="1" noThreeD="1"/>
</file>

<file path=xl/ctrlProps/ctrlProps95.xml><?xml version="1.0" encoding="utf-8"?>
<formControlPr xmlns="http://schemas.microsoft.com/office/spreadsheetml/2009/9/main" objectType="CheckBox" autoLine="false" print="true" fmlaLink="B!$F$377" lockText="1" noThreeD="1"/>
</file>

<file path=xl/ctrlProps/ctrlProps96.xml><?xml version="1.0" encoding="utf-8"?>
<formControlPr xmlns="http://schemas.microsoft.com/office/spreadsheetml/2009/9/main" objectType="CheckBox" autoLine="false" print="true" fmlaLink="B!$F$382" lockText="1" noThreeD="1"/>
</file>

<file path=xl/ctrlProps/ctrlProps97.xml><?xml version="1.0" encoding="utf-8"?>
<formControlPr xmlns="http://schemas.microsoft.com/office/spreadsheetml/2009/9/main" objectType="CheckBox" autoLine="false" print="true" fmlaLink="B!$F$405" lockText="1" noThreeD="1"/>
</file>

<file path=xl/ctrlProps/ctrlProps98.xml><?xml version="1.0" encoding="utf-8"?>
<formControlPr xmlns="http://schemas.microsoft.com/office/spreadsheetml/2009/9/main" objectType="CheckBox" autoLine="false" print="true" fmlaLink="B!$F$410" lockText="1" noThreeD="1"/>
</file>

<file path=xl/ctrlProps/ctrlProps99.xml><?xml version="1.0" encoding="utf-8"?>
<formControlPr xmlns="http://schemas.microsoft.com/office/spreadsheetml/2009/9/main" objectType="CheckBox" autoLine="false" print="true" fmlaLink="B!$F$415" lockText="1" noThreeD="1"/>
</file>

<file path=xl/ctrlProps/ctrlProps100.xml><?xml version="1.0" encoding="utf-8"?>
<formControlPr xmlns="http://schemas.microsoft.com/office/spreadsheetml/2009/9/main" objectType="CheckBox" autoLine="false" print="true" fmlaLink="B!$F$420" lockText="1" noThreeD="1"/>
</file>

<file path=xl/ctrlProps/ctrlProps101.xml><?xml version="1.0" encoding="utf-8"?>
<formControlPr xmlns="http://schemas.microsoft.com/office/spreadsheetml/2009/9/main" objectType="CheckBox" autoLine="false" print="true" fmlaLink="B!$F$425" lockText="1" noThreeD="1"/>
</file>

<file path=xl/ctrlProps/ctrlProps102.xml><?xml version="1.0" encoding="utf-8"?>
<formControlPr xmlns="http://schemas.microsoft.com/office/spreadsheetml/2009/9/main" objectType="Button" lockText="1"/>
</file>

<file path=xl/ctrlProps/ctrlProps104.xml><?xml version="1.0" encoding="utf-8"?>
<formControlPr xmlns="http://schemas.microsoft.com/office/spreadsheetml/2009/9/main" objectType="Button" lockText="1"/>
</file>

<file path=xl/ctrlProps/ctrlProps106.xml><?xml version="1.0" encoding="utf-8"?>
<formControlPr xmlns="http://schemas.microsoft.com/office/spreadsheetml/2009/9/main" objectType="Button" lockText="1"/>
</file>

<file path=xl/ctrlProps/ctrlProps108.xml><?xml version="1.0" encoding="utf-8"?>
<formControlPr xmlns="http://schemas.microsoft.com/office/spreadsheetml/2009/9/main" objectType="Button" lockText="1"/>
</file>

<file path=xl/ctrlProps/ctrlProps110.xml><?xml version="1.0" encoding="utf-8"?>
<formControlPr xmlns="http://schemas.microsoft.com/office/spreadsheetml/2009/9/main" objectType="Button" lockText="1"/>
</file>

<file path=xl/ctrlProps/ctrlProps112.xml><?xml version="1.0" encoding="utf-8"?>
<formControlPr xmlns="http://schemas.microsoft.com/office/spreadsheetml/2009/9/main" objectType="Button" lockText="1"/>
</file>

<file path=xl/ctrlProps/ctrlProps114.xml><?xml version="1.0" encoding="utf-8"?>
<formControlPr xmlns="http://schemas.microsoft.com/office/spreadsheetml/2009/9/main" objectType="Button" lockText="1"/>
</file>

<file path=xl/ctrlProps/ctrlProps116.xml><?xml version="1.0" encoding="utf-8"?>
<formControlPr xmlns="http://schemas.microsoft.com/office/spreadsheetml/2009/9/main" objectType="Button" lockText="1"/>
</file>

<file path=xl/ctrlProps/ctrlProps118.xml><?xml version="1.0" encoding="utf-8"?>
<formControlPr xmlns="http://schemas.microsoft.com/office/spreadsheetml/2009/9/main" objectType="Button" lockText="1"/>
</file>

<file path=xl/ctrlProps/ctrlProps120.xml><?xml version="1.0" encoding="utf-8"?>
<formControlPr xmlns="http://schemas.microsoft.com/office/spreadsheetml/2009/9/main" objectType="Button" lockText="1"/>
</file>

<file path=xl/ctrlProps/ctrlProps122.xml><?xml version="1.0" encoding="utf-8"?>
<formControlPr xmlns="http://schemas.microsoft.com/office/spreadsheetml/2009/9/main" objectType="Button" lockText="1"/>
</file>

<file path=xl/ctrlProps/ctrlProps124.xml><?xml version="1.0" encoding="utf-8"?>
<formControlPr xmlns="http://schemas.microsoft.com/office/spreadsheetml/2009/9/main" objectType="Button" lockText="1"/>
</file>

<file path=xl/ctrlProps/ctrlProps126.xml><?xml version="1.0" encoding="utf-8"?>
<formControlPr xmlns="http://schemas.microsoft.com/office/spreadsheetml/2009/9/main" objectType="Button" lockText="1"/>
</file>

<file path=xl/ctrlProps/ctrlProps128.xml><?xml version="1.0" encoding="utf-8"?>
<formControlPr xmlns="http://schemas.microsoft.com/office/spreadsheetml/2009/9/main" objectType="Button" lockText="1"/>
</file>

<file path=xl/ctrlProps/ctrlProps130.xml><?xml version="1.0" encoding="utf-8"?>
<formControlPr xmlns="http://schemas.microsoft.com/office/spreadsheetml/2009/9/main" objectType="Button" lockText="1"/>
</file>

<file path=xl/ctrlProps/ctrlProps132.xml><?xml version="1.0" encoding="utf-8"?>
<formControlPr xmlns="http://schemas.microsoft.com/office/spreadsheetml/2009/9/main" objectType="Button" lockText="1"/>
</file>

<file path=xl/ctrlProps/ctrlProps134.xml><?xml version="1.0" encoding="utf-8"?>
<formControlPr xmlns="http://schemas.microsoft.com/office/spreadsheetml/2009/9/main" objectType="Button" lockText="1"/>
</file>

<file path=xl/ctrlProps/ctrlProps136.xml><?xml version="1.0" encoding="utf-8"?>
<formControlPr xmlns="http://schemas.microsoft.com/office/spreadsheetml/2009/9/main" objectType="Button" lockText="1"/>
</file>

<file path=xl/ctrlProps/ctrlProps138.xml><?xml version="1.0" encoding="utf-8"?>
<formControlPr xmlns="http://schemas.microsoft.com/office/spreadsheetml/2009/9/main" objectType="Button" lockText="1"/>
</file>

<file path=xl/ctrlProps/ctrlProps140.xml><?xml version="1.0" encoding="utf-8"?>
<formControlPr xmlns="http://schemas.microsoft.com/office/spreadsheetml/2009/9/main" objectType="Button" lockText="1"/>
</file>

<file path=xl/ctrlProps/ctrlProps142.xml><?xml version="1.0" encoding="utf-8"?>
<formControlPr xmlns="http://schemas.microsoft.com/office/spreadsheetml/2009/9/main" objectType="Button" lockText="1"/>
</file>

<file path=xl/ctrlProps/ctrlProps144.xml><?xml version="1.0" encoding="utf-8"?>
<formControlPr xmlns="http://schemas.microsoft.com/office/spreadsheetml/2009/9/main" objectType="Button" lockText="1"/>
</file>

<file path=xl/ctrlProps/ctrlProps146.xml><?xml version="1.0" encoding="utf-8"?>
<formControlPr xmlns="http://schemas.microsoft.com/office/spreadsheetml/2009/9/main" objectType="Button" lockText="1"/>
</file>

<file path=xl/ctrlProps/ctrlProps148.xml><?xml version="1.0" encoding="utf-8"?>
<formControlPr xmlns="http://schemas.microsoft.com/office/spreadsheetml/2009/9/main" objectType="Button" lockText="1"/>
</file>

<file path=xl/ctrlProps/ctrlProps149.xml><?xml version="1.0" encoding="utf-8"?>
<formControlPr xmlns="http://schemas.microsoft.com/office/spreadsheetml/2009/9/main" objectType="Button" lockText="1"/>
</file>

<file path=xl/ctrlProps/ctrlProps150.xml><?xml version="1.0" encoding="utf-8"?>
<formControlPr xmlns="http://schemas.microsoft.com/office/spreadsheetml/2009/9/main" objectType="Button" lockText="1"/>
</file>

<file path=xl/ctrlProps/ctrlProps151.xml><?xml version="1.0" encoding="utf-8"?>
<formControlPr xmlns="http://schemas.microsoft.com/office/spreadsheetml/2009/9/main" objectType="Button" lockText="1"/>
</file>

<file path=xl/ctrlProps/ctrlProps152.xml><?xml version="1.0" encoding="utf-8"?>
<formControlPr xmlns="http://schemas.microsoft.com/office/spreadsheetml/2009/9/main" objectType="Button" lockText="1"/>
</file>

<file path=xl/ctrlProps/ctrlProps153.xml><?xml version="1.0" encoding="utf-8"?>
<formControlPr xmlns="http://schemas.microsoft.com/office/spreadsheetml/2009/9/main" objectType="Button" lockText="1"/>
</file>

<file path=xl/ctrlProps/ctrlProps1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194400</xdr:colOff>
          <xdr:row>17</xdr:row>
          <xdr:rowOff>134640</xdr:rowOff>
        </xdr:from>
        <xdr:to>
          <xdr:col>4</xdr:col>
          <xdr:colOff>610200</xdr:colOff>
          <xdr:row>18</xdr:row>
          <xdr:rowOff>153720</xdr:rowOff>
        </xdr:to>
        <xdr:sp>
          <xdr:nvSpPr>
            <xdr:cNvPr id="1001" name="Check Box 1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22</xdr:row>
          <xdr:rowOff>29880</xdr:rowOff>
        </xdr:from>
        <xdr:to>
          <xdr:col>3</xdr:col>
          <xdr:colOff>0</xdr:colOff>
          <xdr:row>23</xdr:row>
          <xdr:rowOff>48960</xdr:rowOff>
        </xdr:to>
        <xdr:sp>
          <xdr:nvSpPr>
            <xdr:cNvPr id="1002" name="Check Box 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27</xdr:row>
          <xdr:rowOff>29880</xdr:rowOff>
        </xdr:from>
        <xdr:to>
          <xdr:col>3</xdr:col>
          <xdr:colOff>0</xdr:colOff>
          <xdr:row>28</xdr:row>
          <xdr:rowOff>48960</xdr:rowOff>
        </xdr:to>
        <xdr:sp>
          <xdr:nvSpPr>
            <xdr:cNvPr id="1003" name="Check Box 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</xdr:row>
          <xdr:rowOff>29520</xdr:rowOff>
        </xdr:from>
        <xdr:to>
          <xdr:col>3</xdr:col>
          <xdr:colOff>0</xdr:colOff>
          <xdr:row>33</xdr:row>
          <xdr:rowOff>48960</xdr:rowOff>
        </xdr:to>
        <xdr:sp>
          <xdr:nvSpPr>
            <xdr:cNvPr id="1004" name="Check Box 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</xdr:row>
          <xdr:rowOff>29880</xdr:rowOff>
        </xdr:from>
        <xdr:to>
          <xdr:col>3</xdr:col>
          <xdr:colOff>0</xdr:colOff>
          <xdr:row>38</xdr:row>
          <xdr:rowOff>48600</xdr:rowOff>
        </xdr:to>
        <xdr:sp>
          <xdr:nvSpPr>
            <xdr:cNvPr id="1005" name="Check Box 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60</xdr:row>
          <xdr:rowOff>48960</xdr:rowOff>
        </xdr:from>
        <xdr:to>
          <xdr:col>3</xdr:col>
          <xdr:colOff>0</xdr:colOff>
          <xdr:row>61</xdr:row>
          <xdr:rowOff>68040</xdr:rowOff>
        </xdr:to>
        <xdr:sp>
          <xdr:nvSpPr>
            <xdr:cNvPr id="1006" name="Check Box 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65</xdr:row>
          <xdr:rowOff>48960</xdr:rowOff>
        </xdr:from>
        <xdr:to>
          <xdr:col>3</xdr:col>
          <xdr:colOff>0</xdr:colOff>
          <xdr:row>66</xdr:row>
          <xdr:rowOff>68040</xdr:rowOff>
        </xdr:to>
        <xdr:sp>
          <xdr:nvSpPr>
            <xdr:cNvPr id="1007" name="Check Box 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70</xdr:row>
          <xdr:rowOff>48960</xdr:rowOff>
        </xdr:from>
        <xdr:to>
          <xdr:col>3</xdr:col>
          <xdr:colOff>0</xdr:colOff>
          <xdr:row>71</xdr:row>
          <xdr:rowOff>68040</xdr:rowOff>
        </xdr:to>
        <xdr:sp>
          <xdr:nvSpPr>
            <xdr:cNvPr id="1008" name="Check Box 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75</xdr:row>
          <xdr:rowOff>48960</xdr:rowOff>
        </xdr:from>
        <xdr:to>
          <xdr:col>3</xdr:col>
          <xdr:colOff>0</xdr:colOff>
          <xdr:row>76</xdr:row>
          <xdr:rowOff>68040</xdr:rowOff>
        </xdr:to>
        <xdr:sp>
          <xdr:nvSpPr>
            <xdr:cNvPr id="1009" name="Check Box 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80</xdr:row>
          <xdr:rowOff>48600</xdr:rowOff>
        </xdr:from>
        <xdr:to>
          <xdr:col>3</xdr:col>
          <xdr:colOff>0</xdr:colOff>
          <xdr:row>81</xdr:row>
          <xdr:rowOff>68040</xdr:rowOff>
        </xdr:to>
        <xdr:sp>
          <xdr:nvSpPr>
            <xdr:cNvPr id="1010" name="Check Box 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103</xdr:row>
          <xdr:rowOff>68040</xdr:rowOff>
        </xdr:from>
        <xdr:to>
          <xdr:col>3</xdr:col>
          <xdr:colOff>0</xdr:colOff>
          <xdr:row>104</xdr:row>
          <xdr:rowOff>86760</xdr:rowOff>
        </xdr:to>
        <xdr:sp>
          <xdr:nvSpPr>
            <xdr:cNvPr id="1011" name="Check Box 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108</xdr:row>
          <xdr:rowOff>68040</xdr:rowOff>
        </xdr:from>
        <xdr:to>
          <xdr:col>3</xdr:col>
          <xdr:colOff>0</xdr:colOff>
          <xdr:row>109</xdr:row>
          <xdr:rowOff>87120</xdr:rowOff>
        </xdr:to>
        <xdr:sp>
          <xdr:nvSpPr>
            <xdr:cNvPr id="1012" name="Check Box 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113</xdr:row>
          <xdr:rowOff>68040</xdr:rowOff>
        </xdr:from>
        <xdr:to>
          <xdr:col>3</xdr:col>
          <xdr:colOff>0</xdr:colOff>
          <xdr:row>114</xdr:row>
          <xdr:rowOff>87120</xdr:rowOff>
        </xdr:to>
        <xdr:sp>
          <xdr:nvSpPr>
            <xdr:cNvPr id="1013" name="Check Box 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118</xdr:row>
          <xdr:rowOff>68040</xdr:rowOff>
        </xdr:from>
        <xdr:to>
          <xdr:col>3</xdr:col>
          <xdr:colOff>0</xdr:colOff>
          <xdr:row>119</xdr:row>
          <xdr:rowOff>87120</xdr:rowOff>
        </xdr:to>
        <xdr:sp>
          <xdr:nvSpPr>
            <xdr:cNvPr id="1014" name="Check Box 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123</xdr:row>
          <xdr:rowOff>67680</xdr:rowOff>
        </xdr:from>
        <xdr:to>
          <xdr:col>3</xdr:col>
          <xdr:colOff>0</xdr:colOff>
          <xdr:row>124</xdr:row>
          <xdr:rowOff>87120</xdr:rowOff>
        </xdr:to>
        <xdr:sp>
          <xdr:nvSpPr>
            <xdr:cNvPr id="1015" name="Check Box 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146</xdr:row>
          <xdr:rowOff>86760</xdr:rowOff>
        </xdr:from>
        <xdr:to>
          <xdr:col>3</xdr:col>
          <xdr:colOff>0</xdr:colOff>
          <xdr:row>147</xdr:row>
          <xdr:rowOff>105840</xdr:rowOff>
        </xdr:to>
        <xdr:sp>
          <xdr:nvSpPr>
            <xdr:cNvPr id="1016" name="Check Box 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151</xdr:row>
          <xdr:rowOff>87120</xdr:rowOff>
        </xdr:from>
        <xdr:to>
          <xdr:col>3</xdr:col>
          <xdr:colOff>0</xdr:colOff>
          <xdr:row>152</xdr:row>
          <xdr:rowOff>105840</xdr:rowOff>
        </xdr:to>
        <xdr:sp>
          <xdr:nvSpPr>
            <xdr:cNvPr id="1017" name="Check Box 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156</xdr:row>
          <xdr:rowOff>87120</xdr:rowOff>
        </xdr:from>
        <xdr:to>
          <xdr:col>3</xdr:col>
          <xdr:colOff>0</xdr:colOff>
          <xdr:row>157</xdr:row>
          <xdr:rowOff>106200</xdr:rowOff>
        </xdr:to>
        <xdr:sp>
          <xdr:nvSpPr>
            <xdr:cNvPr id="1018" name="Check Box 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161</xdr:row>
          <xdr:rowOff>87120</xdr:rowOff>
        </xdr:from>
        <xdr:to>
          <xdr:col>3</xdr:col>
          <xdr:colOff>0</xdr:colOff>
          <xdr:row>162</xdr:row>
          <xdr:rowOff>106200</xdr:rowOff>
        </xdr:to>
        <xdr:sp>
          <xdr:nvSpPr>
            <xdr:cNvPr id="1019" name="Check Box 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166</xdr:row>
          <xdr:rowOff>87120</xdr:rowOff>
        </xdr:from>
        <xdr:to>
          <xdr:col>3</xdr:col>
          <xdr:colOff>0</xdr:colOff>
          <xdr:row>167</xdr:row>
          <xdr:rowOff>106200</xdr:rowOff>
        </xdr:to>
        <xdr:sp>
          <xdr:nvSpPr>
            <xdr:cNvPr id="1020" name="Check Box 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189</xdr:row>
          <xdr:rowOff>105840</xdr:rowOff>
        </xdr:from>
        <xdr:to>
          <xdr:col>3</xdr:col>
          <xdr:colOff>0</xdr:colOff>
          <xdr:row>190</xdr:row>
          <xdr:rowOff>124920</xdr:rowOff>
        </xdr:to>
        <xdr:sp>
          <xdr:nvSpPr>
            <xdr:cNvPr id="1021" name="Check Box 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194</xdr:row>
          <xdr:rowOff>105840</xdr:rowOff>
        </xdr:from>
        <xdr:to>
          <xdr:col>3</xdr:col>
          <xdr:colOff>0</xdr:colOff>
          <xdr:row>195</xdr:row>
          <xdr:rowOff>124920</xdr:rowOff>
        </xdr:to>
        <xdr:sp>
          <xdr:nvSpPr>
            <xdr:cNvPr id="1022" name="Check Box 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199</xdr:row>
          <xdr:rowOff>106200</xdr:rowOff>
        </xdr:from>
        <xdr:to>
          <xdr:col>3</xdr:col>
          <xdr:colOff>0</xdr:colOff>
          <xdr:row>200</xdr:row>
          <xdr:rowOff>124920</xdr:rowOff>
        </xdr:to>
        <xdr:sp>
          <xdr:nvSpPr>
            <xdr:cNvPr id="1023" name="Check Box 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204</xdr:row>
          <xdr:rowOff>106200</xdr:rowOff>
        </xdr:from>
        <xdr:to>
          <xdr:col>3</xdr:col>
          <xdr:colOff>0</xdr:colOff>
          <xdr:row>205</xdr:row>
          <xdr:rowOff>125280</xdr:rowOff>
        </xdr:to>
        <xdr:sp>
          <xdr:nvSpPr>
            <xdr:cNvPr id="1024" name="Check Box 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209</xdr:row>
          <xdr:rowOff>106200</xdr:rowOff>
        </xdr:from>
        <xdr:to>
          <xdr:col>3</xdr:col>
          <xdr:colOff>0</xdr:colOff>
          <xdr:row>210</xdr:row>
          <xdr:rowOff>125280</xdr:rowOff>
        </xdr:to>
        <xdr:sp>
          <xdr:nvSpPr>
            <xdr:cNvPr id="1025" name="Check Box 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232</xdr:row>
          <xdr:rowOff>124920</xdr:rowOff>
        </xdr:from>
        <xdr:to>
          <xdr:col>3</xdr:col>
          <xdr:colOff>0</xdr:colOff>
          <xdr:row>233</xdr:row>
          <xdr:rowOff>144360</xdr:rowOff>
        </xdr:to>
        <xdr:sp>
          <xdr:nvSpPr>
            <xdr:cNvPr id="1026" name="Check Box 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237</xdr:row>
          <xdr:rowOff>124920</xdr:rowOff>
        </xdr:from>
        <xdr:to>
          <xdr:col>3</xdr:col>
          <xdr:colOff>0</xdr:colOff>
          <xdr:row>238</xdr:row>
          <xdr:rowOff>144000</xdr:rowOff>
        </xdr:to>
        <xdr:sp>
          <xdr:nvSpPr>
            <xdr:cNvPr id="1027" name="Check Box 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242</xdr:row>
          <xdr:rowOff>124920</xdr:rowOff>
        </xdr:from>
        <xdr:to>
          <xdr:col>3</xdr:col>
          <xdr:colOff>0</xdr:colOff>
          <xdr:row>243</xdr:row>
          <xdr:rowOff>144000</xdr:rowOff>
        </xdr:to>
        <xdr:sp>
          <xdr:nvSpPr>
            <xdr:cNvPr id="1028" name="Check Box 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247</xdr:row>
          <xdr:rowOff>125280</xdr:rowOff>
        </xdr:from>
        <xdr:to>
          <xdr:col>3</xdr:col>
          <xdr:colOff>0</xdr:colOff>
          <xdr:row>248</xdr:row>
          <xdr:rowOff>144000</xdr:rowOff>
        </xdr:to>
        <xdr:sp>
          <xdr:nvSpPr>
            <xdr:cNvPr id="1029" name="Check Box 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252</xdr:row>
          <xdr:rowOff>125280</xdr:rowOff>
        </xdr:from>
        <xdr:to>
          <xdr:col>3</xdr:col>
          <xdr:colOff>0</xdr:colOff>
          <xdr:row>253</xdr:row>
          <xdr:rowOff>144360</xdr:rowOff>
        </xdr:to>
        <xdr:sp>
          <xdr:nvSpPr>
            <xdr:cNvPr id="1030" name="Check Box 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275</xdr:row>
          <xdr:rowOff>144000</xdr:rowOff>
        </xdr:from>
        <xdr:to>
          <xdr:col>3</xdr:col>
          <xdr:colOff>0</xdr:colOff>
          <xdr:row>276</xdr:row>
          <xdr:rowOff>163440</xdr:rowOff>
        </xdr:to>
        <xdr:sp>
          <xdr:nvSpPr>
            <xdr:cNvPr id="1031" name="Check Box 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280</xdr:row>
          <xdr:rowOff>144000</xdr:rowOff>
        </xdr:from>
        <xdr:to>
          <xdr:col>3</xdr:col>
          <xdr:colOff>0</xdr:colOff>
          <xdr:row>281</xdr:row>
          <xdr:rowOff>163080</xdr:rowOff>
        </xdr:to>
        <xdr:sp>
          <xdr:nvSpPr>
            <xdr:cNvPr id="1032" name="Check Box 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285</xdr:row>
          <xdr:rowOff>144000</xdr:rowOff>
        </xdr:from>
        <xdr:to>
          <xdr:col>3</xdr:col>
          <xdr:colOff>0</xdr:colOff>
          <xdr:row>286</xdr:row>
          <xdr:rowOff>163080</xdr:rowOff>
        </xdr:to>
        <xdr:sp>
          <xdr:nvSpPr>
            <xdr:cNvPr id="1033" name="Check Box 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290</xdr:row>
          <xdr:rowOff>144000</xdr:rowOff>
        </xdr:from>
        <xdr:to>
          <xdr:col>3</xdr:col>
          <xdr:colOff>0</xdr:colOff>
          <xdr:row>291</xdr:row>
          <xdr:rowOff>163080</xdr:rowOff>
        </xdr:to>
        <xdr:sp>
          <xdr:nvSpPr>
            <xdr:cNvPr id="1034" name="Check Box 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295</xdr:row>
          <xdr:rowOff>144360</xdr:rowOff>
        </xdr:from>
        <xdr:to>
          <xdr:col>3</xdr:col>
          <xdr:colOff>0</xdr:colOff>
          <xdr:row>296</xdr:row>
          <xdr:rowOff>163080</xdr:rowOff>
        </xdr:to>
        <xdr:sp>
          <xdr:nvSpPr>
            <xdr:cNvPr id="1035" name="Check Box 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318</xdr:row>
          <xdr:rowOff>163440</xdr:rowOff>
        </xdr:from>
        <xdr:to>
          <xdr:col>3</xdr:col>
          <xdr:colOff>0</xdr:colOff>
          <xdr:row>319</xdr:row>
          <xdr:rowOff>182520</xdr:rowOff>
        </xdr:to>
        <xdr:sp>
          <xdr:nvSpPr>
            <xdr:cNvPr id="1036" name="Check Box 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323</xdr:row>
          <xdr:rowOff>163080</xdr:rowOff>
        </xdr:from>
        <xdr:to>
          <xdr:col>3</xdr:col>
          <xdr:colOff>0</xdr:colOff>
          <xdr:row>324</xdr:row>
          <xdr:rowOff>182520</xdr:rowOff>
        </xdr:to>
        <xdr:sp>
          <xdr:nvSpPr>
            <xdr:cNvPr id="1037" name="Check Box 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328</xdr:row>
          <xdr:rowOff>163080</xdr:rowOff>
        </xdr:from>
        <xdr:to>
          <xdr:col>3</xdr:col>
          <xdr:colOff>0</xdr:colOff>
          <xdr:row>329</xdr:row>
          <xdr:rowOff>182160</xdr:rowOff>
        </xdr:to>
        <xdr:sp>
          <xdr:nvSpPr>
            <xdr:cNvPr id="1038" name="Check Box 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333</xdr:row>
          <xdr:rowOff>163080</xdr:rowOff>
        </xdr:from>
        <xdr:to>
          <xdr:col>3</xdr:col>
          <xdr:colOff>0</xdr:colOff>
          <xdr:row>334</xdr:row>
          <xdr:rowOff>182160</xdr:rowOff>
        </xdr:to>
        <xdr:sp>
          <xdr:nvSpPr>
            <xdr:cNvPr id="1039" name="Check Box 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338</xdr:row>
          <xdr:rowOff>163080</xdr:rowOff>
        </xdr:from>
        <xdr:to>
          <xdr:col>3</xdr:col>
          <xdr:colOff>0</xdr:colOff>
          <xdr:row>339</xdr:row>
          <xdr:rowOff>182160</xdr:rowOff>
        </xdr:to>
        <xdr:sp>
          <xdr:nvSpPr>
            <xdr:cNvPr id="1040" name="Check Box 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361</xdr:row>
          <xdr:rowOff>182520</xdr:rowOff>
        </xdr:from>
        <xdr:to>
          <xdr:col>3</xdr:col>
          <xdr:colOff>0</xdr:colOff>
          <xdr:row>363</xdr:row>
          <xdr:rowOff>10800</xdr:rowOff>
        </xdr:to>
        <xdr:sp>
          <xdr:nvSpPr>
            <xdr:cNvPr id="1041" name="Check Box 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366</xdr:row>
          <xdr:rowOff>182160</xdr:rowOff>
        </xdr:from>
        <xdr:to>
          <xdr:col>3</xdr:col>
          <xdr:colOff>0</xdr:colOff>
          <xdr:row>368</xdr:row>
          <xdr:rowOff>10800</xdr:rowOff>
        </xdr:to>
        <xdr:sp>
          <xdr:nvSpPr>
            <xdr:cNvPr id="1042" name="Check Box 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371</xdr:row>
          <xdr:rowOff>182160</xdr:rowOff>
        </xdr:from>
        <xdr:to>
          <xdr:col>3</xdr:col>
          <xdr:colOff>0</xdr:colOff>
          <xdr:row>373</xdr:row>
          <xdr:rowOff>10800</xdr:rowOff>
        </xdr:to>
        <xdr:sp>
          <xdr:nvSpPr>
            <xdr:cNvPr id="1043" name="Check Box 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376</xdr:row>
          <xdr:rowOff>182160</xdr:rowOff>
        </xdr:from>
        <xdr:to>
          <xdr:col>3</xdr:col>
          <xdr:colOff>0</xdr:colOff>
          <xdr:row>378</xdr:row>
          <xdr:rowOff>10800</xdr:rowOff>
        </xdr:to>
        <xdr:sp>
          <xdr:nvSpPr>
            <xdr:cNvPr id="1044" name="Check Box 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381</xdr:row>
          <xdr:rowOff>182160</xdr:rowOff>
        </xdr:from>
        <xdr:to>
          <xdr:col>3</xdr:col>
          <xdr:colOff>0</xdr:colOff>
          <xdr:row>383</xdr:row>
          <xdr:rowOff>10800</xdr:rowOff>
        </xdr:to>
        <xdr:sp>
          <xdr:nvSpPr>
            <xdr:cNvPr id="1045" name="Check Box 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405</xdr:row>
          <xdr:rowOff>10800</xdr:rowOff>
        </xdr:from>
        <xdr:to>
          <xdr:col>3</xdr:col>
          <xdr:colOff>0</xdr:colOff>
          <xdr:row>406</xdr:row>
          <xdr:rowOff>29880</xdr:rowOff>
        </xdr:to>
        <xdr:sp>
          <xdr:nvSpPr>
            <xdr:cNvPr id="1046" name="Check Box 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410</xdr:row>
          <xdr:rowOff>10800</xdr:rowOff>
        </xdr:from>
        <xdr:to>
          <xdr:col>3</xdr:col>
          <xdr:colOff>0</xdr:colOff>
          <xdr:row>411</xdr:row>
          <xdr:rowOff>29880</xdr:rowOff>
        </xdr:to>
        <xdr:sp>
          <xdr:nvSpPr>
            <xdr:cNvPr id="1047" name="Check Box 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415</xdr:row>
          <xdr:rowOff>10800</xdr:rowOff>
        </xdr:from>
        <xdr:to>
          <xdr:col>3</xdr:col>
          <xdr:colOff>0</xdr:colOff>
          <xdr:row>416</xdr:row>
          <xdr:rowOff>29880</xdr:rowOff>
        </xdr:to>
        <xdr:sp>
          <xdr:nvSpPr>
            <xdr:cNvPr id="1048" name="Check Box 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420</xdr:row>
          <xdr:rowOff>10800</xdr:rowOff>
        </xdr:from>
        <xdr:to>
          <xdr:col>3</xdr:col>
          <xdr:colOff>0</xdr:colOff>
          <xdr:row>421</xdr:row>
          <xdr:rowOff>29880</xdr:rowOff>
        </xdr:to>
        <xdr:sp>
          <xdr:nvSpPr>
            <xdr:cNvPr id="1049" name="Check Box 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425</xdr:row>
          <xdr:rowOff>10800</xdr:rowOff>
        </xdr:from>
        <xdr:to>
          <xdr:col>3</xdr:col>
          <xdr:colOff>0</xdr:colOff>
          <xdr:row>426</xdr:row>
          <xdr:rowOff>29880</xdr:rowOff>
        </xdr:to>
        <xdr:sp>
          <xdr:nvSpPr>
            <xdr:cNvPr id="1050" name="Check Box 1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17</xdr:row>
          <xdr:rowOff>29880</xdr:rowOff>
        </xdr:from>
        <xdr:to>
          <xdr:col>6</xdr:col>
          <xdr:colOff>0</xdr:colOff>
          <xdr:row>18</xdr:row>
          <xdr:rowOff>48960</xdr:rowOff>
        </xdr:to>
        <xdr:sp>
          <xdr:nvSpPr>
            <xdr:cNvPr id="1051" name="Check Box 10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22</xdr:row>
          <xdr:rowOff>29880</xdr:rowOff>
        </xdr:from>
        <xdr:to>
          <xdr:col>6</xdr:col>
          <xdr:colOff>0</xdr:colOff>
          <xdr:row>23</xdr:row>
          <xdr:rowOff>48960</xdr:rowOff>
        </xdr:to>
        <xdr:sp>
          <xdr:nvSpPr>
            <xdr:cNvPr id="1052" name="Check Box 10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27</xdr:row>
          <xdr:rowOff>29880</xdr:rowOff>
        </xdr:from>
        <xdr:to>
          <xdr:col>6</xdr:col>
          <xdr:colOff>0</xdr:colOff>
          <xdr:row>28</xdr:row>
          <xdr:rowOff>48960</xdr:rowOff>
        </xdr:to>
        <xdr:sp>
          <xdr:nvSpPr>
            <xdr:cNvPr id="1053" name="Check Box 10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</xdr:row>
          <xdr:rowOff>29520</xdr:rowOff>
        </xdr:from>
        <xdr:to>
          <xdr:col>6</xdr:col>
          <xdr:colOff>0</xdr:colOff>
          <xdr:row>33</xdr:row>
          <xdr:rowOff>48960</xdr:rowOff>
        </xdr:to>
        <xdr:sp>
          <xdr:nvSpPr>
            <xdr:cNvPr id="1054" name="Check Box 10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</xdr:row>
          <xdr:rowOff>29880</xdr:rowOff>
        </xdr:from>
        <xdr:to>
          <xdr:col>6</xdr:col>
          <xdr:colOff>0</xdr:colOff>
          <xdr:row>38</xdr:row>
          <xdr:rowOff>48600</xdr:rowOff>
        </xdr:to>
        <xdr:sp>
          <xdr:nvSpPr>
            <xdr:cNvPr id="1055" name="Check Box 1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60</xdr:row>
          <xdr:rowOff>48960</xdr:rowOff>
        </xdr:from>
        <xdr:to>
          <xdr:col>6</xdr:col>
          <xdr:colOff>0</xdr:colOff>
          <xdr:row>61</xdr:row>
          <xdr:rowOff>68040</xdr:rowOff>
        </xdr:to>
        <xdr:sp>
          <xdr:nvSpPr>
            <xdr:cNvPr id="1056" name="Check Box 1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65</xdr:row>
          <xdr:rowOff>48960</xdr:rowOff>
        </xdr:from>
        <xdr:to>
          <xdr:col>6</xdr:col>
          <xdr:colOff>0</xdr:colOff>
          <xdr:row>66</xdr:row>
          <xdr:rowOff>68040</xdr:rowOff>
        </xdr:to>
        <xdr:sp>
          <xdr:nvSpPr>
            <xdr:cNvPr id="1057" name="Check Box 1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70</xdr:row>
          <xdr:rowOff>48960</xdr:rowOff>
        </xdr:from>
        <xdr:to>
          <xdr:col>6</xdr:col>
          <xdr:colOff>0</xdr:colOff>
          <xdr:row>71</xdr:row>
          <xdr:rowOff>68040</xdr:rowOff>
        </xdr:to>
        <xdr:sp>
          <xdr:nvSpPr>
            <xdr:cNvPr id="1058" name="Check Box 1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75</xdr:row>
          <xdr:rowOff>48960</xdr:rowOff>
        </xdr:from>
        <xdr:to>
          <xdr:col>6</xdr:col>
          <xdr:colOff>0</xdr:colOff>
          <xdr:row>76</xdr:row>
          <xdr:rowOff>68040</xdr:rowOff>
        </xdr:to>
        <xdr:sp>
          <xdr:nvSpPr>
            <xdr:cNvPr id="1059" name="Check Box 1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80</xdr:row>
          <xdr:rowOff>48600</xdr:rowOff>
        </xdr:from>
        <xdr:to>
          <xdr:col>6</xdr:col>
          <xdr:colOff>0</xdr:colOff>
          <xdr:row>81</xdr:row>
          <xdr:rowOff>68040</xdr:rowOff>
        </xdr:to>
        <xdr:sp>
          <xdr:nvSpPr>
            <xdr:cNvPr id="1060" name="Check Box 1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103</xdr:row>
          <xdr:rowOff>68040</xdr:rowOff>
        </xdr:from>
        <xdr:to>
          <xdr:col>6</xdr:col>
          <xdr:colOff>0</xdr:colOff>
          <xdr:row>104</xdr:row>
          <xdr:rowOff>86760</xdr:rowOff>
        </xdr:to>
        <xdr:sp>
          <xdr:nvSpPr>
            <xdr:cNvPr id="1061" name="Check Box 1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108</xdr:row>
          <xdr:rowOff>68040</xdr:rowOff>
        </xdr:from>
        <xdr:to>
          <xdr:col>6</xdr:col>
          <xdr:colOff>0</xdr:colOff>
          <xdr:row>109</xdr:row>
          <xdr:rowOff>87120</xdr:rowOff>
        </xdr:to>
        <xdr:sp>
          <xdr:nvSpPr>
            <xdr:cNvPr id="1062" name="Check Box 1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113</xdr:row>
          <xdr:rowOff>68040</xdr:rowOff>
        </xdr:from>
        <xdr:to>
          <xdr:col>6</xdr:col>
          <xdr:colOff>0</xdr:colOff>
          <xdr:row>114</xdr:row>
          <xdr:rowOff>87120</xdr:rowOff>
        </xdr:to>
        <xdr:sp>
          <xdr:nvSpPr>
            <xdr:cNvPr id="1063" name="Check Box 1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118</xdr:row>
          <xdr:rowOff>68040</xdr:rowOff>
        </xdr:from>
        <xdr:to>
          <xdr:col>6</xdr:col>
          <xdr:colOff>0</xdr:colOff>
          <xdr:row>119</xdr:row>
          <xdr:rowOff>87120</xdr:rowOff>
        </xdr:to>
        <xdr:sp>
          <xdr:nvSpPr>
            <xdr:cNvPr id="1064" name="Check Box 1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123</xdr:row>
          <xdr:rowOff>67680</xdr:rowOff>
        </xdr:from>
        <xdr:to>
          <xdr:col>6</xdr:col>
          <xdr:colOff>0</xdr:colOff>
          <xdr:row>124</xdr:row>
          <xdr:rowOff>87120</xdr:rowOff>
        </xdr:to>
        <xdr:sp>
          <xdr:nvSpPr>
            <xdr:cNvPr id="1065" name="Check Box 1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146</xdr:row>
          <xdr:rowOff>86760</xdr:rowOff>
        </xdr:from>
        <xdr:to>
          <xdr:col>6</xdr:col>
          <xdr:colOff>0</xdr:colOff>
          <xdr:row>147</xdr:row>
          <xdr:rowOff>105840</xdr:rowOff>
        </xdr:to>
        <xdr:sp>
          <xdr:nvSpPr>
            <xdr:cNvPr id="1066" name="Check Box 1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151</xdr:row>
          <xdr:rowOff>87120</xdr:rowOff>
        </xdr:from>
        <xdr:to>
          <xdr:col>6</xdr:col>
          <xdr:colOff>0</xdr:colOff>
          <xdr:row>152</xdr:row>
          <xdr:rowOff>105840</xdr:rowOff>
        </xdr:to>
        <xdr:sp>
          <xdr:nvSpPr>
            <xdr:cNvPr id="1067" name="Check Box 1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156</xdr:row>
          <xdr:rowOff>87120</xdr:rowOff>
        </xdr:from>
        <xdr:to>
          <xdr:col>6</xdr:col>
          <xdr:colOff>0</xdr:colOff>
          <xdr:row>157</xdr:row>
          <xdr:rowOff>106200</xdr:rowOff>
        </xdr:to>
        <xdr:sp>
          <xdr:nvSpPr>
            <xdr:cNvPr id="1068" name="Check Box 1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161</xdr:row>
          <xdr:rowOff>87120</xdr:rowOff>
        </xdr:from>
        <xdr:to>
          <xdr:col>6</xdr:col>
          <xdr:colOff>0</xdr:colOff>
          <xdr:row>162</xdr:row>
          <xdr:rowOff>106200</xdr:rowOff>
        </xdr:to>
        <xdr:sp>
          <xdr:nvSpPr>
            <xdr:cNvPr id="1069" name="Check Box 1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166</xdr:row>
          <xdr:rowOff>87120</xdr:rowOff>
        </xdr:from>
        <xdr:to>
          <xdr:col>6</xdr:col>
          <xdr:colOff>0</xdr:colOff>
          <xdr:row>167</xdr:row>
          <xdr:rowOff>106200</xdr:rowOff>
        </xdr:to>
        <xdr:sp>
          <xdr:nvSpPr>
            <xdr:cNvPr id="1070" name="Check Box 1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189</xdr:row>
          <xdr:rowOff>105840</xdr:rowOff>
        </xdr:from>
        <xdr:to>
          <xdr:col>6</xdr:col>
          <xdr:colOff>0</xdr:colOff>
          <xdr:row>190</xdr:row>
          <xdr:rowOff>124920</xdr:rowOff>
        </xdr:to>
        <xdr:sp>
          <xdr:nvSpPr>
            <xdr:cNvPr id="1071" name="Check Box 1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194</xdr:row>
          <xdr:rowOff>105840</xdr:rowOff>
        </xdr:from>
        <xdr:to>
          <xdr:col>6</xdr:col>
          <xdr:colOff>0</xdr:colOff>
          <xdr:row>195</xdr:row>
          <xdr:rowOff>124920</xdr:rowOff>
        </xdr:to>
        <xdr:sp>
          <xdr:nvSpPr>
            <xdr:cNvPr id="1072" name="Check Box 1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199</xdr:row>
          <xdr:rowOff>106200</xdr:rowOff>
        </xdr:from>
        <xdr:to>
          <xdr:col>6</xdr:col>
          <xdr:colOff>0</xdr:colOff>
          <xdr:row>200</xdr:row>
          <xdr:rowOff>124920</xdr:rowOff>
        </xdr:to>
        <xdr:sp>
          <xdr:nvSpPr>
            <xdr:cNvPr id="1073" name="Check Box 1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204</xdr:row>
          <xdr:rowOff>106200</xdr:rowOff>
        </xdr:from>
        <xdr:to>
          <xdr:col>6</xdr:col>
          <xdr:colOff>0</xdr:colOff>
          <xdr:row>205</xdr:row>
          <xdr:rowOff>125280</xdr:rowOff>
        </xdr:to>
        <xdr:sp>
          <xdr:nvSpPr>
            <xdr:cNvPr id="1074" name="Check Box 1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209</xdr:row>
          <xdr:rowOff>106200</xdr:rowOff>
        </xdr:from>
        <xdr:to>
          <xdr:col>6</xdr:col>
          <xdr:colOff>0</xdr:colOff>
          <xdr:row>210</xdr:row>
          <xdr:rowOff>125280</xdr:rowOff>
        </xdr:to>
        <xdr:sp>
          <xdr:nvSpPr>
            <xdr:cNvPr id="1075" name="Check Box 1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232</xdr:row>
          <xdr:rowOff>124920</xdr:rowOff>
        </xdr:from>
        <xdr:to>
          <xdr:col>6</xdr:col>
          <xdr:colOff>0</xdr:colOff>
          <xdr:row>233</xdr:row>
          <xdr:rowOff>144360</xdr:rowOff>
        </xdr:to>
        <xdr:sp>
          <xdr:nvSpPr>
            <xdr:cNvPr id="1076" name="Check Box 1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237</xdr:row>
          <xdr:rowOff>124920</xdr:rowOff>
        </xdr:from>
        <xdr:to>
          <xdr:col>6</xdr:col>
          <xdr:colOff>0</xdr:colOff>
          <xdr:row>238</xdr:row>
          <xdr:rowOff>144000</xdr:rowOff>
        </xdr:to>
        <xdr:sp>
          <xdr:nvSpPr>
            <xdr:cNvPr id="1077" name="Check Box 1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242</xdr:row>
          <xdr:rowOff>124920</xdr:rowOff>
        </xdr:from>
        <xdr:to>
          <xdr:col>6</xdr:col>
          <xdr:colOff>0</xdr:colOff>
          <xdr:row>243</xdr:row>
          <xdr:rowOff>144000</xdr:rowOff>
        </xdr:to>
        <xdr:sp>
          <xdr:nvSpPr>
            <xdr:cNvPr id="1078" name="Check Box 1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247</xdr:row>
          <xdr:rowOff>125280</xdr:rowOff>
        </xdr:from>
        <xdr:to>
          <xdr:col>6</xdr:col>
          <xdr:colOff>0</xdr:colOff>
          <xdr:row>248</xdr:row>
          <xdr:rowOff>144000</xdr:rowOff>
        </xdr:to>
        <xdr:sp>
          <xdr:nvSpPr>
            <xdr:cNvPr id="1079" name="Check Box 1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252</xdr:row>
          <xdr:rowOff>125280</xdr:rowOff>
        </xdr:from>
        <xdr:to>
          <xdr:col>6</xdr:col>
          <xdr:colOff>0</xdr:colOff>
          <xdr:row>253</xdr:row>
          <xdr:rowOff>144360</xdr:rowOff>
        </xdr:to>
        <xdr:sp>
          <xdr:nvSpPr>
            <xdr:cNvPr id="1080" name="Check Box 1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275</xdr:row>
          <xdr:rowOff>144000</xdr:rowOff>
        </xdr:from>
        <xdr:to>
          <xdr:col>6</xdr:col>
          <xdr:colOff>0</xdr:colOff>
          <xdr:row>276</xdr:row>
          <xdr:rowOff>163440</xdr:rowOff>
        </xdr:to>
        <xdr:sp>
          <xdr:nvSpPr>
            <xdr:cNvPr id="1081" name="Check Box 1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280</xdr:row>
          <xdr:rowOff>144000</xdr:rowOff>
        </xdr:from>
        <xdr:to>
          <xdr:col>6</xdr:col>
          <xdr:colOff>0</xdr:colOff>
          <xdr:row>281</xdr:row>
          <xdr:rowOff>163080</xdr:rowOff>
        </xdr:to>
        <xdr:sp>
          <xdr:nvSpPr>
            <xdr:cNvPr id="1082" name="Check Box 1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285</xdr:row>
          <xdr:rowOff>144000</xdr:rowOff>
        </xdr:from>
        <xdr:to>
          <xdr:col>6</xdr:col>
          <xdr:colOff>0</xdr:colOff>
          <xdr:row>286</xdr:row>
          <xdr:rowOff>163080</xdr:rowOff>
        </xdr:to>
        <xdr:sp>
          <xdr:nvSpPr>
            <xdr:cNvPr id="1083" name="Check Box 1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290</xdr:row>
          <xdr:rowOff>144000</xdr:rowOff>
        </xdr:from>
        <xdr:to>
          <xdr:col>6</xdr:col>
          <xdr:colOff>0</xdr:colOff>
          <xdr:row>291</xdr:row>
          <xdr:rowOff>163080</xdr:rowOff>
        </xdr:to>
        <xdr:sp>
          <xdr:nvSpPr>
            <xdr:cNvPr id="1084" name="Check Box 1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295</xdr:row>
          <xdr:rowOff>144360</xdr:rowOff>
        </xdr:from>
        <xdr:to>
          <xdr:col>6</xdr:col>
          <xdr:colOff>0</xdr:colOff>
          <xdr:row>296</xdr:row>
          <xdr:rowOff>163080</xdr:rowOff>
        </xdr:to>
        <xdr:sp>
          <xdr:nvSpPr>
            <xdr:cNvPr id="1085" name="Check Box 1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318</xdr:row>
          <xdr:rowOff>163440</xdr:rowOff>
        </xdr:from>
        <xdr:to>
          <xdr:col>6</xdr:col>
          <xdr:colOff>0</xdr:colOff>
          <xdr:row>319</xdr:row>
          <xdr:rowOff>182520</xdr:rowOff>
        </xdr:to>
        <xdr:sp>
          <xdr:nvSpPr>
            <xdr:cNvPr id="1086" name="Check Box 1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323</xdr:row>
          <xdr:rowOff>163080</xdr:rowOff>
        </xdr:from>
        <xdr:to>
          <xdr:col>6</xdr:col>
          <xdr:colOff>0</xdr:colOff>
          <xdr:row>324</xdr:row>
          <xdr:rowOff>182520</xdr:rowOff>
        </xdr:to>
        <xdr:sp>
          <xdr:nvSpPr>
            <xdr:cNvPr id="1087" name="Check Box 1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328</xdr:row>
          <xdr:rowOff>163080</xdr:rowOff>
        </xdr:from>
        <xdr:to>
          <xdr:col>6</xdr:col>
          <xdr:colOff>0</xdr:colOff>
          <xdr:row>329</xdr:row>
          <xdr:rowOff>182160</xdr:rowOff>
        </xdr:to>
        <xdr:sp>
          <xdr:nvSpPr>
            <xdr:cNvPr id="1088" name="Check Box 1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333</xdr:row>
          <xdr:rowOff>163080</xdr:rowOff>
        </xdr:from>
        <xdr:to>
          <xdr:col>6</xdr:col>
          <xdr:colOff>0</xdr:colOff>
          <xdr:row>334</xdr:row>
          <xdr:rowOff>182160</xdr:rowOff>
        </xdr:to>
        <xdr:sp>
          <xdr:nvSpPr>
            <xdr:cNvPr id="1089" name="Check Box 1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338</xdr:row>
          <xdr:rowOff>163080</xdr:rowOff>
        </xdr:from>
        <xdr:to>
          <xdr:col>6</xdr:col>
          <xdr:colOff>0</xdr:colOff>
          <xdr:row>339</xdr:row>
          <xdr:rowOff>182160</xdr:rowOff>
        </xdr:to>
        <xdr:sp>
          <xdr:nvSpPr>
            <xdr:cNvPr id="1090" name="Check Box 1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361</xdr:row>
          <xdr:rowOff>182520</xdr:rowOff>
        </xdr:from>
        <xdr:to>
          <xdr:col>6</xdr:col>
          <xdr:colOff>0</xdr:colOff>
          <xdr:row>363</xdr:row>
          <xdr:rowOff>10800</xdr:rowOff>
        </xdr:to>
        <xdr:sp>
          <xdr:nvSpPr>
            <xdr:cNvPr id="1091" name="Check Box 1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366</xdr:row>
          <xdr:rowOff>182160</xdr:rowOff>
        </xdr:from>
        <xdr:to>
          <xdr:col>6</xdr:col>
          <xdr:colOff>0</xdr:colOff>
          <xdr:row>368</xdr:row>
          <xdr:rowOff>10800</xdr:rowOff>
        </xdr:to>
        <xdr:sp>
          <xdr:nvSpPr>
            <xdr:cNvPr id="1092" name="Check Box 1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371</xdr:row>
          <xdr:rowOff>182160</xdr:rowOff>
        </xdr:from>
        <xdr:to>
          <xdr:col>6</xdr:col>
          <xdr:colOff>0</xdr:colOff>
          <xdr:row>373</xdr:row>
          <xdr:rowOff>10800</xdr:rowOff>
        </xdr:to>
        <xdr:sp>
          <xdr:nvSpPr>
            <xdr:cNvPr id="1093" name="Check Box 1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376</xdr:row>
          <xdr:rowOff>182160</xdr:rowOff>
        </xdr:from>
        <xdr:to>
          <xdr:col>6</xdr:col>
          <xdr:colOff>0</xdr:colOff>
          <xdr:row>378</xdr:row>
          <xdr:rowOff>10800</xdr:rowOff>
        </xdr:to>
        <xdr:sp>
          <xdr:nvSpPr>
            <xdr:cNvPr id="1094" name="Check Box 1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381</xdr:row>
          <xdr:rowOff>182160</xdr:rowOff>
        </xdr:from>
        <xdr:to>
          <xdr:col>6</xdr:col>
          <xdr:colOff>0</xdr:colOff>
          <xdr:row>383</xdr:row>
          <xdr:rowOff>10800</xdr:rowOff>
        </xdr:to>
        <xdr:sp>
          <xdr:nvSpPr>
            <xdr:cNvPr id="1095" name="Check Box 1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405</xdr:row>
          <xdr:rowOff>10800</xdr:rowOff>
        </xdr:from>
        <xdr:to>
          <xdr:col>6</xdr:col>
          <xdr:colOff>0</xdr:colOff>
          <xdr:row>406</xdr:row>
          <xdr:rowOff>29880</xdr:rowOff>
        </xdr:to>
        <xdr:sp>
          <xdr:nvSpPr>
            <xdr:cNvPr id="1096" name="Check Box 1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410</xdr:row>
          <xdr:rowOff>10800</xdr:rowOff>
        </xdr:from>
        <xdr:to>
          <xdr:col>6</xdr:col>
          <xdr:colOff>0</xdr:colOff>
          <xdr:row>411</xdr:row>
          <xdr:rowOff>29880</xdr:rowOff>
        </xdr:to>
        <xdr:sp>
          <xdr:nvSpPr>
            <xdr:cNvPr id="1097" name="Check Box 1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415</xdr:row>
          <xdr:rowOff>10800</xdr:rowOff>
        </xdr:from>
        <xdr:to>
          <xdr:col>6</xdr:col>
          <xdr:colOff>0</xdr:colOff>
          <xdr:row>416</xdr:row>
          <xdr:rowOff>29880</xdr:rowOff>
        </xdr:to>
        <xdr:sp>
          <xdr:nvSpPr>
            <xdr:cNvPr id="1098" name="Check Box 1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420</xdr:row>
          <xdr:rowOff>10800</xdr:rowOff>
        </xdr:from>
        <xdr:to>
          <xdr:col>6</xdr:col>
          <xdr:colOff>0</xdr:colOff>
          <xdr:row>421</xdr:row>
          <xdr:rowOff>29880</xdr:rowOff>
        </xdr:to>
        <xdr:sp>
          <xdr:nvSpPr>
            <xdr:cNvPr id="1099" name="Check Box 1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425</xdr:row>
          <xdr:rowOff>10800</xdr:rowOff>
        </xdr:from>
        <xdr:to>
          <xdr:col>6</xdr:col>
          <xdr:colOff>0</xdr:colOff>
          <xdr:row>426</xdr:row>
          <xdr:rowOff>29880</xdr:rowOff>
        </xdr:to>
        <xdr:sp>
          <xdr:nvSpPr>
            <xdr:cNvPr id="1100" name="Check Box 2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10800</xdr:rowOff>
        </xdr:from>
        <xdr:to>
          <xdr:col>5</xdr:col>
          <xdr:colOff>0</xdr:colOff>
          <xdr:row>4</xdr:row>
          <xdr:rowOff>10800</xdr:rowOff>
        </xdr:to>
        <xdr:sp>
          <xdr:nvSpPr>
            <xdr:cNvPr id="1101" name="Button 202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10800</xdr:rowOff>
        </xdr:from>
        <xdr:to>
          <xdr:col>3</xdr:col>
          <xdr:colOff>0</xdr:colOff>
          <xdr:row>5</xdr:row>
          <xdr:rowOff>10800</xdr:rowOff>
        </xdr:to>
        <xdr:sp>
          <xdr:nvSpPr>
            <xdr:cNvPr id="0" name="Drop Down 208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10800</xdr:rowOff>
        </xdr:from>
        <xdr:to>
          <xdr:col>3</xdr:col>
          <xdr:colOff>0</xdr:colOff>
          <xdr:row>6</xdr:row>
          <xdr:rowOff>10800</xdr:rowOff>
        </xdr:to>
        <xdr:sp>
          <xdr:nvSpPr>
            <xdr:cNvPr id="0" name="Drop Down 20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10800</xdr:rowOff>
        </xdr:from>
        <xdr:to>
          <xdr:col>3</xdr:col>
          <xdr:colOff>0</xdr:colOff>
          <xdr:row>7</xdr:row>
          <xdr:rowOff>10800</xdr:rowOff>
        </xdr:to>
        <xdr:sp>
          <xdr:nvSpPr>
            <xdr:cNvPr id="0" name="Drop Down 210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10800</xdr:rowOff>
        </xdr:from>
        <xdr:to>
          <xdr:col>3</xdr:col>
          <xdr:colOff>0</xdr:colOff>
          <xdr:row>8</xdr:row>
          <xdr:rowOff>10800</xdr:rowOff>
        </xdr:to>
        <xdr:sp>
          <xdr:nvSpPr>
            <xdr:cNvPr id="0" name="Drop Down 21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10800</xdr:rowOff>
        </xdr:from>
        <xdr:to>
          <xdr:col>3</xdr:col>
          <xdr:colOff>0</xdr:colOff>
          <xdr:row>9</xdr:row>
          <xdr:rowOff>10800</xdr:rowOff>
        </xdr:to>
        <xdr:sp>
          <xdr:nvSpPr>
            <xdr:cNvPr id="0" name="Drop Down 21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10800</xdr:rowOff>
        </xdr:from>
        <xdr:to>
          <xdr:col>3</xdr:col>
          <xdr:colOff>0</xdr:colOff>
          <xdr:row>10</xdr:row>
          <xdr:rowOff>10800</xdr:rowOff>
        </xdr:to>
        <xdr:sp>
          <xdr:nvSpPr>
            <xdr:cNvPr id="0" name="Drop Down 21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10800</xdr:rowOff>
        </xdr:from>
        <xdr:to>
          <xdr:col>3</xdr:col>
          <xdr:colOff>0</xdr:colOff>
          <xdr:row>11</xdr:row>
          <xdr:rowOff>10800</xdr:rowOff>
        </xdr:to>
        <xdr:sp>
          <xdr:nvSpPr>
            <xdr:cNvPr id="0" name="Drop Down 21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10800</xdr:rowOff>
        </xdr:from>
        <xdr:to>
          <xdr:col>3</xdr:col>
          <xdr:colOff>0</xdr:colOff>
          <xdr:row>13</xdr:row>
          <xdr:rowOff>10800</xdr:rowOff>
        </xdr:to>
        <xdr:sp>
          <xdr:nvSpPr>
            <xdr:cNvPr id="0" name="Drop Down 215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10800</xdr:rowOff>
        </xdr:from>
        <xdr:to>
          <xdr:col>3</xdr:col>
          <xdr:colOff>0</xdr:colOff>
          <xdr:row>12</xdr:row>
          <xdr:rowOff>10800</xdr:rowOff>
        </xdr:to>
        <xdr:sp>
          <xdr:nvSpPr>
            <xdr:cNvPr id="0" name="Drop Down 21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10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1332360</xdr:colOff>
          <xdr:row>1</xdr:row>
          <xdr:rowOff>10800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13320</xdr:rowOff>
        </xdr:from>
        <xdr:to>
          <xdr:col>2</xdr:col>
          <xdr:colOff>750600</xdr:colOff>
          <xdr:row>7</xdr:row>
          <xdr:rowOff>13320</xdr:rowOff>
        </xdr:to>
        <xdr:sp>
          <xdr:nvSpPr>
            <xdr:cNvPr id="1001" name="Button 1" descr="Setup New Leagu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Setup New League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13320</xdr:rowOff>
        </xdr:from>
        <xdr:to>
          <xdr:col>5</xdr:col>
          <xdr:colOff>750600</xdr:colOff>
          <xdr:row>7</xdr:row>
          <xdr:rowOff>13320</xdr:rowOff>
        </xdr:to>
        <xdr:sp>
          <xdr:nvSpPr>
            <xdr:cNvPr id="1002" name="Button 2" descr="Add Weekl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Weekly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13320</xdr:rowOff>
        </xdr:from>
        <xdr:to>
          <xdr:col>2</xdr:col>
          <xdr:colOff>750600</xdr:colOff>
          <xdr:row>10</xdr:row>
          <xdr:rowOff>13320</xdr:rowOff>
        </xdr:to>
        <xdr:sp>
          <xdr:nvSpPr>
            <xdr:cNvPr id="1003" name="Button 3" descr="Print Individual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Individual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13320</xdr:rowOff>
        </xdr:from>
        <xdr:to>
          <xdr:col>5</xdr:col>
          <xdr:colOff>750600</xdr:colOff>
          <xdr:row>10</xdr:row>
          <xdr:rowOff>13320</xdr:rowOff>
        </xdr:to>
        <xdr:sp>
          <xdr:nvSpPr>
            <xdr:cNvPr id="1004" name="Button 4" descr="Print Team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Team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13320</xdr:rowOff>
        </xdr:from>
        <xdr:to>
          <xdr:col>2</xdr:col>
          <xdr:colOff>750600</xdr:colOff>
          <xdr:row>13</xdr:row>
          <xdr:rowOff>13320</xdr:rowOff>
        </xdr:to>
        <xdr:sp>
          <xdr:nvSpPr>
            <xdr:cNvPr id="1005" name="Button 5" descr="Print Scor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Score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13320</xdr:rowOff>
        </xdr:from>
        <xdr:to>
          <xdr:col>5</xdr:col>
          <xdr:colOff>750600</xdr:colOff>
          <xdr:row>13</xdr:row>
          <xdr:rowOff>13320</xdr:rowOff>
        </xdr:to>
        <xdr:sp>
          <xdr:nvSpPr>
            <xdr:cNvPr id="1006" name="Button 6" descr="Print Money Envelop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Envelopes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13320</xdr:rowOff>
        </xdr:from>
        <xdr:to>
          <xdr:col>2</xdr:col>
          <xdr:colOff>750600</xdr:colOff>
          <xdr:row>16</xdr:row>
          <xdr:rowOff>13320</xdr:rowOff>
        </xdr:to>
        <xdr:sp>
          <xdr:nvSpPr>
            <xdr:cNvPr id="1007" name="Button 7" descr="Print Money Statem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Statement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scheduler.leaguelobster.com/schedule/lite/2447020/new-league/new-season/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<Relationship Id="rId7" Type="http://schemas.openxmlformats.org/officeDocument/2006/relationships/ctrlProp" Target="../ctrlProps/ctrlProps5.xml"/><Relationship Id="rId8" Type="http://schemas.openxmlformats.org/officeDocument/2006/relationships/ctrlProp" Target="../ctrlProps/ctrlProps6.xml"/><Relationship Id="rId9" Type="http://schemas.openxmlformats.org/officeDocument/2006/relationships/ctrlProp" Target="../ctrlProps/ctrlProps7.xml"/><Relationship Id="rId10" Type="http://schemas.openxmlformats.org/officeDocument/2006/relationships/ctrlProp" Target="../ctrlProps/ctrlProps8.xml"/><Relationship Id="rId11" Type="http://schemas.openxmlformats.org/officeDocument/2006/relationships/ctrlProp" Target="../ctrlProps/ctrlProps9.xml"/><Relationship Id="rId12" Type="http://schemas.openxmlformats.org/officeDocument/2006/relationships/ctrlProp" Target="../ctrlProps/ctrlProps10.xml"/><Relationship Id="rId13" Type="http://schemas.openxmlformats.org/officeDocument/2006/relationships/ctrlProp" Target="../ctrlProps/ctrlProps11.xml"/><Relationship Id="rId14" Type="http://schemas.openxmlformats.org/officeDocument/2006/relationships/ctrlProp" Target="../ctrlProps/ctrlProps12.xml"/><Relationship Id="rId15" Type="http://schemas.openxmlformats.org/officeDocument/2006/relationships/ctrlProp" Target="../ctrlProps/ctrlProps13.xml"/><Relationship Id="rId16" Type="http://schemas.openxmlformats.org/officeDocument/2006/relationships/ctrlProp" Target="../ctrlProps/ctrlProps14.xml"/><Relationship Id="rId17" Type="http://schemas.openxmlformats.org/officeDocument/2006/relationships/ctrlProp" Target="../ctrlProps/ctrlProps15.xml"/><Relationship Id="rId18" Type="http://schemas.openxmlformats.org/officeDocument/2006/relationships/ctrlProp" Target="../ctrlProps/ctrlProps16.xml"/><Relationship Id="rId19" Type="http://schemas.openxmlformats.org/officeDocument/2006/relationships/ctrlProp" Target="../ctrlProps/ctrlProps17.xml"/><Relationship Id="rId20" Type="http://schemas.openxmlformats.org/officeDocument/2006/relationships/ctrlProp" Target="../ctrlProps/ctrlProps18.xml"/><Relationship Id="rId21" Type="http://schemas.openxmlformats.org/officeDocument/2006/relationships/ctrlProp" Target="../ctrlProps/ctrlProps19.xml"/><Relationship Id="rId22" Type="http://schemas.openxmlformats.org/officeDocument/2006/relationships/ctrlProp" Target="../ctrlProps/ctrlProps20.xml"/><Relationship Id="rId23" Type="http://schemas.openxmlformats.org/officeDocument/2006/relationships/ctrlProp" Target="../ctrlProps/ctrlProps21.xml"/><Relationship Id="rId24" Type="http://schemas.openxmlformats.org/officeDocument/2006/relationships/ctrlProp" Target="../ctrlProps/ctrlProps22.xml"/><Relationship Id="rId25" Type="http://schemas.openxmlformats.org/officeDocument/2006/relationships/ctrlProp" Target="../ctrlProps/ctrlProps23.xml"/><Relationship Id="rId26" Type="http://schemas.openxmlformats.org/officeDocument/2006/relationships/ctrlProp" Target="../ctrlProps/ctrlProps24.xml"/><Relationship Id="rId27" Type="http://schemas.openxmlformats.org/officeDocument/2006/relationships/ctrlProp" Target="../ctrlProps/ctrlProps25.xml"/><Relationship Id="rId28" Type="http://schemas.openxmlformats.org/officeDocument/2006/relationships/ctrlProp" Target="../ctrlProps/ctrlProps26.xml"/><Relationship Id="rId29" Type="http://schemas.openxmlformats.org/officeDocument/2006/relationships/ctrlProp" Target="../ctrlProps/ctrlProps27.xml"/><Relationship Id="rId30" Type="http://schemas.openxmlformats.org/officeDocument/2006/relationships/ctrlProp" Target="../ctrlProps/ctrlProps28.xml"/><Relationship Id="rId31" Type="http://schemas.openxmlformats.org/officeDocument/2006/relationships/ctrlProp" Target="../ctrlProps/ctrlProps29.xml"/><Relationship Id="rId32" Type="http://schemas.openxmlformats.org/officeDocument/2006/relationships/ctrlProp" Target="../ctrlProps/ctrlProps30.xml"/><Relationship Id="rId33" Type="http://schemas.openxmlformats.org/officeDocument/2006/relationships/ctrlProp" Target="../ctrlProps/ctrlProps31.xml"/><Relationship Id="rId34" Type="http://schemas.openxmlformats.org/officeDocument/2006/relationships/ctrlProp" Target="../ctrlProps/ctrlProps32.xml"/><Relationship Id="rId35" Type="http://schemas.openxmlformats.org/officeDocument/2006/relationships/ctrlProp" Target="../ctrlProps/ctrlProps33.xml"/><Relationship Id="rId36" Type="http://schemas.openxmlformats.org/officeDocument/2006/relationships/ctrlProp" Target="../ctrlProps/ctrlProps34.xml"/><Relationship Id="rId37" Type="http://schemas.openxmlformats.org/officeDocument/2006/relationships/ctrlProp" Target="../ctrlProps/ctrlProps35.xml"/><Relationship Id="rId38" Type="http://schemas.openxmlformats.org/officeDocument/2006/relationships/ctrlProp" Target="../ctrlProps/ctrlProps36.xml"/><Relationship Id="rId39" Type="http://schemas.openxmlformats.org/officeDocument/2006/relationships/ctrlProp" Target="../ctrlProps/ctrlProps37.xml"/><Relationship Id="rId40" Type="http://schemas.openxmlformats.org/officeDocument/2006/relationships/ctrlProp" Target="../ctrlProps/ctrlProps38.xml"/><Relationship Id="rId41" Type="http://schemas.openxmlformats.org/officeDocument/2006/relationships/ctrlProp" Target="../ctrlProps/ctrlProps39.xml"/><Relationship Id="rId42" Type="http://schemas.openxmlformats.org/officeDocument/2006/relationships/ctrlProp" Target="../ctrlProps/ctrlProps40.xml"/><Relationship Id="rId43" Type="http://schemas.openxmlformats.org/officeDocument/2006/relationships/ctrlProp" Target="../ctrlProps/ctrlProps41.xml"/><Relationship Id="rId44" Type="http://schemas.openxmlformats.org/officeDocument/2006/relationships/ctrlProp" Target="../ctrlProps/ctrlProps42.xml"/><Relationship Id="rId45" Type="http://schemas.openxmlformats.org/officeDocument/2006/relationships/ctrlProp" Target="../ctrlProps/ctrlProps43.xml"/><Relationship Id="rId46" Type="http://schemas.openxmlformats.org/officeDocument/2006/relationships/ctrlProp" Target="../ctrlProps/ctrlProps44.xml"/><Relationship Id="rId47" Type="http://schemas.openxmlformats.org/officeDocument/2006/relationships/ctrlProp" Target="../ctrlProps/ctrlProps45.xml"/><Relationship Id="rId48" Type="http://schemas.openxmlformats.org/officeDocument/2006/relationships/ctrlProp" Target="../ctrlProps/ctrlProps46.xml"/><Relationship Id="rId49" Type="http://schemas.openxmlformats.org/officeDocument/2006/relationships/ctrlProp" Target="../ctrlProps/ctrlProps47.xml"/><Relationship Id="rId50" Type="http://schemas.openxmlformats.org/officeDocument/2006/relationships/ctrlProp" Target="../ctrlProps/ctrlProps48.xml"/><Relationship Id="rId51" Type="http://schemas.openxmlformats.org/officeDocument/2006/relationships/ctrlProp" Target="../ctrlProps/ctrlProps49.xml"/><Relationship Id="rId52" Type="http://schemas.openxmlformats.org/officeDocument/2006/relationships/ctrlProp" Target="../ctrlProps/ctrlProps50.xml"/><Relationship Id="rId53" Type="http://schemas.openxmlformats.org/officeDocument/2006/relationships/ctrlProp" Target="../ctrlProps/ctrlProps51.xml"/><Relationship Id="rId54" Type="http://schemas.openxmlformats.org/officeDocument/2006/relationships/ctrlProp" Target="../ctrlProps/ctrlProps52.xml"/><Relationship Id="rId55" Type="http://schemas.openxmlformats.org/officeDocument/2006/relationships/ctrlProp" Target="../ctrlProps/ctrlProps53.xml"/><Relationship Id="rId56" Type="http://schemas.openxmlformats.org/officeDocument/2006/relationships/ctrlProp" Target="../ctrlProps/ctrlProps54.xml"/><Relationship Id="rId57" Type="http://schemas.openxmlformats.org/officeDocument/2006/relationships/ctrlProp" Target="../ctrlProps/ctrlProps55.xml"/><Relationship Id="rId58" Type="http://schemas.openxmlformats.org/officeDocument/2006/relationships/ctrlProp" Target="../ctrlProps/ctrlProps56.xml"/><Relationship Id="rId59" Type="http://schemas.openxmlformats.org/officeDocument/2006/relationships/ctrlProp" Target="../ctrlProps/ctrlProps57.xml"/><Relationship Id="rId60" Type="http://schemas.openxmlformats.org/officeDocument/2006/relationships/ctrlProp" Target="../ctrlProps/ctrlProps58.xml"/><Relationship Id="rId61" Type="http://schemas.openxmlformats.org/officeDocument/2006/relationships/ctrlProp" Target="../ctrlProps/ctrlProps59.xml"/><Relationship Id="rId62" Type="http://schemas.openxmlformats.org/officeDocument/2006/relationships/ctrlProp" Target="../ctrlProps/ctrlProps60.xml"/><Relationship Id="rId63" Type="http://schemas.openxmlformats.org/officeDocument/2006/relationships/ctrlProp" Target="../ctrlProps/ctrlProps61.xml"/><Relationship Id="rId64" Type="http://schemas.openxmlformats.org/officeDocument/2006/relationships/ctrlProp" Target="../ctrlProps/ctrlProps62.xml"/><Relationship Id="rId65" Type="http://schemas.openxmlformats.org/officeDocument/2006/relationships/ctrlProp" Target="../ctrlProps/ctrlProps63.xml"/><Relationship Id="rId66" Type="http://schemas.openxmlformats.org/officeDocument/2006/relationships/ctrlProp" Target="../ctrlProps/ctrlProps64.xml"/><Relationship Id="rId67" Type="http://schemas.openxmlformats.org/officeDocument/2006/relationships/ctrlProp" Target="../ctrlProps/ctrlProps65.xml"/><Relationship Id="rId68" Type="http://schemas.openxmlformats.org/officeDocument/2006/relationships/ctrlProp" Target="../ctrlProps/ctrlProps66.xml"/><Relationship Id="rId69" Type="http://schemas.openxmlformats.org/officeDocument/2006/relationships/ctrlProp" Target="../ctrlProps/ctrlProps67.xml"/><Relationship Id="rId70" Type="http://schemas.openxmlformats.org/officeDocument/2006/relationships/ctrlProp" Target="../ctrlProps/ctrlProps68.xml"/><Relationship Id="rId71" Type="http://schemas.openxmlformats.org/officeDocument/2006/relationships/ctrlProp" Target="../ctrlProps/ctrlProps69.xml"/><Relationship Id="rId72" Type="http://schemas.openxmlformats.org/officeDocument/2006/relationships/ctrlProp" Target="../ctrlProps/ctrlProps70.xml"/><Relationship Id="rId73" Type="http://schemas.openxmlformats.org/officeDocument/2006/relationships/ctrlProp" Target="../ctrlProps/ctrlProps71.xml"/><Relationship Id="rId74" Type="http://schemas.openxmlformats.org/officeDocument/2006/relationships/ctrlProp" Target="../ctrlProps/ctrlProps72.xml"/><Relationship Id="rId75" Type="http://schemas.openxmlformats.org/officeDocument/2006/relationships/ctrlProp" Target="../ctrlProps/ctrlProps73.xml"/><Relationship Id="rId76" Type="http://schemas.openxmlformats.org/officeDocument/2006/relationships/ctrlProp" Target="../ctrlProps/ctrlProps74.xml"/><Relationship Id="rId77" Type="http://schemas.openxmlformats.org/officeDocument/2006/relationships/ctrlProp" Target="../ctrlProps/ctrlProps75.xml"/><Relationship Id="rId78" Type="http://schemas.openxmlformats.org/officeDocument/2006/relationships/ctrlProp" Target="../ctrlProps/ctrlProps76.xml"/><Relationship Id="rId79" Type="http://schemas.openxmlformats.org/officeDocument/2006/relationships/ctrlProp" Target="../ctrlProps/ctrlProps77.xml"/><Relationship Id="rId80" Type="http://schemas.openxmlformats.org/officeDocument/2006/relationships/ctrlProp" Target="../ctrlProps/ctrlProps78.xml"/><Relationship Id="rId81" Type="http://schemas.openxmlformats.org/officeDocument/2006/relationships/ctrlProp" Target="../ctrlProps/ctrlProps79.xml"/><Relationship Id="rId82" Type="http://schemas.openxmlformats.org/officeDocument/2006/relationships/ctrlProp" Target="../ctrlProps/ctrlProps80.xml"/><Relationship Id="rId83" Type="http://schemas.openxmlformats.org/officeDocument/2006/relationships/ctrlProp" Target="../ctrlProps/ctrlProps81.xml"/><Relationship Id="rId84" Type="http://schemas.openxmlformats.org/officeDocument/2006/relationships/ctrlProp" Target="../ctrlProps/ctrlProps82.xml"/><Relationship Id="rId85" Type="http://schemas.openxmlformats.org/officeDocument/2006/relationships/ctrlProp" Target="../ctrlProps/ctrlProps83.xml"/><Relationship Id="rId86" Type="http://schemas.openxmlformats.org/officeDocument/2006/relationships/ctrlProp" Target="../ctrlProps/ctrlProps84.xml"/><Relationship Id="rId87" Type="http://schemas.openxmlformats.org/officeDocument/2006/relationships/ctrlProp" Target="../ctrlProps/ctrlProps85.xml"/><Relationship Id="rId88" Type="http://schemas.openxmlformats.org/officeDocument/2006/relationships/ctrlProp" Target="../ctrlProps/ctrlProps86.xml"/><Relationship Id="rId89" Type="http://schemas.openxmlformats.org/officeDocument/2006/relationships/ctrlProp" Target="../ctrlProps/ctrlProps87.xml"/><Relationship Id="rId90" Type="http://schemas.openxmlformats.org/officeDocument/2006/relationships/ctrlProp" Target="../ctrlProps/ctrlProps88.xml"/><Relationship Id="rId91" Type="http://schemas.openxmlformats.org/officeDocument/2006/relationships/ctrlProp" Target="../ctrlProps/ctrlProps89.xml"/><Relationship Id="rId92" Type="http://schemas.openxmlformats.org/officeDocument/2006/relationships/ctrlProp" Target="../ctrlProps/ctrlProps90.xml"/><Relationship Id="rId93" Type="http://schemas.openxmlformats.org/officeDocument/2006/relationships/ctrlProp" Target="../ctrlProps/ctrlProps91.xml"/><Relationship Id="rId94" Type="http://schemas.openxmlformats.org/officeDocument/2006/relationships/ctrlProp" Target="../ctrlProps/ctrlProps92.xml"/><Relationship Id="rId95" Type="http://schemas.openxmlformats.org/officeDocument/2006/relationships/ctrlProp" Target="../ctrlProps/ctrlProps93.xml"/><Relationship Id="rId96" Type="http://schemas.openxmlformats.org/officeDocument/2006/relationships/ctrlProp" Target="../ctrlProps/ctrlProps94.xml"/><Relationship Id="rId97" Type="http://schemas.openxmlformats.org/officeDocument/2006/relationships/ctrlProp" Target="../ctrlProps/ctrlProps95.xml"/><Relationship Id="rId98" Type="http://schemas.openxmlformats.org/officeDocument/2006/relationships/ctrlProp" Target="../ctrlProps/ctrlProps96.xml"/><Relationship Id="rId99" Type="http://schemas.openxmlformats.org/officeDocument/2006/relationships/ctrlProp" Target="../ctrlProps/ctrlProps97.xml"/><Relationship Id="rId100" Type="http://schemas.openxmlformats.org/officeDocument/2006/relationships/ctrlProp" Target="../ctrlProps/ctrlProps98.xml"/><Relationship Id="rId101" Type="http://schemas.openxmlformats.org/officeDocument/2006/relationships/ctrlProp" Target="../ctrlProps/ctrlProps99.xml"/><Relationship Id="rId102" Type="http://schemas.openxmlformats.org/officeDocument/2006/relationships/ctrlProp" Target="../ctrlProps/ctrlProps100.xml"/><Relationship Id="rId103" Type="http://schemas.openxmlformats.org/officeDocument/2006/relationships/ctrlProp" Target="../ctrlProps/ctrlProps101.xml"/><Relationship Id="rId104" Type="http://schemas.openxmlformats.org/officeDocument/2006/relationships/ctrlProp" Target="../ctrlProps/ctrlProps10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0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10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5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07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108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09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1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1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11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1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1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15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s11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17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s11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9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s120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s12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23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s12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5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s12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27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s128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29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s130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31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s132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33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s13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35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s136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37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s138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39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s140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4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s142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143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s144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45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s146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47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s148.xml"/><Relationship Id="rId4" Type="http://schemas.openxmlformats.org/officeDocument/2006/relationships/ctrlProp" Target="../ctrlProps/ctrlProps149.xml"/><Relationship Id="rId5" Type="http://schemas.openxmlformats.org/officeDocument/2006/relationships/ctrlProp" Target="../ctrlProps/ctrlProps150.xml"/><Relationship Id="rId6" Type="http://schemas.openxmlformats.org/officeDocument/2006/relationships/ctrlProp" Target="../ctrlProps/ctrlProps151.xml"/><Relationship Id="rId7" Type="http://schemas.openxmlformats.org/officeDocument/2006/relationships/ctrlProp" Target="../ctrlProps/ctrlProps152.xml"/><Relationship Id="rId8" Type="http://schemas.openxmlformats.org/officeDocument/2006/relationships/ctrlProp" Target="../ctrlProps/ctrlProps153.xml"/><Relationship Id="rId9" Type="http://schemas.openxmlformats.org/officeDocument/2006/relationships/ctrlProp" Target="../ctrlProps/ctrlProps15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M281"/>
  <sheetViews>
    <sheetView showFormulas="false" showGridLines="fals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F5" activeCellId="0" sqref="BF5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4.77"/>
    <col collapsed="false" customWidth="true" hidden="false" outlineLevel="0" max="23" min="2" style="0" width="7.78"/>
    <col collapsed="false" customWidth="true" hidden="false" outlineLevel="0" max="24" min="24" style="0" width="8.77"/>
    <col collapsed="false" customWidth="true" hidden="false" outlineLevel="0" max="25" min="25" style="0" width="7.78"/>
    <col collapsed="false" customWidth="true" hidden="false" outlineLevel="0" max="26" min="26" style="1" width="22.56"/>
    <col collapsed="false" customWidth="true" hidden="false" outlineLevel="0" max="48" min="27" style="0" width="2.77"/>
    <col collapsed="false" customWidth="true" hidden="false" outlineLevel="0" max="49" min="49" style="0" width="6.77"/>
    <col collapsed="false" customWidth="true" hidden="false" outlineLevel="0" max="50" min="50" style="0" width="8.77"/>
    <col collapsed="false" customWidth="true" hidden="false" outlineLevel="0" max="51" min="51" style="1" width="12.78"/>
    <col collapsed="false" customWidth="true" hidden="false" outlineLevel="0" max="52" min="52" style="1" width="24.77"/>
    <col collapsed="false" customWidth="true" hidden="false" outlineLevel="0" max="53" min="53" style="2" width="8.77"/>
    <col collapsed="false" customWidth="true" hidden="false" outlineLevel="0" max="54" min="54" style="1" width="12.78"/>
    <col collapsed="false" customWidth="true" hidden="false" outlineLevel="0" max="55" min="55" style="1" width="24.77"/>
    <col collapsed="false" customWidth="true" hidden="false" outlineLevel="0" max="56" min="56" style="0" width="8.77"/>
    <col collapsed="false" customWidth="true" hidden="false" outlineLevel="0" max="57" min="57" style="0" width="24.77"/>
    <col collapsed="false" customWidth="true" hidden="false" outlineLevel="0" max="58" min="58" style="0" width="8.77"/>
    <col collapsed="false" customWidth="true" hidden="false" outlineLevel="0" max="59" min="59" style="0" width="24.77"/>
  </cols>
  <sheetData>
    <row r="1" customFormat="false" ht="29.15" hidden="false" customHeight="false" outlineLevel="0" collapsed="false">
      <c r="A1" s="3" t="str">
        <f aca="false">"Clicks "&amp;B!C3&amp;":"&amp;" "&amp;B!C10&amp;" "&amp;B!C9&amp;" League Team Score Summary (with Handicap)"</f>
        <v>Clicks Tucson: Get-a-Cue 8-Ball League Team Score Summary (with Handicap)</v>
      </c>
      <c r="B1" s="3"/>
      <c r="C1" s="3"/>
      <c r="D1" s="3"/>
      <c r="E1" s="3"/>
      <c r="F1" s="3"/>
      <c r="G1" s="3"/>
    </row>
    <row r="2" customFormat="false" ht="15" hidden="false" customHeight="false" outlineLevel="0" collapsed="false">
      <c r="BD2" s="4"/>
      <c r="BE2" s="4"/>
      <c r="BF2" s="4"/>
      <c r="BG2" s="4"/>
    </row>
    <row r="3" customFormat="false" ht="15" hidden="false" customHeight="false" outlineLevel="0" collapsed="false">
      <c r="A3" s="5" t="s">
        <v>0</v>
      </c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  <c r="K3" s="6" t="s">
        <v>10</v>
      </c>
      <c r="L3" s="6" t="s">
        <v>11</v>
      </c>
      <c r="M3" s="6" t="s">
        <v>12</v>
      </c>
      <c r="N3" s="6" t="s">
        <v>13</v>
      </c>
      <c r="O3" s="6" t="s">
        <v>14</v>
      </c>
      <c r="P3" s="6" t="s">
        <v>15</v>
      </c>
      <c r="Q3" s="6" t="s">
        <v>16</v>
      </c>
      <c r="R3" s="6" t="s">
        <v>17</v>
      </c>
      <c r="S3" s="6" t="s">
        <v>18</v>
      </c>
      <c r="T3" s="6" t="s">
        <v>19</v>
      </c>
      <c r="U3" s="6" t="s">
        <v>20</v>
      </c>
      <c r="V3" s="6" t="s">
        <v>21</v>
      </c>
      <c r="W3" s="6" t="s">
        <v>22</v>
      </c>
      <c r="Z3" s="4" t="str">
        <f aca="false">A3</f>
        <v>Team #1 Name:</v>
      </c>
      <c r="AA3" s="7" t="s">
        <v>23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 t="s">
        <v>24</v>
      </c>
      <c r="AY3" s="8"/>
      <c r="AZ3" s="8"/>
      <c r="BA3" s="9" t="s">
        <v>25</v>
      </c>
      <c r="BB3" s="9"/>
      <c r="BC3" s="9"/>
      <c r="BD3" s="8" t="s">
        <v>26</v>
      </c>
      <c r="BE3" s="8"/>
      <c r="BF3" s="10" t="s">
        <v>27</v>
      </c>
      <c r="BG3" s="10"/>
    </row>
    <row r="4" customFormat="false" ht="15" hidden="false" customHeight="false" outlineLevel="0" collapsed="false">
      <c r="A4" s="11" t="str">
        <f aca="false">B!B16</f>
        <v>PIRATES OF THE TABLE</v>
      </c>
      <c r="B4" s="12" t="s">
        <v>28</v>
      </c>
      <c r="C4" s="12" t="s">
        <v>28</v>
      </c>
      <c r="D4" s="12" t="s">
        <v>28</v>
      </c>
      <c r="E4" s="12" t="s">
        <v>28</v>
      </c>
      <c r="F4" s="12" t="s">
        <v>28</v>
      </c>
      <c r="G4" s="12" t="s">
        <v>28</v>
      </c>
      <c r="H4" s="12" t="s">
        <v>28</v>
      </c>
      <c r="I4" s="12" t="s">
        <v>28</v>
      </c>
      <c r="J4" s="12" t="s">
        <v>28</v>
      </c>
      <c r="K4" s="12" t="s">
        <v>28</v>
      </c>
      <c r="L4" s="12" t="s">
        <v>28</v>
      </c>
      <c r="M4" s="12" t="s">
        <v>28</v>
      </c>
      <c r="N4" s="12" t="s">
        <v>28</v>
      </c>
      <c r="O4" s="12" t="s">
        <v>28</v>
      </c>
      <c r="P4" s="12" t="s">
        <v>28</v>
      </c>
      <c r="Q4" s="12" t="s">
        <v>28</v>
      </c>
      <c r="R4" s="12" t="s">
        <v>28</v>
      </c>
      <c r="S4" s="12" t="s">
        <v>28</v>
      </c>
      <c r="T4" s="12" t="s">
        <v>28</v>
      </c>
      <c r="U4" s="12" t="s">
        <v>28</v>
      </c>
      <c r="V4" s="12" t="s">
        <v>28</v>
      </c>
      <c r="W4" s="12" t="s">
        <v>28</v>
      </c>
      <c r="X4" s="13" t="s">
        <v>29</v>
      </c>
      <c r="Y4" s="14" t="s">
        <v>30</v>
      </c>
      <c r="Z4" s="15" t="str">
        <f aca="false">A4</f>
        <v>PIRATES OF THE TABLE</v>
      </c>
      <c r="AA4" s="16"/>
      <c r="AW4" s="17" t="s">
        <v>31</v>
      </c>
      <c r="AX4" s="18" t="s">
        <v>32</v>
      </c>
      <c r="AY4" s="18"/>
      <c r="AZ4" s="18"/>
      <c r="BA4" s="19" t="s">
        <v>33</v>
      </c>
      <c r="BB4" s="19"/>
      <c r="BC4" s="19"/>
      <c r="BD4" s="18" t="s">
        <v>32</v>
      </c>
      <c r="BE4" s="18"/>
      <c r="BF4" s="20" t="s">
        <v>33</v>
      </c>
      <c r="BG4" s="20"/>
      <c r="BK4" s="0" t="s">
        <v>28</v>
      </c>
      <c r="BL4" s="0" t="s">
        <v>34</v>
      </c>
      <c r="BM4" s="0" t="s">
        <v>35</v>
      </c>
    </row>
    <row r="5" customFormat="false" ht="15" hidden="false" customHeight="false" outlineLevel="0" collapsed="false">
      <c r="A5" s="21" t="str">
        <f aca="false">B!B18</f>
        <v>JASON</v>
      </c>
      <c r="B5" s="22" t="n">
        <f aca="false">C!B5</f>
        <v>40</v>
      </c>
      <c r="C5" s="22" t="n">
        <f aca="false">D!B5</f>
        <v>35</v>
      </c>
      <c r="D5" s="22" t="n">
        <f aca="false">E!B5</f>
        <v>44</v>
      </c>
      <c r="E5" s="22" t="n">
        <f aca="false">F!B5</f>
        <v>50</v>
      </c>
      <c r="F5" s="22" t="n">
        <f aca="false">G!B5</f>
        <v>41</v>
      </c>
      <c r="G5" s="22" t="n">
        <f aca="false">H!B5</f>
        <v>35</v>
      </c>
      <c r="H5" s="22" t="n">
        <f aca="false">I!B5</f>
        <v>0</v>
      </c>
      <c r="I5" s="22" t="n">
        <f aca="false">J!B5</f>
        <v>0</v>
      </c>
      <c r="J5" s="22" t="n">
        <f aca="false">K!B5</f>
        <v>0</v>
      </c>
      <c r="K5" s="22" t="n">
        <f aca="false">L!B5</f>
        <v>0</v>
      </c>
      <c r="L5" s="22" t="n">
        <f aca="false">M!B5</f>
        <v>0</v>
      </c>
      <c r="M5" s="22" t="n">
        <f aca="false">N!B5</f>
        <v>0</v>
      </c>
      <c r="N5" s="22" t="n">
        <f aca="false">O!B5</f>
        <v>0</v>
      </c>
      <c r="O5" s="22" t="n">
        <f aca="false">P!B5</f>
        <v>0</v>
      </c>
      <c r="P5" s="22" t="n">
        <f aca="false">Q!B5</f>
        <v>0</v>
      </c>
      <c r="Q5" s="22" t="n">
        <f aca="false">R!B5</f>
        <v>0</v>
      </c>
      <c r="R5" s="22" t="n">
        <f aca="false">S!B5</f>
        <v>0</v>
      </c>
      <c r="S5" s="22" t="n">
        <f aca="false">T!B5</f>
        <v>0</v>
      </c>
      <c r="T5" s="22" t="n">
        <f aca="false">U!B5</f>
        <v>0</v>
      </c>
      <c r="U5" s="22" t="n">
        <f aca="false">V!B5</f>
        <v>0</v>
      </c>
      <c r="V5" s="22" t="n">
        <f aca="false">W!B5</f>
        <v>0</v>
      </c>
      <c r="W5" s="22" t="n">
        <f aca="false">X!B5</f>
        <v>0</v>
      </c>
      <c r="X5" s="23" t="n">
        <f aca="false">SUM(B5:W5)</f>
        <v>245</v>
      </c>
      <c r="Y5" s="24" t="n">
        <f aca="false">IF(AW5=0,0,X5/AW5)</f>
        <v>40.8333333333333</v>
      </c>
      <c r="Z5" s="25" t="str">
        <f aca="false">A5</f>
        <v>JASON</v>
      </c>
      <c r="AA5" s="16" t="n">
        <f aca="false">IF(B5=0,0,1)</f>
        <v>1</v>
      </c>
      <c r="AB5" s="0" t="n">
        <f aca="false">IF(C5=0,0,1)</f>
        <v>1</v>
      </c>
      <c r="AC5" s="0" t="n">
        <f aca="false">IF(D5=0,0,1)</f>
        <v>1</v>
      </c>
      <c r="AD5" s="0" t="n">
        <f aca="false">IF(E5=0,0,1)</f>
        <v>1</v>
      </c>
      <c r="AE5" s="0" t="n">
        <f aca="false">IF(F5=0,0,1)</f>
        <v>1</v>
      </c>
      <c r="AF5" s="0" t="n">
        <f aca="false">IF(G5=0,0,1)</f>
        <v>1</v>
      </c>
      <c r="AG5" s="0" t="n">
        <f aca="false">IF(H5=0,0,1)</f>
        <v>0</v>
      </c>
      <c r="AH5" s="0" t="n">
        <f aca="false">IF(I5=0,0,1)</f>
        <v>0</v>
      </c>
      <c r="AI5" s="0" t="n">
        <f aca="false">IF(J5=0,0,1)</f>
        <v>0</v>
      </c>
      <c r="AJ5" s="0" t="n">
        <f aca="false">IF(K5=0,0,1)</f>
        <v>0</v>
      </c>
      <c r="AK5" s="0" t="n">
        <f aca="false">IF(L5=0,0,1)</f>
        <v>0</v>
      </c>
      <c r="AL5" s="0" t="n">
        <f aca="false">IF(M5=0,0,1)</f>
        <v>0</v>
      </c>
      <c r="AM5" s="0" t="n">
        <f aca="false">IF(N5=0,0,1)</f>
        <v>0</v>
      </c>
      <c r="AN5" s="0" t="n">
        <f aca="false">IF(O5=0,0,1)</f>
        <v>0</v>
      </c>
      <c r="AO5" s="0" t="n">
        <f aca="false">IF(P5=0,0,1)</f>
        <v>0</v>
      </c>
      <c r="AP5" s="0" t="n">
        <f aca="false">IF(Q5=0,0,1)</f>
        <v>0</v>
      </c>
      <c r="AQ5" s="0" t="n">
        <f aca="false">IF(R5=0,0,1)</f>
        <v>0</v>
      </c>
      <c r="AR5" s="0" t="n">
        <f aca="false">IF(S5=0,0,1)</f>
        <v>0</v>
      </c>
      <c r="AS5" s="0" t="n">
        <f aca="false">IF(T5=0,0,1)</f>
        <v>0</v>
      </c>
      <c r="AT5" s="0" t="n">
        <f aca="false">IF(U5=0,0,1)</f>
        <v>0</v>
      </c>
      <c r="AU5" s="0" t="n">
        <f aca="false">IF(V5=0,0,1)</f>
        <v>0</v>
      </c>
      <c r="AV5" s="0" t="n">
        <f aca="false">IF(W5=0,0,1)</f>
        <v>0</v>
      </c>
      <c r="AW5" s="26" t="n">
        <f aca="false">SUM(AA5:AV5)</f>
        <v>6</v>
      </c>
      <c r="AX5" s="27" t="n">
        <f aca="false">IF(X5=0,0,X5)</f>
        <v>245</v>
      </c>
      <c r="AY5" s="1" t="str">
        <f aca="false">IF(X5=0,0,A5)</f>
        <v>JASON</v>
      </c>
      <c r="AZ5" s="28" t="str">
        <f aca="false">IF(AX5=0,0,A$4)</f>
        <v>PIRATES OF THE TABLE</v>
      </c>
      <c r="BA5" s="29" t="n">
        <v>275</v>
      </c>
      <c r="BB5" s="30" t="s">
        <v>36</v>
      </c>
      <c r="BC5" s="31" t="s">
        <v>37</v>
      </c>
      <c r="BD5" s="27"/>
      <c r="BE5" s="26"/>
      <c r="BF5" s="32" t="n">
        <v>1260</v>
      </c>
      <c r="BG5" s="33" t="s">
        <v>37</v>
      </c>
      <c r="BI5" s="0" t="n">
        <v>0</v>
      </c>
      <c r="BJ5" s="0" t="s">
        <v>38</v>
      </c>
      <c r="BK5" s="34" t="n">
        <f aca="false">BD15</f>
        <v>1072.63</v>
      </c>
      <c r="BL5" s="0" t="n">
        <v>1</v>
      </c>
      <c r="BM5" s="0" t="str">
        <f aca="false">A4</f>
        <v>PIRATES OF THE TABLE</v>
      </c>
    </row>
    <row r="6" customFormat="false" ht="15" hidden="false" customHeight="false" outlineLevel="0" collapsed="false">
      <c r="A6" s="21" t="str">
        <f aca="false">B!B23</f>
        <v>TRAYE</v>
      </c>
      <c r="B6" s="22" t="n">
        <f aca="false">C!B6</f>
        <v>40</v>
      </c>
      <c r="C6" s="22" t="n">
        <f aca="false">D!B6</f>
        <v>25</v>
      </c>
      <c r="D6" s="22" t="n">
        <f aca="false">E!B6</f>
        <v>22</v>
      </c>
      <c r="E6" s="22" t="n">
        <f aca="false">F!B6</f>
        <v>32</v>
      </c>
      <c r="F6" s="22" t="n">
        <f aca="false">G!B6</f>
        <v>17</v>
      </c>
      <c r="G6" s="22" t="n">
        <f aca="false">H!B6</f>
        <v>39</v>
      </c>
      <c r="H6" s="22" t="n">
        <f aca="false">I!B6</f>
        <v>0</v>
      </c>
      <c r="I6" s="22" t="n">
        <f aca="false">J!B6</f>
        <v>0</v>
      </c>
      <c r="J6" s="22" t="n">
        <f aca="false">K!B6</f>
        <v>0</v>
      </c>
      <c r="K6" s="22" t="n">
        <f aca="false">L!B6</f>
        <v>0</v>
      </c>
      <c r="L6" s="22" t="n">
        <f aca="false">M!B6</f>
        <v>0</v>
      </c>
      <c r="M6" s="22" t="n">
        <f aca="false">N!B6</f>
        <v>0</v>
      </c>
      <c r="N6" s="22" t="n">
        <f aca="false">O!B6</f>
        <v>0</v>
      </c>
      <c r="O6" s="22" t="n">
        <f aca="false">P!B6</f>
        <v>0</v>
      </c>
      <c r="P6" s="22" t="n">
        <f aca="false">Q!B6</f>
        <v>0</v>
      </c>
      <c r="Q6" s="22" t="n">
        <f aca="false">R!B6</f>
        <v>0</v>
      </c>
      <c r="R6" s="22" t="n">
        <f aca="false">S!B6</f>
        <v>0</v>
      </c>
      <c r="S6" s="22" t="n">
        <f aca="false">T!B6</f>
        <v>0</v>
      </c>
      <c r="T6" s="22" t="n">
        <f aca="false">U!B6</f>
        <v>0</v>
      </c>
      <c r="U6" s="22" t="n">
        <f aca="false">V!B6</f>
        <v>0</v>
      </c>
      <c r="V6" s="22" t="n">
        <f aca="false">W!B6</f>
        <v>0</v>
      </c>
      <c r="W6" s="22" t="n">
        <f aca="false">X!B6</f>
        <v>0</v>
      </c>
      <c r="X6" s="23" t="n">
        <f aca="false">SUM(B6:W6)</f>
        <v>175</v>
      </c>
      <c r="Y6" s="24" t="n">
        <f aca="false">IF(AW6=0,0,X6/AW6)</f>
        <v>29.1666666666667</v>
      </c>
      <c r="Z6" s="25" t="str">
        <f aca="false">A6</f>
        <v>TRAYE</v>
      </c>
      <c r="AA6" s="16" t="n">
        <f aca="false">IF(B6=0,0,1)</f>
        <v>1</v>
      </c>
      <c r="AB6" s="0" t="n">
        <f aca="false">IF(C6=0,0,1)</f>
        <v>1</v>
      </c>
      <c r="AC6" s="0" t="n">
        <f aca="false">IF(D6=0,0,1)</f>
        <v>1</v>
      </c>
      <c r="AD6" s="0" t="n">
        <f aca="false">IF(E6=0,0,1)</f>
        <v>1</v>
      </c>
      <c r="AE6" s="0" t="n">
        <f aca="false">IF(F6=0,0,1)</f>
        <v>1</v>
      </c>
      <c r="AF6" s="0" t="n">
        <f aca="false">IF(G6=0,0,1)</f>
        <v>1</v>
      </c>
      <c r="AG6" s="0" t="n">
        <f aca="false">IF(H6=0,0,1)</f>
        <v>0</v>
      </c>
      <c r="AH6" s="0" t="n">
        <f aca="false">IF(I6=0,0,1)</f>
        <v>0</v>
      </c>
      <c r="AI6" s="0" t="n">
        <f aca="false">IF(J6=0,0,1)</f>
        <v>0</v>
      </c>
      <c r="AJ6" s="0" t="n">
        <f aca="false">IF(K6=0,0,1)</f>
        <v>0</v>
      </c>
      <c r="AK6" s="0" t="n">
        <f aca="false">IF(L6=0,0,1)</f>
        <v>0</v>
      </c>
      <c r="AL6" s="0" t="n">
        <f aca="false">IF(M6=0,0,1)</f>
        <v>0</v>
      </c>
      <c r="AM6" s="0" t="n">
        <f aca="false">IF(N6=0,0,1)</f>
        <v>0</v>
      </c>
      <c r="AN6" s="0" t="n">
        <f aca="false">IF(O6=0,0,1)</f>
        <v>0</v>
      </c>
      <c r="AO6" s="0" t="n">
        <f aca="false">IF(P6=0,0,1)</f>
        <v>0</v>
      </c>
      <c r="AP6" s="0" t="n">
        <f aca="false">IF(Q6=0,0,1)</f>
        <v>0</v>
      </c>
      <c r="AQ6" s="0" t="n">
        <f aca="false">IF(R6=0,0,1)</f>
        <v>0</v>
      </c>
      <c r="AR6" s="0" t="n">
        <f aca="false">IF(S6=0,0,1)</f>
        <v>0</v>
      </c>
      <c r="AS6" s="0" t="n">
        <f aca="false">IF(T6=0,0,1)</f>
        <v>0</v>
      </c>
      <c r="AT6" s="0" t="n">
        <f aca="false">IF(U6=0,0,1)</f>
        <v>0</v>
      </c>
      <c r="AU6" s="0" t="n">
        <f aca="false">IF(V6=0,0,1)</f>
        <v>0</v>
      </c>
      <c r="AV6" s="0" t="n">
        <f aca="false">IF(W6=0,0,1)</f>
        <v>0</v>
      </c>
      <c r="AW6" s="26" t="n">
        <f aca="false">SUM(AA6:AV6)</f>
        <v>6</v>
      </c>
      <c r="AX6" s="27" t="n">
        <f aca="false">IF(X6=0,0,X6)</f>
        <v>175</v>
      </c>
      <c r="AY6" s="1" t="str">
        <f aca="false">IF(X6=0,0,A6)</f>
        <v>TRAYE</v>
      </c>
      <c r="AZ6" s="28" t="str">
        <f aca="false">IF(AX6=0,0,A$4)</f>
        <v>PIRATES OF THE TABLE</v>
      </c>
      <c r="BA6" s="29" t="n">
        <v>266</v>
      </c>
      <c r="BB6" s="30" t="s">
        <v>39</v>
      </c>
      <c r="BC6" s="31" t="s">
        <v>40</v>
      </c>
      <c r="BD6" s="27"/>
      <c r="BE6" s="26"/>
      <c r="BF6" s="32" t="n">
        <v>1227.4</v>
      </c>
      <c r="BG6" s="33" t="s">
        <v>40</v>
      </c>
      <c r="BI6" s="0" t="n">
        <v>1</v>
      </c>
      <c r="BJ6" s="0" t="s">
        <v>41</v>
      </c>
      <c r="BK6" s="34" t="n">
        <f aca="false">BD29</f>
        <v>1076.13</v>
      </c>
      <c r="BL6" s="0" t="n">
        <v>2</v>
      </c>
      <c r="BM6" s="0" t="str">
        <f aca="false">A18</f>
        <v>VLADIMIR POOLIN</v>
      </c>
    </row>
    <row r="7" customFormat="false" ht="15" hidden="false" customHeight="false" outlineLevel="0" collapsed="false">
      <c r="A7" s="21" t="str">
        <f aca="false">B!B28</f>
        <v>WC</v>
      </c>
      <c r="B7" s="22" t="n">
        <f aca="false">C!B7</f>
        <v>40</v>
      </c>
      <c r="C7" s="22" t="n">
        <f aca="false">D!B7</f>
        <v>28</v>
      </c>
      <c r="D7" s="22" t="n">
        <f aca="false">E!B7</f>
        <v>26</v>
      </c>
      <c r="E7" s="22" t="n">
        <f aca="false">F!B7</f>
        <v>32</v>
      </c>
      <c r="F7" s="22" t="n">
        <f aca="false">G!B7</f>
        <v>24</v>
      </c>
      <c r="G7" s="22" t="n">
        <f aca="false">H!B7</f>
        <v>32</v>
      </c>
      <c r="H7" s="22" t="n">
        <f aca="false">I!B7</f>
        <v>0</v>
      </c>
      <c r="I7" s="22" t="n">
        <f aca="false">J!B7</f>
        <v>0</v>
      </c>
      <c r="J7" s="22" t="n">
        <f aca="false">K!B7</f>
        <v>0</v>
      </c>
      <c r="K7" s="22" t="n">
        <f aca="false">L!B7</f>
        <v>0</v>
      </c>
      <c r="L7" s="22" t="n">
        <f aca="false">M!B7</f>
        <v>0</v>
      </c>
      <c r="M7" s="22" t="n">
        <f aca="false">N!B7</f>
        <v>0</v>
      </c>
      <c r="N7" s="22" t="n">
        <f aca="false">O!B7</f>
        <v>0</v>
      </c>
      <c r="O7" s="22" t="n">
        <f aca="false">P!B7</f>
        <v>0</v>
      </c>
      <c r="P7" s="22" t="n">
        <f aca="false">Q!B7</f>
        <v>0</v>
      </c>
      <c r="Q7" s="22" t="n">
        <f aca="false">R!B7</f>
        <v>0</v>
      </c>
      <c r="R7" s="22" t="n">
        <f aca="false">S!B7</f>
        <v>0</v>
      </c>
      <c r="S7" s="22" t="n">
        <f aca="false">T!B7</f>
        <v>0</v>
      </c>
      <c r="T7" s="22" t="n">
        <f aca="false">U!B7</f>
        <v>0</v>
      </c>
      <c r="U7" s="22" t="n">
        <f aca="false">V!B7</f>
        <v>0</v>
      </c>
      <c r="V7" s="22" t="n">
        <f aca="false">W!B7</f>
        <v>0</v>
      </c>
      <c r="W7" s="22" t="n">
        <f aca="false">X!B7</f>
        <v>0</v>
      </c>
      <c r="X7" s="23" t="n">
        <f aca="false">SUM(B7:W7)</f>
        <v>182</v>
      </c>
      <c r="Y7" s="24" t="n">
        <f aca="false">IF(AW7=0,0,X7/AW7)</f>
        <v>30.3333333333333</v>
      </c>
      <c r="Z7" s="25" t="str">
        <f aca="false">A7</f>
        <v>WC</v>
      </c>
      <c r="AA7" s="16" t="n">
        <f aca="false">IF(B7=0,0,1)</f>
        <v>1</v>
      </c>
      <c r="AB7" s="0" t="n">
        <f aca="false">IF(C7=0,0,1)</f>
        <v>1</v>
      </c>
      <c r="AC7" s="0" t="n">
        <f aca="false">IF(D7=0,0,1)</f>
        <v>1</v>
      </c>
      <c r="AD7" s="0" t="n">
        <f aca="false">IF(E7=0,0,1)</f>
        <v>1</v>
      </c>
      <c r="AE7" s="0" t="n">
        <f aca="false">IF(F7=0,0,1)</f>
        <v>1</v>
      </c>
      <c r="AF7" s="0" t="n">
        <f aca="false">IF(G7=0,0,1)</f>
        <v>1</v>
      </c>
      <c r="AG7" s="0" t="n">
        <f aca="false">IF(H7=0,0,1)</f>
        <v>0</v>
      </c>
      <c r="AH7" s="0" t="n">
        <f aca="false">IF(I7=0,0,1)</f>
        <v>0</v>
      </c>
      <c r="AI7" s="0" t="n">
        <f aca="false">IF(J7=0,0,1)</f>
        <v>0</v>
      </c>
      <c r="AJ7" s="0" t="n">
        <f aca="false">IF(K7=0,0,1)</f>
        <v>0</v>
      </c>
      <c r="AK7" s="0" t="n">
        <f aca="false">IF(L7=0,0,1)</f>
        <v>0</v>
      </c>
      <c r="AL7" s="0" t="n">
        <f aca="false">IF(M7=0,0,1)</f>
        <v>0</v>
      </c>
      <c r="AM7" s="0" t="n">
        <f aca="false">IF(N7=0,0,1)</f>
        <v>0</v>
      </c>
      <c r="AN7" s="0" t="n">
        <f aca="false">IF(O7=0,0,1)</f>
        <v>0</v>
      </c>
      <c r="AO7" s="0" t="n">
        <f aca="false">IF(P7=0,0,1)</f>
        <v>0</v>
      </c>
      <c r="AP7" s="0" t="n">
        <f aca="false">IF(Q7=0,0,1)</f>
        <v>0</v>
      </c>
      <c r="AQ7" s="0" t="n">
        <f aca="false">IF(R7=0,0,1)</f>
        <v>0</v>
      </c>
      <c r="AR7" s="0" t="n">
        <f aca="false">IF(S7=0,0,1)</f>
        <v>0</v>
      </c>
      <c r="AS7" s="0" t="n">
        <f aca="false">IF(T7=0,0,1)</f>
        <v>0</v>
      </c>
      <c r="AT7" s="0" t="n">
        <f aca="false">IF(U7=0,0,1)</f>
        <v>0</v>
      </c>
      <c r="AU7" s="0" t="n">
        <f aca="false">IF(V7=0,0,1)</f>
        <v>0</v>
      </c>
      <c r="AV7" s="0" t="n">
        <f aca="false">IF(W7=0,0,1)</f>
        <v>0</v>
      </c>
      <c r="AW7" s="26" t="n">
        <f aca="false">SUM(AA7:AV7)</f>
        <v>6</v>
      </c>
      <c r="AX7" s="27" t="n">
        <f aca="false">IF(X7=0,0,X7)</f>
        <v>182</v>
      </c>
      <c r="AY7" s="1" t="str">
        <f aca="false">IF(X7=0,0,A7)</f>
        <v>WC</v>
      </c>
      <c r="AZ7" s="28" t="str">
        <f aca="false">IF(AX7=0,0,A$4)</f>
        <v>PIRATES OF THE TABLE</v>
      </c>
      <c r="BA7" s="29" t="n">
        <v>259</v>
      </c>
      <c r="BB7" s="30" t="s">
        <v>42</v>
      </c>
      <c r="BC7" s="31" t="s">
        <v>43</v>
      </c>
      <c r="BD7" s="27"/>
      <c r="BE7" s="26"/>
      <c r="BF7" s="32" t="n">
        <v>1216.855</v>
      </c>
      <c r="BG7" s="33" t="s">
        <v>43</v>
      </c>
      <c r="BI7" s="0" t="n">
        <v>2</v>
      </c>
      <c r="BJ7" s="0" t="s">
        <v>44</v>
      </c>
      <c r="BK7" s="34" t="n">
        <f aca="false">BD43</f>
        <v>1167.14</v>
      </c>
      <c r="BL7" s="0" t="n">
        <v>3</v>
      </c>
      <c r="BM7" s="0" t="str">
        <f aca="false">A32</f>
        <v>RACK PACK</v>
      </c>
    </row>
    <row r="8" customFormat="false" ht="15" hidden="false" customHeight="false" outlineLevel="0" collapsed="false">
      <c r="A8" s="21" t="str">
        <f aca="false">B!B33</f>
        <v>DON</v>
      </c>
      <c r="B8" s="22" t="n">
        <f aca="false">C!B8</f>
        <v>40</v>
      </c>
      <c r="C8" s="22" t="n">
        <f aca="false">D!B8</f>
        <v>37</v>
      </c>
      <c r="D8" s="22" t="n">
        <f aca="false">E!B8</f>
        <v>38</v>
      </c>
      <c r="E8" s="22" t="n">
        <f aca="false">F!B8</f>
        <v>47</v>
      </c>
      <c r="F8" s="22" t="n">
        <f aca="false">G!B8</f>
        <v>20</v>
      </c>
      <c r="G8" s="22" t="n">
        <f aca="false">H!B8</f>
        <v>40</v>
      </c>
      <c r="H8" s="22" t="n">
        <f aca="false">I!B8</f>
        <v>0</v>
      </c>
      <c r="I8" s="22" t="n">
        <f aca="false">J!B8</f>
        <v>0</v>
      </c>
      <c r="J8" s="22" t="n">
        <f aca="false">K!B8</f>
        <v>0</v>
      </c>
      <c r="K8" s="22" t="n">
        <f aca="false">L!B8</f>
        <v>0</v>
      </c>
      <c r="L8" s="22" t="n">
        <f aca="false">M!B8</f>
        <v>0</v>
      </c>
      <c r="M8" s="22" t="n">
        <f aca="false">N!B8</f>
        <v>0</v>
      </c>
      <c r="N8" s="22" t="n">
        <f aca="false">O!B8</f>
        <v>0</v>
      </c>
      <c r="O8" s="22" t="n">
        <f aca="false">P!B8</f>
        <v>0</v>
      </c>
      <c r="P8" s="22" t="n">
        <f aca="false">Q!B8</f>
        <v>0</v>
      </c>
      <c r="Q8" s="22" t="n">
        <f aca="false">R!B8</f>
        <v>0</v>
      </c>
      <c r="R8" s="22" t="n">
        <f aca="false">S!B8</f>
        <v>0</v>
      </c>
      <c r="S8" s="22" t="n">
        <f aca="false">T!B8</f>
        <v>0</v>
      </c>
      <c r="T8" s="22" t="n">
        <f aca="false">U!B8</f>
        <v>0</v>
      </c>
      <c r="U8" s="22" t="n">
        <f aca="false">V!B8</f>
        <v>0</v>
      </c>
      <c r="V8" s="22" t="n">
        <f aca="false">W!B8</f>
        <v>0</v>
      </c>
      <c r="W8" s="22" t="n">
        <f aca="false">X!B8</f>
        <v>0</v>
      </c>
      <c r="X8" s="23" t="n">
        <f aca="false">SUM(B8:W8)</f>
        <v>222</v>
      </c>
      <c r="Y8" s="24" t="n">
        <f aca="false">IF(AW8=0,0,X8/AW8)</f>
        <v>37</v>
      </c>
      <c r="Z8" s="25" t="str">
        <f aca="false">A8</f>
        <v>DON</v>
      </c>
      <c r="AA8" s="16" t="n">
        <f aca="false">IF(B8=0,0,1)</f>
        <v>1</v>
      </c>
      <c r="AB8" s="0" t="n">
        <f aca="false">IF(C8=0,0,1)</f>
        <v>1</v>
      </c>
      <c r="AC8" s="0" t="n">
        <f aca="false">IF(D8=0,0,1)</f>
        <v>1</v>
      </c>
      <c r="AD8" s="0" t="n">
        <f aca="false">IF(E8=0,0,1)</f>
        <v>1</v>
      </c>
      <c r="AE8" s="0" t="n">
        <f aca="false">IF(F8=0,0,1)</f>
        <v>1</v>
      </c>
      <c r="AF8" s="0" t="n">
        <f aca="false">IF(G8=0,0,1)</f>
        <v>1</v>
      </c>
      <c r="AG8" s="0" t="n">
        <f aca="false">IF(H8=0,0,1)</f>
        <v>0</v>
      </c>
      <c r="AH8" s="0" t="n">
        <f aca="false">IF(I8=0,0,1)</f>
        <v>0</v>
      </c>
      <c r="AI8" s="0" t="n">
        <f aca="false">IF(J8=0,0,1)</f>
        <v>0</v>
      </c>
      <c r="AJ8" s="0" t="n">
        <f aca="false">IF(K8=0,0,1)</f>
        <v>0</v>
      </c>
      <c r="AK8" s="0" t="n">
        <f aca="false">IF(L8=0,0,1)</f>
        <v>0</v>
      </c>
      <c r="AL8" s="0" t="n">
        <f aca="false">IF(M8=0,0,1)</f>
        <v>0</v>
      </c>
      <c r="AM8" s="0" t="n">
        <f aca="false">IF(N8=0,0,1)</f>
        <v>0</v>
      </c>
      <c r="AN8" s="0" t="n">
        <f aca="false">IF(O8=0,0,1)</f>
        <v>0</v>
      </c>
      <c r="AO8" s="0" t="n">
        <f aca="false">IF(P8=0,0,1)</f>
        <v>0</v>
      </c>
      <c r="AP8" s="0" t="n">
        <f aca="false">IF(Q8=0,0,1)</f>
        <v>0</v>
      </c>
      <c r="AQ8" s="0" t="n">
        <f aca="false">IF(R8=0,0,1)</f>
        <v>0</v>
      </c>
      <c r="AR8" s="0" t="n">
        <f aca="false">IF(S8=0,0,1)</f>
        <v>0</v>
      </c>
      <c r="AS8" s="0" t="n">
        <f aca="false">IF(T8=0,0,1)</f>
        <v>0</v>
      </c>
      <c r="AT8" s="0" t="n">
        <f aca="false">IF(U8=0,0,1)</f>
        <v>0</v>
      </c>
      <c r="AU8" s="0" t="n">
        <f aca="false">IF(V8=0,0,1)</f>
        <v>0</v>
      </c>
      <c r="AV8" s="0" t="n">
        <f aca="false">IF(W8=0,0,1)</f>
        <v>0</v>
      </c>
      <c r="AW8" s="26" t="n">
        <f aca="false">SUM(AA8:AV8)</f>
        <v>6</v>
      </c>
      <c r="AX8" s="27" t="n">
        <f aca="false">IF(X8=0,0,X8)</f>
        <v>222</v>
      </c>
      <c r="AY8" s="1" t="str">
        <f aca="false">IF(X8=0,0,A8)</f>
        <v>DON</v>
      </c>
      <c r="AZ8" s="28" t="str">
        <f aca="false">IF(AX8=0,0,A$4)</f>
        <v>PIRATES OF THE TABLE</v>
      </c>
      <c r="BA8" s="29" t="n">
        <v>259</v>
      </c>
      <c r="BB8" s="30" t="s">
        <v>45</v>
      </c>
      <c r="BC8" s="31" t="s">
        <v>37</v>
      </c>
      <c r="BD8" s="27"/>
      <c r="BE8" s="26"/>
      <c r="BF8" s="32" t="n">
        <v>1181.7</v>
      </c>
      <c r="BG8" s="33" t="s">
        <v>46</v>
      </c>
      <c r="BI8" s="0" t="n">
        <v>3</v>
      </c>
      <c r="BJ8" s="0" t="s">
        <v>47</v>
      </c>
      <c r="BK8" s="34" t="n">
        <f aca="false">BD57</f>
        <v>1142</v>
      </c>
      <c r="BL8" s="0" t="n">
        <v>4</v>
      </c>
      <c r="BM8" s="0" t="str">
        <f aca="false">A46</f>
        <v>PKT CHANGE</v>
      </c>
    </row>
    <row r="9" customFormat="false" ht="15" hidden="false" customHeight="false" outlineLevel="0" collapsed="false">
      <c r="A9" s="21" t="str">
        <f aca="false">B!B38</f>
        <v>SAM</v>
      </c>
      <c r="B9" s="22" t="n">
        <f aca="false">C!B9</f>
        <v>40</v>
      </c>
      <c r="C9" s="22" t="n">
        <f aca="false">D!B9</f>
        <v>37</v>
      </c>
      <c r="D9" s="22" t="n">
        <f aca="false">E!B9</f>
        <v>30</v>
      </c>
      <c r="E9" s="22" t="n">
        <f aca="false">F!B9</f>
        <v>26</v>
      </c>
      <c r="F9" s="22" t="n">
        <f aca="false">G!B9</f>
        <v>21</v>
      </c>
      <c r="G9" s="22" t="n">
        <f aca="false">H!B9</f>
        <v>22</v>
      </c>
      <c r="H9" s="22" t="n">
        <f aca="false">I!B9</f>
        <v>0</v>
      </c>
      <c r="I9" s="22" t="n">
        <f aca="false">J!B9</f>
        <v>0</v>
      </c>
      <c r="J9" s="22" t="n">
        <f aca="false">K!B9</f>
        <v>0</v>
      </c>
      <c r="K9" s="22" t="n">
        <f aca="false">L!B9</f>
        <v>0</v>
      </c>
      <c r="L9" s="22" t="n">
        <f aca="false">M!B9</f>
        <v>0</v>
      </c>
      <c r="M9" s="22" t="n">
        <f aca="false">N!B9</f>
        <v>0</v>
      </c>
      <c r="N9" s="22" t="n">
        <f aca="false">O!B9</f>
        <v>0</v>
      </c>
      <c r="O9" s="22" t="n">
        <f aca="false">P!B9</f>
        <v>0</v>
      </c>
      <c r="P9" s="22" t="n">
        <f aca="false">Q!B9</f>
        <v>0</v>
      </c>
      <c r="Q9" s="22" t="n">
        <f aca="false">R!B9</f>
        <v>0</v>
      </c>
      <c r="R9" s="22" t="n">
        <f aca="false">S!B9</f>
        <v>0</v>
      </c>
      <c r="S9" s="22" t="n">
        <f aca="false">T!B9</f>
        <v>0</v>
      </c>
      <c r="T9" s="22" t="n">
        <f aca="false">U!B9</f>
        <v>0</v>
      </c>
      <c r="U9" s="22" t="n">
        <f aca="false">V!B9</f>
        <v>0</v>
      </c>
      <c r="V9" s="22" t="n">
        <f aca="false">W!B9</f>
        <v>0</v>
      </c>
      <c r="W9" s="22" t="n">
        <f aca="false">X!B9</f>
        <v>0</v>
      </c>
      <c r="X9" s="23" t="n">
        <f aca="false">SUM(B9:W9)</f>
        <v>176</v>
      </c>
      <c r="Y9" s="24" t="n">
        <f aca="false">IF(AW9=0,0,X9/AW9)</f>
        <v>29.3333333333333</v>
      </c>
      <c r="Z9" s="25" t="str">
        <f aca="false">A9</f>
        <v>SAM</v>
      </c>
      <c r="AA9" s="16" t="n">
        <f aca="false">IF(B9=0,0,1)</f>
        <v>1</v>
      </c>
      <c r="AB9" s="0" t="n">
        <f aca="false">IF(C9=0,0,1)</f>
        <v>1</v>
      </c>
      <c r="AC9" s="0" t="n">
        <f aca="false">IF(D9=0,0,1)</f>
        <v>1</v>
      </c>
      <c r="AD9" s="0" t="n">
        <f aca="false">IF(E9=0,0,1)</f>
        <v>1</v>
      </c>
      <c r="AE9" s="0" t="n">
        <f aca="false">IF(F9=0,0,1)</f>
        <v>1</v>
      </c>
      <c r="AF9" s="0" t="n">
        <f aca="false">IF(G9=0,0,1)</f>
        <v>1</v>
      </c>
      <c r="AG9" s="0" t="n">
        <f aca="false">IF(H9=0,0,1)</f>
        <v>0</v>
      </c>
      <c r="AH9" s="0" t="n">
        <f aca="false">IF(I9=0,0,1)</f>
        <v>0</v>
      </c>
      <c r="AI9" s="0" t="n">
        <f aca="false">IF(J9=0,0,1)</f>
        <v>0</v>
      </c>
      <c r="AJ9" s="0" t="n">
        <f aca="false">IF(K9=0,0,1)</f>
        <v>0</v>
      </c>
      <c r="AK9" s="0" t="n">
        <f aca="false">IF(L9=0,0,1)</f>
        <v>0</v>
      </c>
      <c r="AL9" s="0" t="n">
        <f aca="false">IF(M9=0,0,1)</f>
        <v>0</v>
      </c>
      <c r="AM9" s="0" t="n">
        <f aca="false">IF(N9=0,0,1)</f>
        <v>0</v>
      </c>
      <c r="AN9" s="0" t="n">
        <f aca="false">IF(O9=0,0,1)</f>
        <v>0</v>
      </c>
      <c r="AO9" s="0" t="n">
        <f aca="false">IF(P9=0,0,1)</f>
        <v>0</v>
      </c>
      <c r="AP9" s="0" t="n">
        <f aca="false">IF(Q9=0,0,1)</f>
        <v>0</v>
      </c>
      <c r="AQ9" s="0" t="n">
        <f aca="false">IF(R9=0,0,1)</f>
        <v>0</v>
      </c>
      <c r="AR9" s="0" t="n">
        <f aca="false">IF(S9=0,0,1)</f>
        <v>0</v>
      </c>
      <c r="AS9" s="0" t="n">
        <f aca="false">IF(T9=0,0,1)</f>
        <v>0</v>
      </c>
      <c r="AT9" s="0" t="n">
        <f aca="false">IF(U9=0,0,1)</f>
        <v>0</v>
      </c>
      <c r="AU9" s="0" t="n">
        <f aca="false">IF(V9=0,0,1)</f>
        <v>0</v>
      </c>
      <c r="AV9" s="0" t="n">
        <f aca="false">IF(W9=0,0,1)</f>
        <v>0</v>
      </c>
      <c r="AW9" s="26" t="n">
        <f aca="false">SUM(AA9:AV9)</f>
        <v>6</v>
      </c>
      <c r="AX9" s="27" t="n">
        <f aca="false">IF(X9=0,0,X9)</f>
        <v>176</v>
      </c>
      <c r="AY9" s="1" t="str">
        <f aca="false">IF(X9=0,0,A9)</f>
        <v>SAM</v>
      </c>
      <c r="AZ9" s="28" t="str">
        <f aca="false">IF(AX9=0,0,A$4)</f>
        <v>PIRATES OF THE TABLE</v>
      </c>
      <c r="BA9" s="29" t="n">
        <v>256</v>
      </c>
      <c r="BB9" s="30" t="s">
        <v>48</v>
      </c>
      <c r="BC9" s="31" t="s">
        <v>46</v>
      </c>
      <c r="BD9" s="27"/>
      <c r="BE9" s="26"/>
      <c r="BF9" s="32" t="n">
        <v>1179.95</v>
      </c>
      <c r="BG9" s="33" t="s">
        <v>49</v>
      </c>
      <c r="BI9" s="0" t="n">
        <v>4</v>
      </c>
      <c r="BJ9" s="0" t="s">
        <v>50</v>
      </c>
      <c r="BK9" s="34" t="n">
        <f aca="false">BD71</f>
        <v>1137.55</v>
      </c>
      <c r="BL9" s="0" t="n">
        <v>5</v>
      </c>
      <c r="BM9" s="0" t="str">
        <f aca="false">A60</f>
        <v>HABOOBS</v>
      </c>
    </row>
    <row r="10" customFormat="false" ht="15" hidden="false" customHeight="false" outlineLevel="0" collapsed="false">
      <c r="A10" s="21" t="n">
        <f aca="false">B!B43</f>
        <v>0</v>
      </c>
      <c r="B10" s="22" t="n">
        <f aca="false">C!B10</f>
        <v>0</v>
      </c>
      <c r="C10" s="22" t="n">
        <f aca="false">D!B10</f>
        <v>18</v>
      </c>
      <c r="D10" s="22" t="n">
        <f aca="false">E!B10</f>
        <v>0</v>
      </c>
      <c r="E10" s="22" t="n">
        <f aca="false">F!B10</f>
        <v>0</v>
      </c>
      <c r="F10" s="22" t="n">
        <f aca="false">G!B10</f>
        <v>0</v>
      </c>
      <c r="G10" s="22" t="n">
        <f aca="false">H!B10</f>
        <v>0</v>
      </c>
      <c r="H10" s="22" t="n">
        <f aca="false">I!B10</f>
        <v>0</v>
      </c>
      <c r="I10" s="22" t="n">
        <f aca="false">J!B10</f>
        <v>0</v>
      </c>
      <c r="J10" s="22" t="n">
        <f aca="false">K!B10</f>
        <v>0</v>
      </c>
      <c r="K10" s="22" t="n">
        <f aca="false">L!B10</f>
        <v>0</v>
      </c>
      <c r="L10" s="22" t="n">
        <f aca="false">M!B10</f>
        <v>0</v>
      </c>
      <c r="M10" s="22" t="n">
        <f aca="false">N!B10</f>
        <v>0</v>
      </c>
      <c r="N10" s="22" t="n">
        <f aca="false">O!B10</f>
        <v>0</v>
      </c>
      <c r="O10" s="22" t="n">
        <f aca="false">P!B10</f>
        <v>0</v>
      </c>
      <c r="P10" s="22" t="n">
        <f aca="false">Q!B10</f>
        <v>0</v>
      </c>
      <c r="Q10" s="22" t="n">
        <f aca="false">R!B10</f>
        <v>0</v>
      </c>
      <c r="R10" s="22" t="n">
        <f aca="false">S!B10</f>
        <v>0</v>
      </c>
      <c r="S10" s="22" t="n">
        <f aca="false">T!B10</f>
        <v>0</v>
      </c>
      <c r="T10" s="22" t="n">
        <f aca="false">U!B10</f>
        <v>0</v>
      </c>
      <c r="U10" s="22" t="n">
        <f aca="false">V!B10</f>
        <v>0</v>
      </c>
      <c r="V10" s="22" t="n">
        <f aca="false">W!B10</f>
        <v>0</v>
      </c>
      <c r="W10" s="22" t="n">
        <f aca="false">X!B10</f>
        <v>0</v>
      </c>
      <c r="X10" s="23" t="n">
        <f aca="false">SUM(B10:W10)</f>
        <v>18</v>
      </c>
      <c r="Y10" s="24" t="n">
        <f aca="false">IF(AW10=0,0,X10/AW10)</f>
        <v>18</v>
      </c>
      <c r="Z10" s="25" t="n">
        <f aca="false">A10</f>
        <v>0</v>
      </c>
      <c r="AA10" s="16" t="n">
        <f aca="false">IF(B10=0,0,1)</f>
        <v>0</v>
      </c>
      <c r="AB10" s="0" t="n">
        <f aca="false">IF(C10=0,0,1)</f>
        <v>1</v>
      </c>
      <c r="AC10" s="0" t="n">
        <f aca="false">IF(D10=0,0,1)</f>
        <v>0</v>
      </c>
      <c r="AD10" s="0" t="n">
        <f aca="false">IF(E10=0,0,1)</f>
        <v>0</v>
      </c>
      <c r="AE10" s="0" t="n">
        <f aca="false">IF(F10=0,0,1)</f>
        <v>0</v>
      </c>
      <c r="AF10" s="0" t="n">
        <f aca="false">IF(G10=0,0,1)</f>
        <v>0</v>
      </c>
      <c r="AG10" s="0" t="n">
        <f aca="false">IF(H10=0,0,1)</f>
        <v>0</v>
      </c>
      <c r="AH10" s="0" t="n">
        <f aca="false">IF(I10=0,0,1)</f>
        <v>0</v>
      </c>
      <c r="AI10" s="0" t="n">
        <f aca="false">IF(J10=0,0,1)</f>
        <v>0</v>
      </c>
      <c r="AJ10" s="0" t="n">
        <f aca="false">IF(K10=0,0,1)</f>
        <v>0</v>
      </c>
      <c r="AK10" s="0" t="n">
        <f aca="false">IF(L10=0,0,1)</f>
        <v>0</v>
      </c>
      <c r="AL10" s="0" t="n">
        <f aca="false">IF(M10=0,0,1)</f>
        <v>0</v>
      </c>
      <c r="AM10" s="0" t="n">
        <f aca="false">IF(N10=0,0,1)</f>
        <v>0</v>
      </c>
      <c r="AN10" s="0" t="n">
        <f aca="false">IF(O10=0,0,1)</f>
        <v>0</v>
      </c>
      <c r="AO10" s="0" t="n">
        <f aca="false">IF(P10=0,0,1)</f>
        <v>0</v>
      </c>
      <c r="AP10" s="0" t="n">
        <f aca="false">IF(Q10=0,0,1)</f>
        <v>0</v>
      </c>
      <c r="AQ10" s="0" t="n">
        <f aca="false">IF(R10=0,0,1)</f>
        <v>0</v>
      </c>
      <c r="AR10" s="0" t="n">
        <f aca="false">IF(S10=0,0,1)</f>
        <v>0</v>
      </c>
      <c r="AS10" s="0" t="n">
        <f aca="false">IF(T10=0,0,1)</f>
        <v>0</v>
      </c>
      <c r="AT10" s="0" t="n">
        <f aca="false">IF(U10=0,0,1)</f>
        <v>0</v>
      </c>
      <c r="AU10" s="0" t="n">
        <f aca="false">IF(V10=0,0,1)</f>
        <v>0</v>
      </c>
      <c r="AV10" s="0" t="n">
        <f aca="false">IF(W10=0,0,1)</f>
        <v>0</v>
      </c>
      <c r="AW10" s="26" t="n">
        <f aca="false">SUM(AA10:AV10)</f>
        <v>1</v>
      </c>
      <c r="AX10" s="27" t="n">
        <f aca="false">IF(X10=0,0,X10)</f>
        <v>18</v>
      </c>
      <c r="AY10" s="1" t="n">
        <f aca="false">IF(X10=0,0,A10)</f>
        <v>0</v>
      </c>
      <c r="AZ10" s="28" t="str">
        <f aca="false">IF(AX10=0,0,A$4)</f>
        <v>PIRATES OF THE TABLE</v>
      </c>
      <c r="BA10" s="29" t="n">
        <v>253</v>
      </c>
      <c r="BB10" s="30" t="s">
        <v>51</v>
      </c>
      <c r="BC10" s="31" t="s">
        <v>40</v>
      </c>
      <c r="BD10" s="27"/>
      <c r="BE10" s="26"/>
      <c r="BF10" s="32" t="n">
        <v>1170.22</v>
      </c>
      <c r="BG10" s="33" t="s">
        <v>52</v>
      </c>
      <c r="BI10" s="0" t="n">
        <v>5</v>
      </c>
      <c r="BJ10" s="0" t="s">
        <v>53</v>
      </c>
      <c r="BK10" s="34" t="n">
        <f aca="false">BD85</f>
        <v>1170.22</v>
      </c>
      <c r="BL10" s="0" t="n">
        <v>6</v>
      </c>
      <c r="BM10" s="0" t="str">
        <f aca="false">A74</f>
        <v>FFFFF&lt;sup&gt;10&lt;/sup&gt;</v>
      </c>
    </row>
    <row r="11" customFormat="false" ht="15" hidden="false" customHeight="false" outlineLevel="0" collapsed="false">
      <c r="A11" s="21" t="n">
        <f aca="false">B!B48</f>
        <v>0</v>
      </c>
      <c r="B11" s="22" t="n">
        <f aca="false">C!B11</f>
        <v>0</v>
      </c>
      <c r="C11" s="22" t="n">
        <f aca="false">D!B11</f>
        <v>0</v>
      </c>
      <c r="D11" s="22" t="n">
        <f aca="false">E!B11</f>
        <v>0</v>
      </c>
      <c r="E11" s="22" t="n">
        <f aca="false">F!B11</f>
        <v>0</v>
      </c>
      <c r="F11" s="22" t="n">
        <f aca="false">G!B11</f>
        <v>0</v>
      </c>
      <c r="G11" s="22" t="n">
        <f aca="false">H!B11</f>
        <v>0</v>
      </c>
      <c r="H11" s="22" t="n">
        <f aca="false">I!B11</f>
        <v>0</v>
      </c>
      <c r="I11" s="22" t="n">
        <f aca="false">J!B11</f>
        <v>0</v>
      </c>
      <c r="J11" s="22" t="n">
        <f aca="false">K!B11</f>
        <v>0</v>
      </c>
      <c r="K11" s="22" t="n">
        <f aca="false">L!B11</f>
        <v>0</v>
      </c>
      <c r="L11" s="22" t="n">
        <f aca="false">M!B11</f>
        <v>0</v>
      </c>
      <c r="M11" s="22" t="n">
        <f aca="false">N!B11</f>
        <v>0</v>
      </c>
      <c r="N11" s="22" t="n">
        <f aca="false">O!B11</f>
        <v>0</v>
      </c>
      <c r="O11" s="22" t="n">
        <f aca="false">P!B11</f>
        <v>0</v>
      </c>
      <c r="P11" s="22" t="n">
        <f aca="false">Q!B11</f>
        <v>0</v>
      </c>
      <c r="Q11" s="22" t="n">
        <f aca="false">R!B11</f>
        <v>0</v>
      </c>
      <c r="R11" s="22" t="n">
        <f aca="false">S!B11</f>
        <v>0</v>
      </c>
      <c r="S11" s="22" t="n">
        <f aca="false">T!B11</f>
        <v>0</v>
      </c>
      <c r="T11" s="22" t="n">
        <f aca="false">U!B11</f>
        <v>0</v>
      </c>
      <c r="U11" s="22" t="n">
        <f aca="false">V!B11</f>
        <v>0</v>
      </c>
      <c r="V11" s="22" t="n">
        <f aca="false">W!B11</f>
        <v>0</v>
      </c>
      <c r="W11" s="22" t="n">
        <f aca="false">X!B11</f>
        <v>0</v>
      </c>
      <c r="X11" s="23" t="n">
        <f aca="false">SUM(B11:W11)</f>
        <v>0</v>
      </c>
      <c r="Y11" s="24" t="n">
        <f aca="false">IF(AW11=0,0,X11/AW11)</f>
        <v>0</v>
      </c>
      <c r="Z11" s="25" t="n">
        <f aca="false">A11</f>
        <v>0</v>
      </c>
      <c r="AA11" s="16" t="n">
        <f aca="false">IF(B11=0,0,1)</f>
        <v>0</v>
      </c>
      <c r="AB11" s="0" t="n">
        <f aca="false">IF(C11=0,0,1)</f>
        <v>0</v>
      </c>
      <c r="AC11" s="0" t="n">
        <f aca="false">IF(D11=0,0,1)</f>
        <v>0</v>
      </c>
      <c r="AD11" s="0" t="n">
        <f aca="false">IF(E11=0,0,1)</f>
        <v>0</v>
      </c>
      <c r="AE11" s="0" t="n">
        <f aca="false">IF(F11=0,0,1)</f>
        <v>0</v>
      </c>
      <c r="AF11" s="0" t="n">
        <f aca="false">IF(G11=0,0,1)</f>
        <v>0</v>
      </c>
      <c r="AG11" s="0" t="n">
        <f aca="false">IF(H11=0,0,1)</f>
        <v>0</v>
      </c>
      <c r="AH11" s="0" t="n">
        <f aca="false">IF(I11=0,0,1)</f>
        <v>0</v>
      </c>
      <c r="AI11" s="0" t="n">
        <f aca="false">IF(J11=0,0,1)</f>
        <v>0</v>
      </c>
      <c r="AJ11" s="0" t="n">
        <f aca="false">IF(K11=0,0,1)</f>
        <v>0</v>
      </c>
      <c r="AK11" s="0" t="n">
        <f aca="false">IF(L11=0,0,1)</f>
        <v>0</v>
      </c>
      <c r="AL11" s="0" t="n">
        <f aca="false">IF(M11=0,0,1)</f>
        <v>0</v>
      </c>
      <c r="AM11" s="0" t="n">
        <f aca="false">IF(N11=0,0,1)</f>
        <v>0</v>
      </c>
      <c r="AN11" s="0" t="n">
        <f aca="false">IF(O11=0,0,1)</f>
        <v>0</v>
      </c>
      <c r="AO11" s="0" t="n">
        <f aca="false">IF(P11=0,0,1)</f>
        <v>0</v>
      </c>
      <c r="AP11" s="0" t="n">
        <f aca="false">IF(Q11=0,0,1)</f>
        <v>0</v>
      </c>
      <c r="AQ11" s="0" t="n">
        <f aca="false">IF(R11=0,0,1)</f>
        <v>0</v>
      </c>
      <c r="AR11" s="0" t="n">
        <f aca="false">IF(S11=0,0,1)</f>
        <v>0</v>
      </c>
      <c r="AS11" s="0" t="n">
        <f aca="false">IF(T11=0,0,1)</f>
        <v>0</v>
      </c>
      <c r="AT11" s="0" t="n">
        <f aca="false">IF(U11=0,0,1)</f>
        <v>0</v>
      </c>
      <c r="AU11" s="0" t="n">
        <f aca="false">IF(V11=0,0,1)</f>
        <v>0</v>
      </c>
      <c r="AV11" s="0" t="n">
        <f aca="false">IF(W11=0,0,1)</f>
        <v>0</v>
      </c>
      <c r="AW11" s="26" t="n">
        <f aca="false">SUM(AA11:AV11)</f>
        <v>0</v>
      </c>
      <c r="AX11" s="27" t="n">
        <f aca="false">IF(X11=0,0,X11)</f>
        <v>0</v>
      </c>
      <c r="AY11" s="1" t="n">
        <f aca="false">IF(X11=0,0,A11)</f>
        <v>0</v>
      </c>
      <c r="AZ11" s="28" t="n">
        <f aca="false">IF(AX11=0,0,A$4)</f>
        <v>0</v>
      </c>
      <c r="BA11" s="29" t="n">
        <v>250</v>
      </c>
      <c r="BB11" s="30" t="s">
        <v>54</v>
      </c>
      <c r="BC11" s="31" t="s">
        <v>40</v>
      </c>
      <c r="BD11" s="27"/>
      <c r="BE11" s="26"/>
      <c r="BF11" s="32" t="n">
        <v>1167.14</v>
      </c>
      <c r="BG11" s="33" t="s">
        <v>55</v>
      </c>
      <c r="BI11" s="0" t="n">
        <v>6</v>
      </c>
      <c r="BJ11" s="0" t="s">
        <v>56</v>
      </c>
      <c r="BK11" s="34" t="n">
        <f aca="false">BD99</f>
        <v>1227.4</v>
      </c>
      <c r="BL11" s="0" t="n">
        <v>7</v>
      </c>
      <c r="BM11" s="0" t="str">
        <f aca="false">A88</f>
        <v>YOUNG BLOODS</v>
      </c>
    </row>
    <row r="12" customFormat="false" ht="15" hidden="false" customHeight="false" outlineLevel="0" collapsed="false">
      <c r="A12" s="16" t="n">
        <f aca="false">B!B53</f>
        <v>0</v>
      </c>
      <c r="B12" s="35" t="n">
        <f aca="false">C!B12</f>
        <v>0</v>
      </c>
      <c r="C12" s="35" t="n">
        <f aca="false">D!B12</f>
        <v>0</v>
      </c>
      <c r="D12" s="35" t="n">
        <f aca="false">E!B12</f>
        <v>0</v>
      </c>
      <c r="E12" s="35" t="n">
        <f aca="false">F!B12</f>
        <v>0</v>
      </c>
      <c r="F12" s="35" t="n">
        <f aca="false">G!B12</f>
        <v>0</v>
      </c>
      <c r="G12" s="35" t="n">
        <f aca="false">H!B12</f>
        <v>0</v>
      </c>
      <c r="H12" s="35" t="n">
        <f aca="false">I!B12</f>
        <v>0</v>
      </c>
      <c r="I12" s="35" t="n">
        <f aca="false">J!B12</f>
        <v>0</v>
      </c>
      <c r="J12" s="35" t="n">
        <f aca="false">K!B12</f>
        <v>0</v>
      </c>
      <c r="K12" s="35" t="n">
        <f aca="false">L!B12</f>
        <v>0</v>
      </c>
      <c r="L12" s="35" t="n">
        <f aca="false">M!B12</f>
        <v>0</v>
      </c>
      <c r="M12" s="35" t="n">
        <f aca="false">N!B12</f>
        <v>0</v>
      </c>
      <c r="N12" s="35" t="n">
        <f aca="false">O!B12</f>
        <v>0</v>
      </c>
      <c r="O12" s="35" t="n">
        <f aca="false">P!B12</f>
        <v>0</v>
      </c>
      <c r="P12" s="35" t="n">
        <f aca="false">Q!B12</f>
        <v>0</v>
      </c>
      <c r="Q12" s="35" t="n">
        <f aca="false">R!B12</f>
        <v>0</v>
      </c>
      <c r="R12" s="35" t="n">
        <f aca="false">S!B12</f>
        <v>0</v>
      </c>
      <c r="S12" s="35" t="n">
        <f aca="false">T!B12</f>
        <v>0</v>
      </c>
      <c r="T12" s="35" t="n">
        <f aca="false">U!B12</f>
        <v>0</v>
      </c>
      <c r="U12" s="35" t="n">
        <f aca="false">V!B12</f>
        <v>0</v>
      </c>
      <c r="V12" s="35" t="n">
        <f aca="false">W!B12</f>
        <v>0</v>
      </c>
      <c r="W12" s="35" t="n">
        <f aca="false">X!B12</f>
        <v>0</v>
      </c>
      <c r="X12" s="36" t="n">
        <f aca="false">SUM(B12:W12)</f>
        <v>0</v>
      </c>
      <c r="Y12" s="37" t="n">
        <f aca="false">IF(AW12=0,0,X12/AW12)</f>
        <v>0</v>
      </c>
      <c r="Z12" s="25" t="n">
        <f aca="false">A12</f>
        <v>0</v>
      </c>
      <c r="AA12" s="16" t="n">
        <f aca="false">IF(B12=0,0,1)</f>
        <v>0</v>
      </c>
      <c r="AB12" s="0" t="n">
        <f aca="false">IF(C12=0,0,1)</f>
        <v>0</v>
      </c>
      <c r="AC12" s="0" t="n">
        <f aca="false">IF(D12=0,0,1)</f>
        <v>0</v>
      </c>
      <c r="AD12" s="0" t="n">
        <f aca="false">IF(E12=0,0,1)</f>
        <v>0</v>
      </c>
      <c r="AE12" s="0" t="n">
        <f aca="false">IF(F12=0,0,1)</f>
        <v>0</v>
      </c>
      <c r="AF12" s="0" t="n">
        <f aca="false">IF(G12=0,0,1)</f>
        <v>0</v>
      </c>
      <c r="AG12" s="0" t="n">
        <f aca="false">IF(H12=0,0,1)</f>
        <v>0</v>
      </c>
      <c r="AH12" s="0" t="n">
        <f aca="false">IF(I12=0,0,1)</f>
        <v>0</v>
      </c>
      <c r="AI12" s="0" t="n">
        <f aca="false">IF(J12=0,0,1)</f>
        <v>0</v>
      </c>
      <c r="AJ12" s="0" t="n">
        <f aca="false">IF(K12=0,0,1)</f>
        <v>0</v>
      </c>
      <c r="AK12" s="0" t="n">
        <f aca="false">IF(L12=0,0,1)</f>
        <v>0</v>
      </c>
      <c r="AL12" s="0" t="n">
        <f aca="false">IF(M12=0,0,1)</f>
        <v>0</v>
      </c>
      <c r="AM12" s="0" t="n">
        <f aca="false">IF(N12=0,0,1)</f>
        <v>0</v>
      </c>
      <c r="AN12" s="0" t="n">
        <f aca="false">IF(O12=0,0,1)</f>
        <v>0</v>
      </c>
      <c r="AO12" s="0" t="n">
        <f aca="false">IF(P12=0,0,1)</f>
        <v>0</v>
      </c>
      <c r="AP12" s="0" t="n">
        <f aca="false">IF(Q12=0,0,1)</f>
        <v>0</v>
      </c>
      <c r="AQ12" s="0" t="n">
        <f aca="false">IF(R12=0,0,1)</f>
        <v>0</v>
      </c>
      <c r="AR12" s="0" t="n">
        <f aca="false">IF(S12=0,0,1)</f>
        <v>0</v>
      </c>
      <c r="AS12" s="0" t="n">
        <f aca="false">IF(T12=0,0,1)</f>
        <v>0</v>
      </c>
      <c r="AT12" s="0" t="n">
        <f aca="false">IF(U12=0,0,1)</f>
        <v>0</v>
      </c>
      <c r="AU12" s="0" t="n">
        <f aca="false">IF(V12=0,0,1)</f>
        <v>0</v>
      </c>
      <c r="AV12" s="0" t="n">
        <f aca="false">IF(W12=0,0,1)</f>
        <v>0</v>
      </c>
      <c r="AW12" s="26" t="n">
        <f aca="false">SUM(AA12:AV12)</f>
        <v>0</v>
      </c>
      <c r="AX12" s="27" t="n">
        <f aca="false">IF(X12=0,0,X12)</f>
        <v>0</v>
      </c>
      <c r="AY12" s="1" t="n">
        <f aca="false">IF(X12=0,0,A12)</f>
        <v>0</v>
      </c>
      <c r="AZ12" s="28" t="n">
        <f aca="false">IF(AX12=0,0,A$4)</f>
        <v>0</v>
      </c>
      <c r="BA12" s="29" t="n">
        <v>248</v>
      </c>
      <c r="BB12" s="30" t="s">
        <v>57</v>
      </c>
      <c r="BC12" s="31" t="s">
        <v>58</v>
      </c>
      <c r="BD12" s="27"/>
      <c r="BE12" s="26"/>
      <c r="BF12" s="32" t="n">
        <v>1142</v>
      </c>
      <c r="BG12" s="33" t="s">
        <v>58</v>
      </c>
      <c r="BI12" s="0" t="n">
        <v>7</v>
      </c>
      <c r="BJ12" s="0" t="s">
        <v>59</v>
      </c>
      <c r="BK12" s="34" t="n">
        <f aca="false">BD113</f>
        <v>1179.95</v>
      </c>
      <c r="BL12" s="0" t="n">
        <v>8</v>
      </c>
      <c r="BM12" s="0" t="str">
        <f aca="false">A102</f>
        <v>THE BOYS</v>
      </c>
    </row>
    <row r="13" customFormat="false" ht="15" hidden="false" customHeight="false" outlineLevel="0" collapsed="false">
      <c r="A13" s="38" t="s">
        <v>60</v>
      </c>
      <c r="B13" s="39" t="n">
        <f aca="false">SUM(B5:B12)</f>
        <v>200</v>
      </c>
      <c r="C13" s="39" t="n">
        <f aca="false">SUM(C5:C12)</f>
        <v>180</v>
      </c>
      <c r="D13" s="39" t="n">
        <f aca="false">SUM(D5:D12)</f>
        <v>160</v>
      </c>
      <c r="E13" s="39" t="n">
        <f aca="false">SUM(E5:E12)</f>
        <v>187</v>
      </c>
      <c r="F13" s="39" t="n">
        <f aca="false">SUM(F5:F12)</f>
        <v>123</v>
      </c>
      <c r="G13" s="39" t="n">
        <f aca="false">SUM(G5:G12)</f>
        <v>168</v>
      </c>
      <c r="H13" s="39" t="n">
        <f aca="false">SUM(H5:H12)</f>
        <v>0</v>
      </c>
      <c r="I13" s="39" t="n">
        <f aca="false">SUM(I5:I12)</f>
        <v>0</v>
      </c>
      <c r="J13" s="39" t="n">
        <f aca="false">SUM(J5:J12)</f>
        <v>0</v>
      </c>
      <c r="K13" s="39" t="n">
        <f aca="false">SUM(K5:K12)</f>
        <v>0</v>
      </c>
      <c r="L13" s="39" t="n">
        <f aca="false">SUM(L5:L12)</f>
        <v>0</v>
      </c>
      <c r="M13" s="39" t="n">
        <f aca="false">SUM(M5:M12)</f>
        <v>0</v>
      </c>
      <c r="N13" s="39" t="n">
        <f aca="false">SUM(N5:N12)</f>
        <v>0</v>
      </c>
      <c r="O13" s="39" t="n">
        <f aca="false">SUM(O5:O12)</f>
        <v>0</v>
      </c>
      <c r="P13" s="39" t="n">
        <f aca="false">SUM(P5:P12)</f>
        <v>0</v>
      </c>
      <c r="Q13" s="39" t="n">
        <f aca="false">SUM(Q5:Q12)</f>
        <v>0</v>
      </c>
      <c r="R13" s="39" t="n">
        <f aca="false">SUM(R5:R12)</f>
        <v>0</v>
      </c>
      <c r="S13" s="39" t="n">
        <f aca="false">SUM(S5:S12)</f>
        <v>0</v>
      </c>
      <c r="T13" s="39" t="n">
        <f aca="false">SUM(T5:T12)</f>
        <v>0</v>
      </c>
      <c r="U13" s="39" t="n">
        <f aca="false">SUM(U5:U12)</f>
        <v>0</v>
      </c>
      <c r="V13" s="39" t="n">
        <f aca="false">SUM(V5:V12)</f>
        <v>0</v>
      </c>
      <c r="W13" s="39" t="n">
        <f aca="false">SUM(W5:W12)</f>
        <v>0</v>
      </c>
      <c r="X13" s="40" t="n">
        <f aca="false">SUM(B13:W13)</f>
        <v>1018</v>
      </c>
      <c r="Y13" s="41" t="n">
        <f aca="false">IF(X13=0,0,X13/AW13)</f>
        <v>169.666666666667</v>
      </c>
      <c r="Z13" s="25"/>
      <c r="AA13" s="42" t="n">
        <f aca="false">SUM(AA5:AA12)</f>
        <v>5</v>
      </c>
      <c r="AB13" s="43" t="n">
        <f aca="false">SUM(AB5:AB12)</f>
        <v>6</v>
      </c>
      <c r="AC13" s="43" t="n">
        <f aca="false">SUM(AC5:AC12)</f>
        <v>5</v>
      </c>
      <c r="AD13" s="43" t="n">
        <f aca="false">SUM(AD5:AD12)</f>
        <v>5</v>
      </c>
      <c r="AE13" s="43" t="n">
        <f aca="false">SUM(AE5:AE12)</f>
        <v>5</v>
      </c>
      <c r="AF13" s="43" t="n">
        <f aca="false">SUM(AF5:AF12)</f>
        <v>5</v>
      </c>
      <c r="AG13" s="43" t="n">
        <f aca="false">SUM(AG5:AG12)</f>
        <v>0</v>
      </c>
      <c r="AH13" s="43" t="n">
        <f aca="false">SUM(AH5:AH12)</f>
        <v>0</v>
      </c>
      <c r="AI13" s="43" t="n">
        <f aca="false">SUM(AI5:AI12)</f>
        <v>0</v>
      </c>
      <c r="AJ13" s="43" t="n">
        <f aca="false">SUM(AJ5:AJ12)</f>
        <v>0</v>
      </c>
      <c r="AK13" s="43" t="n">
        <f aca="false">SUM(AK5:AK12)</f>
        <v>0</v>
      </c>
      <c r="AL13" s="43" t="n">
        <f aca="false">SUM(AL5:AL12)</f>
        <v>0</v>
      </c>
      <c r="AM13" s="43" t="n">
        <f aca="false">SUM(AM5:AM12)</f>
        <v>0</v>
      </c>
      <c r="AN13" s="43" t="n">
        <f aca="false">SUM(AN5:AN12)</f>
        <v>0</v>
      </c>
      <c r="AO13" s="43" t="n">
        <f aca="false">SUM(AO5:AO12)</f>
        <v>0</v>
      </c>
      <c r="AP13" s="43" t="n">
        <f aca="false">SUM(AP5:AP12)</f>
        <v>0</v>
      </c>
      <c r="AQ13" s="43" t="n">
        <f aca="false">SUM(AQ5:AQ12)</f>
        <v>0</v>
      </c>
      <c r="AR13" s="43" t="n">
        <f aca="false">SUM(AR5:AR12)</f>
        <v>0</v>
      </c>
      <c r="AS13" s="43" t="n">
        <f aca="false">SUM(AS5:AS12)</f>
        <v>0</v>
      </c>
      <c r="AT13" s="43" t="n">
        <f aca="false">SUM(AT5:AT12)</f>
        <v>0</v>
      </c>
      <c r="AU13" s="43" t="n">
        <f aca="false">SUM(AU5:AU12)</f>
        <v>0</v>
      </c>
      <c r="AV13" s="43" t="n">
        <f aca="false">SUM(AV5:AV12)</f>
        <v>0</v>
      </c>
      <c r="AW13" s="44" t="n">
        <f aca="false">MAXA(AW5:AW12)</f>
        <v>6</v>
      </c>
      <c r="AX13" s="27"/>
      <c r="AZ13" s="28"/>
      <c r="BA13" s="29" t="n">
        <v>248</v>
      </c>
      <c r="BB13" s="30" t="s">
        <v>61</v>
      </c>
      <c r="BC13" s="31" t="s">
        <v>62</v>
      </c>
      <c r="BD13" s="27"/>
      <c r="BE13" s="26"/>
      <c r="BF13" s="32" t="n">
        <v>1137.55</v>
      </c>
      <c r="BG13" s="33" t="s">
        <v>62</v>
      </c>
      <c r="BI13" s="0" t="n">
        <v>8</v>
      </c>
      <c r="BJ13" s="0" t="s">
        <v>63</v>
      </c>
      <c r="BK13" s="34" t="n">
        <f aca="false">BD127</f>
        <v>1216.855</v>
      </c>
      <c r="BL13" s="0" t="n">
        <v>9</v>
      </c>
      <c r="BM13" s="0" t="str">
        <f aca="false">A116</f>
        <v>THE DOUGERNAUTS</v>
      </c>
    </row>
    <row r="14" customFormat="false" ht="15" hidden="false" customHeight="false" outlineLevel="0" collapsed="false">
      <c r="A14" s="45" t="s">
        <v>64</v>
      </c>
      <c r="B14" s="46" t="n">
        <f aca="false">C!B13</f>
        <v>0</v>
      </c>
      <c r="C14" s="46" t="n">
        <f aca="false">D!B13</f>
        <v>0</v>
      </c>
      <c r="D14" s="46" t="n">
        <f aca="false">E!B13</f>
        <v>8.55</v>
      </c>
      <c r="E14" s="46" t="n">
        <f aca="false">F!B13</f>
        <v>9</v>
      </c>
      <c r="F14" s="46" t="n">
        <f aca="false">G!B13</f>
        <v>22.5</v>
      </c>
      <c r="G14" s="46" t="n">
        <f aca="false">H!B13</f>
        <v>14.58</v>
      </c>
      <c r="H14" s="46" t="n">
        <f aca="false">I!B13</f>
        <v>0</v>
      </c>
      <c r="I14" s="46" t="n">
        <f aca="false">J!B13</f>
        <v>0</v>
      </c>
      <c r="J14" s="46" t="n">
        <f aca="false">K!B13</f>
        <v>0</v>
      </c>
      <c r="K14" s="46" t="n">
        <f aca="false">L!B13</f>
        <v>0</v>
      </c>
      <c r="L14" s="46" t="n">
        <f aca="false">M!B13</f>
        <v>0</v>
      </c>
      <c r="M14" s="46" t="n">
        <f aca="false">N!B13</f>
        <v>0</v>
      </c>
      <c r="N14" s="46" t="n">
        <f aca="false">O!B13</f>
        <v>0</v>
      </c>
      <c r="O14" s="46" t="n">
        <f aca="false">P!B13</f>
        <v>0</v>
      </c>
      <c r="P14" s="46" t="n">
        <f aca="false">Q!B13</f>
        <v>0</v>
      </c>
      <c r="Q14" s="46" t="n">
        <f aca="false">R!B13</f>
        <v>0</v>
      </c>
      <c r="R14" s="46" t="n">
        <f aca="false">S!B13</f>
        <v>0</v>
      </c>
      <c r="S14" s="46" t="n">
        <f aca="false">T!B13</f>
        <v>0</v>
      </c>
      <c r="T14" s="46" t="n">
        <f aca="false">U!B13</f>
        <v>0</v>
      </c>
      <c r="U14" s="46" t="n">
        <f aca="false">V!B13</f>
        <v>0</v>
      </c>
      <c r="V14" s="46" t="n">
        <f aca="false">W!B13</f>
        <v>0</v>
      </c>
      <c r="W14" s="46" t="n">
        <f aca="false">X!B13</f>
        <v>0</v>
      </c>
      <c r="X14" s="23" t="n">
        <f aca="false">SUM(B14:W14)</f>
        <v>54.63</v>
      </c>
      <c r="Y14" s="47"/>
      <c r="Z14" s="25"/>
      <c r="AA14" s="16"/>
      <c r="AW14" s="26"/>
      <c r="AX14" s="27"/>
      <c r="AZ14" s="28"/>
      <c r="BA14" s="29" t="n">
        <v>246</v>
      </c>
      <c r="BB14" s="30" t="s">
        <v>65</v>
      </c>
      <c r="BC14" s="31" t="s">
        <v>49</v>
      </c>
      <c r="BD14" s="27"/>
      <c r="BE14" s="26"/>
      <c r="BF14" s="32" t="n">
        <v>1076.13</v>
      </c>
      <c r="BG14" s="33" t="s">
        <v>66</v>
      </c>
      <c r="BI14" s="0" t="n">
        <v>9</v>
      </c>
      <c r="BJ14" s="0" t="s">
        <v>67</v>
      </c>
      <c r="BK14" s="34" t="n">
        <f aca="false">BD141</f>
        <v>1260</v>
      </c>
      <c r="BL14" s="0" t="n">
        <v>10</v>
      </c>
      <c r="BM14" s="0" t="str">
        <f aca="false">A130</f>
        <v>CRAZY TRAIN</v>
      </c>
    </row>
    <row r="15" customFormat="false" ht="15" hidden="false" customHeight="false" outlineLevel="0" collapsed="false">
      <c r="A15" s="48" t="s">
        <v>68</v>
      </c>
      <c r="B15" s="49" t="n">
        <f aca="false">SUM(B13:B14)</f>
        <v>200</v>
      </c>
      <c r="C15" s="49" t="n">
        <f aca="false">SUM(C13:C14)</f>
        <v>180</v>
      </c>
      <c r="D15" s="49" t="n">
        <f aca="false">SUM(D13:D14)</f>
        <v>168.55</v>
      </c>
      <c r="E15" s="49" t="n">
        <f aca="false">SUM(E13:E14)</f>
        <v>196</v>
      </c>
      <c r="F15" s="49" t="n">
        <f aca="false">SUM(F13:F14)</f>
        <v>145.5</v>
      </c>
      <c r="G15" s="49" t="n">
        <f aca="false">SUM(G13:G14)</f>
        <v>182.58</v>
      </c>
      <c r="H15" s="49" t="n">
        <f aca="false">SUM(H13:H14)</f>
        <v>0</v>
      </c>
      <c r="I15" s="49" t="n">
        <f aca="false">SUM(I13:I14)</f>
        <v>0</v>
      </c>
      <c r="J15" s="49" t="n">
        <f aca="false">SUM(J13:J14)</f>
        <v>0</v>
      </c>
      <c r="K15" s="49" t="n">
        <f aca="false">SUM(K13:K14)</f>
        <v>0</v>
      </c>
      <c r="L15" s="49" t="n">
        <f aca="false">SUM(L13:L14)</f>
        <v>0</v>
      </c>
      <c r="M15" s="49" t="n">
        <f aca="false">SUM(M13:M14)</f>
        <v>0</v>
      </c>
      <c r="N15" s="49" t="n">
        <f aca="false">SUM(N13:N14)</f>
        <v>0</v>
      </c>
      <c r="O15" s="49" t="n">
        <f aca="false">SUM(O13:O14)</f>
        <v>0</v>
      </c>
      <c r="P15" s="49" t="n">
        <f aca="false">SUM(P13:P14)</f>
        <v>0</v>
      </c>
      <c r="Q15" s="49" t="n">
        <f aca="false">SUM(Q13:Q14)</f>
        <v>0</v>
      </c>
      <c r="R15" s="49" t="n">
        <f aca="false">SUM(R13:R14)</f>
        <v>0</v>
      </c>
      <c r="S15" s="49" t="n">
        <f aca="false">SUM(S13:S14)</f>
        <v>0</v>
      </c>
      <c r="T15" s="49" t="n">
        <f aca="false">SUM(T13:T14)</f>
        <v>0</v>
      </c>
      <c r="U15" s="49" t="n">
        <f aca="false">SUM(U13:U14)</f>
        <v>0</v>
      </c>
      <c r="V15" s="49" t="n">
        <f aca="false">SUM(V13:V14)</f>
        <v>0</v>
      </c>
      <c r="W15" s="49" t="n">
        <f aca="false">SUM(W13:W14)</f>
        <v>0</v>
      </c>
      <c r="X15" s="50" t="n">
        <f aca="false">SUM(B15:W15)</f>
        <v>1072.63</v>
      </c>
      <c r="Y15" s="51"/>
      <c r="Z15" s="25"/>
      <c r="AA15" s="16"/>
      <c r="AW15" s="26"/>
      <c r="AX15" s="27"/>
      <c r="AZ15" s="28"/>
      <c r="BA15" s="29" t="n">
        <v>245</v>
      </c>
      <c r="BB15" s="30" t="s">
        <v>69</v>
      </c>
      <c r="BC15" s="31" t="s">
        <v>70</v>
      </c>
      <c r="BD15" s="27" t="n">
        <f aca="false">X15</f>
        <v>1072.63</v>
      </c>
      <c r="BE15" s="26" t="str">
        <f aca="false">A4</f>
        <v>PIRATES OF THE TABLE</v>
      </c>
      <c r="BF15" s="32" t="n">
        <v>1072.63</v>
      </c>
      <c r="BG15" s="33" t="s">
        <v>70</v>
      </c>
      <c r="BI15" s="0" t="n">
        <v>10</v>
      </c>
      <c r="BJ15" s="0" t="s">
        <v>71</v>
      </c>
      <c r="BK15" s="34" t="n">
        <f aca="false">BD155</f>
        <v>1181.7</v>
      </c>
      <c r="BL15" s="0" t="n">
        <v>11</v>
      </c>
      <c r="BM15" s="0" t="str">
        <f aca="false">A144</f>
        <v>SPAM FO LUNCH</v>
      </c>
    </row>
    <row r="16" customFormat="false" ht="15" hidden="false" customHeight="false" outlineLevel="0" collapsed="false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25"/>
      <c r="AA16" s="16"/>
      <c r="AW16" s="26"/>
      <c r="AX16" s="27"/>
      <c r="AZ16" s="28"/>
      <c r="BA16" s="29" t="n">
        <v>245</v>
      </c>
      <c r="BB16" s="30" t="s">
        <v>72</v>
      </c>
      <c r="BC16" s="31" t="s">
        <v>43</v>
      </c>
      <c r="BD16" s="27"/>
      <c r="BE16" s="26"/>
      <c r="BF16" s="32" t="n">
        <v>25</v>
      </c>
      <c r="BG16" s="33" t="s">
        <v>73</v>
      </c>
      <c r="BI16" s="0" t="n">
        <v>11</v>
      </c>
      <c r="BJ16" s="0" t="s">
        <v>74</v>
      </c>
      <c r="BK16" s="34" t="n">
        <f aca="false">BD169</f>
        <v>25</v>
      </c>
      <c r="BL16" s="0" t="n">
        <v>12</v>
      </c>
      <c r="BM16" s="0" t="str">
        <f aca="false">A158</f>
        <v>BYE</v>
      </c>
    </row>
    <row r="17" customFormat="false" ht="15" hidden="false" customHeight="false" outlineLevel="0" collapsed="false">
      <c r="A17" s="5" t="s">
        <v>75</v>
      </c>
      <c r="B17" s="6" t="s">
        <v>1</v>
      </c>
      <c r="C17" s="6" t="s">
        <v>2</v>
      </c>
      <c r="D17" s="6" t="s">
        <v>3</v>
      </c>
      <c r="E17" s="6" t="s">
        <v>4</v>
      </c>
      <c r="F17" s="6" t="s">
        <v>5</v>
      </c>
      <c r="G17" s="6" t="s">
        <v>6</v>
      </c>
      <c r="H17" s="6" t="s">
        <v>7</v>
      </c>
      <c r="I17" s="6" t="s">
        <v>8</v>
      </c>
      <c r="J17" s="6" t="s">
        <v>9</v>
      </c>
      <c r="K17" s="6" t="s">
        <v>10</v>
      </c>
      <c r="L17" s="6" t="s">
        <v>11</v>
      </c>
      <c r="M17" s="6" t="s">
        <v>12</v>
      </c>
      <c r="N17" s="6" t="s">
        <v>13</v>
      </c>
      <c r="O17" s="6" t="s">
        <v>14</v>
      </c>
      <c r="P17" s="6" t="s">
        <v>15</v>
      </c>
      <c r="Q17" s="6" t="s">
        <v>16</v>
      </c>
      <c r="R17" s="6" t="s">
        <v>17</v>
      </c>
      <c r="S17" s="6" t="s">
        <v>18</v>
      </c>
      <c r="T17" s="6" t="s">
        <v>19</v>
      </c>
      <c r="U17" s="6" t="s">
        <v>20</v>
      </c>
      <c r="V17" s="6" t="s">
        <v>21</v>
      </c>
      <c r="W17" s="6" t="s">
        <v>22</v>
      </c>
      <c r="X17" s="34"/>
      <c r="Y17" s="34"/>
      <c r="Z17" s="4" t="str">
        <f aca="false">A17</f>
        <v>Team #2 Name:</v>
      </c>
      <c r="AA17" s="16"/>
      <c r="AW17" s="26"/>
      <c r="AX17" s="27"/>
      <c r="AZ17" s="28"/>
      <c r="BA17" s="29" t="n">
        <v>244</v>
      </c>
      <c r="BB17" s="30" t="s">
        <v>76</v>
      </c>
      <c r="BC17" s="31" t="s">
        <v>49</v>
      </c>
      <c r="BD17" s="27"/>
      <c r="BE17" s="26"/>
      <c r="BF17" s="32" t="n">
        <v>0</v>
      </c>
      <c r="BG17" s="33" t="n">
        <v>0</v>
      </c>
      <c r="BI17" s="0" t="n">
        <v>12</v>
      </c>
      <c r="BJ17" s="0" t="s">
        <v>77</v>
      </c>
      <c r="BK17" s="34" t="n">
        <f aca="false">BD183</f>
        <v>0</v>
      </c>
      <c r="BL17" s="0" t="n">
        <v>13</v>
      </c>
      <c r="BM17" s="0" t="n">
        <f aca="false">A172</f>
        <v>0</v>
      </c>
    </row>
    <row r="18" customFormat="false" ht="15" hidden="false" customHeight="false" outlineLevel="0" collapsed="false">
      <c r="A18" s="11" t="str">
        <f aca="false">B!B59</f>
        <v>VLADIMIR POOLIN</v>
      </c>
      <c r="B18" s="52" t="s">
        <v>28</v>
      </c>
      <c r="C18" s="52" t="s">
        <v>28</v>
      </c>
      <c r="D18" s="52" t="s">
        <v>28</v>
      </c>
      <c r="E18" s="52" t="s">
        <v>28</v>
      </c>
      <c r="F18" s="52" t="s">
        <v>28</v>
      </c>
      <c r="G18" s="52" t="s">
        <v>28</v>
      </c>
      <c r="H18" s="52" t="s">
        <v>28</v>
      </c>
      <c r="I18" s="52" t="s">
        <v>28</v>
      </c>
      <c r="J18" s="52" t="s">
        <v>28</v>
      </c>
      <c r="K18" s="52" t="s">
        <v>28</v>
      </c>
      <c r="L18" s="52" t="s">
        <v>28</v>
      </c>
      <c r="M18" s="52" t="s">
        <v>28</v>
      </c>
      <c r="N18" s="52" t="s">
        <v>28</v>
      </c>
      <c r="O18" s="52" t="s">
        <v>28</v>
      </c>
      <c r="P18" s="52" t="s">
        <v>28</v>
      </c>
      <c r="Q18" s="52" t="s">
        <v>28</v>
      </c>
      <c r="R18" s="52" t="s">
        <v>28</v>
      </c>
      <c r="S18" s="52" t="s">
        <v>28</v>
      </c>
      <c r="T18" s="52" t="s">
        <v>28</v>
      </c>
      <c r="U18" s="52" t="s">
        <v>28</v>
      </c>
      <c r="V18" s="52" t="s">
        <v>28</v>
      </c>
      <c r="W18" s="52" t="s">
        <v>28</v>
      </c>
      <c r="X18" s="13" t="s">
        <v>29</v>
      </c>
      <c r="Y18" s="14" t="s">
        <v>30</v>
      </c>
      <c r="Z18" s="15" t="str">
        <f aca="false">A18</f>
        <v>VLADIMIR POOLIN</v>
      </c>
      <c r="AA18" s="16"/>
      <c r="AW18" s="17" t="s">
        <v>31</v>
      </c>
      <c r="AX18" s="27"/>
      <c r="AZ18" s="28"/>
      <c r="BA18" s="29" t="n">
        <v>244</v>
      </c>
      <c r="BB18" s="30" t="s">
        <v>78</v>
      </c>
      <c r="BC18" s="31" t="s">
        <v>37</v>
      </c>
      <c r="BD18" s="27"/>
      <c r="BE18" s="26"/>
      <c r="BF18" s="32" t="n">
        <v>0</v>
      </c>
      <c r="BG18" s="33" t="n">
        <v>0</v>
      </c>
      <c r="BI18" s="0" t="n">
        <v>13</v>
      </c>
      <c r="BJ18" s="0" t="s">
        <v>79</v>
      </c>
      <c r="BK18" s="34" t="n">
        <f aca="false">BD197</f>
        <v>0</v>
      </c>
      <c r="BL18" s="0" t="n">
        <v>14</v>
      </c>
      <c r="BM18" s="0" t="n">
        <f aca="false">A186</f>
        <v>0</v>
      </c>
    </row>
    <row r="19" customFormat="false" ht="15" hidden="false" customHeight="false" outlineLevel="0" collapsed="false">
      <c r="A19" s="21" t="str">
        <f aca="false">B!B61</f>
        <v>LEIGH</v>
      </c>
      <c r="B19" s="22" t="n">
        <f aca="false">C!B18</f>
        <v>46</v>
      </c>
      <c r="C19" s="22" t="n">
        <f aca="false">D!B18</f>
        <v>40</v>
      </c>
      <c r="D19" s="22" t="n">
        <f aca="false">E!B18</f>
        <v>37</v>
      </c>
      <c r="E19" s="22" t="n">
        <f aca="false">F!B18</f>
        <v>42</v>
      </c>
      <c r="F19" s="22" t="n">
        <f aca="false">G!B18</f>
        <v>27</v>
      </c>
      <c r="G19" s="22" t="n">
        <f aca="false">H!B18</f>
        <v>44</v>
      </c>
      <c r="H19" s="22" t="n">
        <f aca="false">I!B18</f>
        <v>0</v>
      </c>
      <c r="I19" s="22" t="n">
        <f aca="false">J!B18</f>
        <v>0</v>
      </c>
      <c r="J19" s="22" t="n">
        <f aca="false">K!B18</f>
        <v>0</v>
      </c>
      <c r="K19" s="22" t="n">
        <f aca="false">L!B18</f>
        <v>0</v>
      </c>
      <c r="L19" s="22" t="n">
        <f aca="false">M!B18</f>
        <v>0</v>
      </c>
      <c r="M19" s="22" t="n">
        <f aca="false">N!B18</f>
        <v>0</v>
      </c>
      <c r="N19" s="22" t="n">
        <f aca="false">O!B18</f>
        <v>0</v>
      </c>
      <c r="O19" s="22" t="n">
        <f aca="false">P!B18</f>
        <v>0</v>
      </c>
      <c r="P19" s="22" t="n">
        <f aca="false">Q!B18</f>
        <v>0</v>
      </c>
      <c r="Q19" s="22" t="n">
        <f aca="false">R!B18</f>
        <v>0</v>
      </c>
      <c r="R19" s="22" t="n">
        <f aca="false">S!B18</f>
        <v>0</v>
      </c>
      <c r="S19" s="22" t="n">
        <f aca="false">T!B18</f>
        <v>0</v>
      </c>
      <c r="T19" s="22" t="n">
        <f aca="false">U!B18</f>
        <v>0</v>
      </c>
      <c r="U19" s="22" t="n">
        <f aca="false">V!B18</f>
        <v>0</v>
      </c>
      <c r="V19" s="22" t="n">
        <f aca="false">W!B18</f>
        <v>0</v>
      </c>
      <c r="W19" s="22" t="n">
        <f aca="false">X!B18</f>
        <v>0</v>
      </c>
      <c r="X19" s="23" t="n">
        <f aca="false">SUM(B19:W19)</f>
        <v>236</v>
      </c>
      <c r="Y19" s="24" t="n">
        <f aca="false">IF(AW19=0,0,X19/AW19)</f>
        <v>39.3333333333333</v>
      </c>
      <c r="Z19" s="25" t="str">
        <f aca="false">A19</f>
        <v>LEIGH</v>
      </c>
      <c r="AA19" s="16" t="n">
        <f aca="false">IF(B19=0,0,1)</f>
        <v>1</v>
      </c>
      <c r="AB19" s="0" t="n">
        <f aca="false">IF(C19=0,0,1)</f>
        <v>1</v>
      </c>
      <c r="AC19" s="0" t="n">
        <f aca="false">IF(D19=0,0,1)</f>
        <v>1</v>
      </c>
      <c r="AD19" s="0" t="n">
        <f aca="false">IF(E19=0,0,1)</f>
        <v>1</v>
      </c>
      <c r="AE19" s="0" t="n">
        <f aca="false">IF(F19=0,0,1)</f>
        <v>1</v>
      </c>
      <c r="AF19" s="0" t="n">
        <f aca="false">IF(G19=0,0,1)</f>
        <v>1</v>
      </c>
      <c r="AG19" s="0" t="n">
        <f aca="false">IF(H19=0,0,1)</f>
        <v>0</v>
      </c>
      <c r="AH19" s="0" t="n">
        <f aca="false">IF(I19=0,0,1)</f>
        <v>0</v>
      </c>
      <c r="AI19" s="0" t="n">
        <f aca="false">IF(J19=0,0,1)</f>
        <v>0</v>
      </c>
      <c r="AJ19" s="0" t="n">
        <f aca="false">IF(K19=0,0,1)</f>
        <v>0</v>
      </c>
      <c r="AK19" s="0" t="n">
        <f aca="false">IF(L19=0,0,1)</f>
        <v>0</v>
      </c>
      <c r="AL19" s="0" t="n">
        <f aca="false">IF(M19=0,0,1)</f>
        <v>0</v>
      </c>
      <c r="AM19" s="0" t="n">
        <f aca="false">IF(N19=0,0,1)</f>
        <v>0</v>
      </c>
      <c r="AN19" s="0" t="n">
        <f aca="false">IF(O19=0,0,1)</f>
        <v>0</v>
      </c>
      <c r="AO19" s="0" t="n">
        <f aca="false">IF(P19=0,0,1)</f>
        <v>0</v>
      </c>
      <c r="AP19" s="0" t="n">
        <f aca="false">IF(Q19=0,0,1)</f>
        <v>0</v>
      </c>
      <c r="AQ19" s="0" t="n">
        <f aca="false">IF(R19=0,0,1)</f>
        <v>0</v>
      </c>
      <c r="AR19" s="0" t="n">
        <f aca="false">IF(S19=0,0,1)</f>
        <v>0</v>
      </c>
      <c r="AS19" s="0" t="n">
        <f aca="false">IF(T19=0,0,1)</f>
        <v>0</v>
      </c>
      <c r="AT19" s="0" t="n">
        <f aca="false">IF(U19=0,0,1)</f>
        <v>0</v>
      </c>
      <c r="AU19" s="0" t="n">
        <f aca="false">IF(V19=0,0,1)</f>
        <v>0</v>
      </c>
      <c r="AV19" s="0" t="n">
        <f aca="false">IF(W19=0,0,1)</f>
        <v>0</v>
      </c>
      <c r="AW19" s="26" t="n">
        <f aca="false">SUM(AA19:AV19)</f>
        <v>6</v>
      </c>
      <c r="AX19" s="27" t="n">
        <f aca="false">IF(X19=0,0,X19)</f>
        <v>236</v>
      </c>
      <c r="AY19" s="1" t="str">
        <f aca="false">IF(X19=0,0,A19)</f>
        <v>LEIGH</v>
      </c>
      <c r="AZ19" s="28" t="str">
        <f aca="false">IF(AX19=0,0,A$18)</f>
        <v>VLADIMIR POOLIN</v>
      </c>
      <c r="BA19" s="29" t="n">
        <v>243</v>
      </c>
      <c r="BB19" s="30" t="s">
        <v>80</v>
      </c>
      <c r="BC19" s="31" t="s">
        <v>37</v>
      </c>
      <c r="BD19" s="27"/>
      <c r="BE19" s="26"/>
      <c r="BF19" s="32" t="n">
        <v>0</v>
      </c>
      <c r="BG19" s="33" t="n">
        <v>0</v>
      </c>
      <c r="BI19" s="0" t="n">
        <v>14</v>
      </c>
      <c r="BJ19" s="0" t="s">
        <v>81</v>
      </c>
      <c r="BK19" s="34" t="n">
        <f aca="false">BD211</f>
        <v>0</v>
      </c>
      <c r="BL19" s="0" t="n">
        <v>15</v>
      </c>
      <c r="BM19" s="0" t="n">
        <f aca="false">A200</f>
        <v>0</v>
      </c>
    </row>
    <row r="20" customFormat="false" ht="15" hidden="false" customHeight="false" outlineLevel="0" collapsed="false">
      <c r="A20" s="21" t="str">
        <f aca="false">B!B66</f>
        <v>IAN</v>
      </c>
      <c r="B20" s="22" t="n">
        <f aca="false">C!B19</f>
        <v>38</v>
      </c>
      <c r="C20" s="22" t="n">
        <f aca="false">D!B19</f>
        <v>40</v>
      </c>
      <c r="D20" s="22" t="n">
        <f aca="false">E!B19</f>
        <v>26</v>
      </c>
      <c r="E20" s="22" t="n">
        <f aca="false">F!B19</f>
        <v>32</v>
      </c>
      <c r="F20" s="22" t="n">
        <f aca="false">G!B19</f>
        <v>25</v>
      </c>
      <c r="G20" s="22" t="n">
        <f aca="false">H!B19</f>
        <v>40</v>
      </c>
      <c r="H20" s="22" t="n">
        <f aca="false">I!B19</f>
        <v>0</v>
      </c>
      <c r="I20" s="22" t="n">
        <f aca="false">J!B19</f>
        <v>0</v>
      </c>
      <c r="J20" s="22" t="n">
        <f aca="false">K!B19</f>
        <v>0</v>
      </c>
      <c r="K20" s="22" t="n">
        <f aca="false">L!B19</f>
        <v>0</v>
      </c>
      <c r="L20" s="22" t="n">
        <f aca="false">M!B19</f>
        <v>0</v>
      </c>
      <c r="M20" s="22" t="n">
        <f aca="false">N!B19</f>
        <v>0</v>
      </c>
      <c r="N20" s="22" t="n">
        <f aca="false">O!B19</f>
        <v>0</v>
      </c>
      <c r="O20" s="22" t="n">
        <f aca="false">P!B19</f>
        <v>0</v>
      </c>
      <c r="P20" s="22" t="n">
        <f aca="false">Q!B19</f>
        <v>0</v>
      </c>
      <c r="Q20" s="22" t="n">
        <f aca="false">R!B19</f>
        <v>0</v>
      </c>
      <c r="R20" s="22" t="n">
        <f aca="false">S!B19</f>
        <v>0</v>
      </c>
      <c r="S20" s="22" t="n">
        <f aca="false">T!B19</f>
        <v>0</v>
      </c>
      <c r="T20" s="22" t="n">
        <f aca="false">U!B19</f>
        <v>0</v>
      </c>
      <c r="U20" s="22" t="n">
        <f aca="false">V!B19</f>
        <v>0</v>
      </c>
      <c r="V20" s="22" t="n">
        <f aca="false">W!B19</f>
        <v>0</v>
      </c>
      <c r="W20" s="22" t="n">
        <f aca="false">X!B19</f>
        <v>0</v>
      </c>
      <c r="X20" s="23" t="n">
        <f aca="false">SUM(B20:W20)</f>
        <v>201</v>
      </c>
      <c r="Y20" s="24" t="n">
        <f aca="false">IF(AW20=0,0,X20/AW20)</f>
        <v>33.5</v>
      </c>
      <c r="Z20" s="25" t="str">
        <f aca="false">A20</f>
        <v>IAN</v>
      </c>
      <c r="AA20" s="16" t="n">
        <f aca="false">IF(B20=0,0,1)</f>
        <v>1</v>
      </c>
      <c r="AB20" s="0" t="n">
        <f aca="false">IF(C20=0,0,1)</f>
        <v>1</v>
      </c>
      <c r="AC20" s="0" t="n">
        <f aca="false">IF(D20=0,0,1)</f>
        <v>1</v>
      </c>
      <c r="AD20" s="0" t="n">
        <f aca="false">IF(E20=0,0,1)</f>
        <v>1</v>
      </c>
      <c r="AE20" s="0" t="n">
        <f aca="false">IF(F20=0,0,1)</f>
        <v>1</v>
      </c>
      <c r="AF20" s="0" t="n">
        <f aca="false">IF(G20=0,0,1)</f>
        <v>1</v>
      </c>
      <c r="AG20" s="0" t="n">
        <f aca="false">IF(H20=0,0,1)</f>
        <v>0</v>
      </c>
      <c r="AH20" s="0" t="n">
        <f aca="false">IF(I20=0,0,1)</f>
        <v>0</v>
      </c>
      <c r="AI20" s="0" t="n">
        <f aca="false">IF(J20=0,0,1)</f>
        <v>0</v>
      </c>
      <c r="AJ20" s="0" t="n">
        <f aca="false">IF(K20=0,0,1)</f>
        <v>0</v>
      </c>
      <c r="AK20" s="0" t="n">
        <f aca="false">IF(L20=0,0,1)</f>
        <v>0</v>
      </c>
      <c r="AL20" s="0" t="n">
        <f aca="false">IF(M20=0,0,1)</f>
        <v>0</v>
      </c>
      <c r="AM20" s="0" t="n">
        <f aca="false">IF(N20=0,0,1)</f>
        <v>0</v>
      </c>
      <c r="AN20" s="0" t="n">
        <f aca="false">IF(O20=0,0,1)</f>
        <v>0</v>
      </c>
      <c r="AO20" s="0" t="n">
        <f aca="false">IF(P20=0,0,1)</f>
        <v>0</v>
      </c>
      <c r="AP20" s="0" t="n">
        <f aca="false">IF(Q20=0,0,1)</f>
        <v>0</v>
      </c>
      <c r="AQ20" s="0" t="n">
        <f aca="false">IF(R20=0,0,1)</f>
        <v>0</v>
      </c>
      <c r="AR20" s="0" t="n">
        <f aca="false">IF(S20=0,0,1)</f>
        <v>0</v>
      </c>
      <c r="AS20" s="0" t="n">
        <f aca="false">IF(T20=0,0,1)</f>
        <v>0</v>
      </c>
      <c r="AT20" s="0" t="n">
        <f aca="false">IF(U20=0,0,1)</f>
        <v>0</v>
      </c>
      <c r="AU20" s="0" t="n">
        <f aca="false">IF(V20=0,0,1)</f>
        <v>0</v>
      </c>
      <c r="AV20" s="0" t="n">
        <f aca="false">IF(W20=0,0,1)</f>
        <v>0</v>
      </c>
      <c r="AW20" s="26" t="n">
        <f aca="false">SUM(AA20:AV20)</f>
        <v>6</v>
      </c>
      <c r="AX20" s="27" t="n">
        <f aca="false">IF(X20=0,0,X20)</f>
        <v>201</v>
      </c>
      <c r="AY20" s="1" t="str">
        <f aca="false">IF(X20=0,0,A20)</f>
        <v>IAN</v>
      </c>
      <c r="AZ20" s="28" t="str">
        <f aca="false">IF(AX20=0,0,A$18)</f>
        <v>VLADIMIR POOLIN</v>
      </c>
      <c r="BA20" s="53" t="n">
        <v>242</v>
      </c>
      <c r="BB20" s="30" t="s">
        <v>82</v>
      </c>
      <c r="BC20" s="30" t="s">
        <v>55</v>
      </c>
      <c r="BD20" s="27"/>
      <c r="BE20" s="26"/>
      <c r="BF20" s="32" t="n">
        <v>0</v>
      </c>
      <c r="BG20" s="33" t="n">
        <v>0</v>
      </c>
      <c r="BI20" s="0" t="n">
        <v>15</v>
      </c>
      <c r="BJ20" s="0" t="s">
        <v>83</v>
      </c>
      <c r="BK20" s="34" t="n">
        <f aca="false">BD225</f>
        <v>0</v>
      </c>
      <c r="BL20" s="0" t="n">
        <v>16</v>
      </c>
      <c r="BM20" s="0" t="n">
        <f aca="false">A214</f>
        <v>0</v>
      </c>
    </row>
    <row r="21" customFormat="false" ht="15" hidden="false" customHeight="false" outlineLevel="0" collapsed="false">
      <c r="A21" s="21" t="str">
        <f aca="false">B!B71</f>
        <v>ELI</v>
      </c>
      <c r="B21" s="22" t="n">
        <f aca="false">C!B20</f>
        <v>27</v>
      </c>
      <c r="C21" s="22" t="n">
        <f aca="false">D!B20</f>
        <v>40</v>
      </c>
      <c r="D21" s="22" t="n">
        <f aca="false">E!B20</f>
        <v>31</v>
      </c>
      <c r="E21" s="22" t="n">
        <f aca="false">F!B20</f>
        <v>42</v>
      </c>
      <c r="F21" s="22" t="n">
        <f aca="false">G!B20</f>
        <v>44</v>
      </c>
      <c r="G21" s="22" t="n">
        <f aca="false">H!B20</f>
        <v>37</v>
      </c>
      <c r="H21" s="22" t="n">
        <f aca="false">I!B20</f>
        <v>0</v>
      </c>
      <c r="I21" s="22" t="n">
        <f aca="false">J!B20</f>
        <v>0</v>
      </c>
      <c r="J21" s="22" t="n">
        <f aca="false">K!B20</f>
        <v>0</v>
      </c>
      <c r="K21" s="22" t="n">
        <f aca="false">L!B20</f>
        <v>0</v>
      </c>
      <c r="L21" s="22" t="n">
        <f aca="false">M!B20</f>
        <v>0</v>
      </c>
      <c r="M21" s="22" t="n">
        <f aca="false">N!B20</f>
        <v>0</v>
      </c>
      <c r="N21" s="22" t="n">
        <f aca="false">O!B20</f>
        <v>0</v>
      </c>
      <c r="O21" s="22" t="n">
        <f aca="false">P!B20</f>
        <v>0</v>
      </c>
      <c r="P21" s="22" t="n">
        <f aca="false">Q!B20</f>
        <v>0</v>
      </c>
      <c r="Q21" s="22" t="n">
        <f aca="false">R!B20</f>
        <v>0</v>
      </c>
      <c r="R21" s="22" t="n">
        <f aca="false">S!B20</f>
        <v>0</v>
      </c>
      <c r="S21" s="22" t="n">
        <f aca="false">T!B20</f>
        <v>0</v>
      </c>
      <c r="T21" s="22" t="n">
        <f aca="false">U!B20</f>
        <v>0</v>
      </c>
      <c r="U21" s="22" t="n">
        <f aca="false">V!B20</f>
        <v>0</v>
      </c>
      <c r="V21" s="22" t="n">
        <f aca="false">W!B20</f>
        <v>0</v>
      </c>
      <c r="W21" s="22" t="n">
        <f aca="false">X!B20</f>
        <v>0</v>
      </c>
      <c r="X21" s="23" t="n">
        <f aca="false">SUM(B21:W21)</f>
        <v>221</v>
      </c>
      <c r="Y21" s="24" t="n">
        <f aca="false">IF(AW21=0,0,X21/AW21)</f>
        <v>36.8333333333333</v>
      </c>
      <c r="Z21" s="25" t="str">
        <f aca="false">A21</f>
        <v>ELI</v>
      </c>
      <c r="AA21" s="16" t="n">
        <f aca="false">IF(B21=0,0,1)</f>
        <v>1</v>
      </c>
      <c r="AB21" s="0" t="n">
        <f aca="false">IF(C21=0,0,1)</f>
        <v>1</v>
      </c>
      <c r="AC21" s="0" t="n">
        <f aca="false">IF(D21=0,0,1)</f>
        <v>1</v>
      </c>
      <c r="AD21" s="0" t="n">
        <f aca="false">IF(E21=0,0,1)</f>
        <v>1</v>
      </c>
      <c r="AE21" s="0" t="n">
        <f aca="false">IF(F21=0,0,1)</f>
        <v>1</v>
      </c>
      <c r="AF21" s="0" t="n">
        <f aca="false">IF(G21=0,0,1)</f>
        <v>1</v>
      </c>
      <c r="AG21" s="0" t="n">
        <f aca="false">IF(H21=0,0,1)</f>
        <v>0</v>
      </c>
      <c r="AH21" s="0" t="n">
        <f aca="false">IF(I21=0,0,1)</f>
        <v>0</v>
      </c>
      <c r="AI21" s="0" t="n">
        <f aca="false">IF(J21=0,0,1)</f>
        <v>0</v>
      </c>
      <c r="AJ21" s="0" t="n">
        <f aca="false">IF(K21=0,0,1)</f>
        <v>0</v>
      </c>
      <c r="AK21" s="0" t="n">
        <f aca="false">IF(L21=0,0,1)</f>
        <v>0</v>
      </c>
      <c r="AL21" s="0" t="n">
        <f aca="false">IF(M21=0,0,1)</f>
        <v>0</v>
      </c>
      <c r="AM21" s="0" t="n">
        <f aca="false">IF(N21=0,0,1)</f>
        <v>0</v>
      </c>
      <c r="AN21" s="0" t="n">
        <f aca="false">IF(O21=0,0,1)</f>
        <v>0</v>
      </c>
      <c r="AO21" s="0" t="n">
        <f aca="false">IF(P21=0,0,1)</f>
        <v>0</v>
      </c>
      <c r="AP21" s="0" t="n">
        <f aca="false">IF(Q21=0,0,1)</f>
        <v>0</v>
      </c>
      <c r="AQ21" s="0" t="n">
        <f aca="false">IF(R21=0,0,1)</f>
        <v>0</v>
      </c>
      <c r="AR21" s="0" t="n">
        <f aca="false">IF(S21=0,0,1)</f>
        <v>0</v>
      </c>
      <c r="AS21" s="0" t="n">
        <f aca="false">IF(T21=0,0,1)</f>
        <v>0</v>
      </c>
      <c r="AT21" s="0" t="n">
        <f aca="false">IF(U21=0,0,1)</f>
        <v>0</v>
      </c>
      <c r="AU21" s="0" t="n">
        <f aca="false">IF(V21=0,0,1)</f>
        <v>0</v>
      </c>
      <c r="AV21" s="0" t="n">
        <f aca="false">IF(W21=0,0,1)</f>
        <v>0</v>
      </c>
      <c r="AW21" s="26" t="n">
        <f aca="false">SUM(AA21:AV21)</f>
        <v>6</v>
      </c>
      <c r="AX21" s="27" t="n">
        <f aca="false">IF(X21=0,0,X21)</f>
        <v>221</v>
      </c>
      <c r="AY21" s="1" t="str">
        <f aca="false">IF(X21=0,0,A21)</f>
        <v>ELI</v>
      </c>
      <c r="AZ21" s="28" t="str">
        <f aca="false">IF(AX21=0,0,A$18)</f>
        <v>VLADIMIR POOLIN</v>
      </c>
      <c r="BA21" s="53" t="n">
        <v>241</v>
      </c>
      <c r="BB21" s="30" t="s">
        <v>84</v>
      </c>
      <c r="BC21" s="30" t="s">
        <v>58</v>
      </c>
      <c r="BD21" s="27"/>
      <c r="BE21" s="26"/>
      <c r="BF21" s="32" t="n">
        <v>0</v>
      </c>
      <c r="BG21" s="33" t="n">
        <v>0</v>
      </c>
      <c r="BI21" s="0" t="n">
        <v>16</v>
      </c>
      <c r="BJ21" s="0" t="s">
        <v>85</v>
      </c>
      <c r="BK21" s="34" t="n">
        <f aca="false">BD239</f>
        <v>0</v>
      </c>
      <c r="BL21" s="0" t="n">
        <v>17</v>
      </c>
      <c r="BM21" s="0" t="n">
        <f aca="false">A228</f>
        <v>0</v>
      </c>
    </row>
    <row r="22" customFormat="false" ht="15" hidden="false" customHeight="false" outlineLevel="0" collapsed="false">
      <c r="A22" s="21" t="str">
        <f aca="false">B!B76</f>
        <v>ROWAN</v>
      </c>
      <c r="B22" s="22" t="n">
        <f aca="false">C!B21</f>
        <v>43</v>
      </c>
      <c r="C22" s="22" t="n">
        <f aca="false">D!B21</f>
        <v>40</v>
      </c>
      <c r="D22" s="22" t="n">
        <f aca="false">E!B21</f>
        <v>23</v>
      </c>
      <c r="E22" s="22" t="n">
        <f aca="false">F!B21</f>
        <v>22</v>
      </c>
      <c r="F22" s="22" t="n">
        <f aca="false">G!B21</f>
        <v>27</v>
      </c>
      <c r="G22" s="22" t="n">
        <f aca="false">H!B21</f>
        <v>43</v>
      </c>
      <c r="H22" s="22" t="n">
        <f aca="false">I!B21</f>
        <v>0</v>
      </c>
      <c r="I22" s="22" t="n">
        <f aca="false">J!B21</f>
        <v>0</v>
      </c>
      <c r="J22" s="22" t="n">
        <f aca="false">K!B21</f>
        <v>0</v>
      </c>
      <c r="K22" s="22" t="n">
        <f aca="false">L!B21</f>
        <v>0</v>
      </c>
      <c r="L22" s="22" t="n">
        <f aca="false">M!B21</f>
        <v>0</v>
      </c>
      <c r="M22" s="22" t="n">
        <f aca="false">N!B21</f>
        <v>0</v>
      </c>
      <c r="N22" s="22" t="n">
        <f aca="false">O!B21</f>
        <v>0</v>
      </c>
      <c r="O22" s="22" t="n">
        <f aca="false">P!B21</f>
        <v>0</v>
      </c>
      <c r="P22" s="22" t="n">
        <f aca="false">Q!B21</f>
        <v>0</v>
      </c>
      <c r="Q22" s="22" t="n">
        <f aca="false">R!B21</f>
        <v>0</v>
      </c>
      <c r="R22" s="22" t="n">
        <f aca="false">S!B21</f>
        <v>0</v>
      </c>
      <c r="S22" s="22" t="n">
        <f aca="false">T!B21</f>
        <v>0</v>
      </c>
      <c r="T22" s="22" t="n">
        <f aca="false">U!B21</f>
        <v>0</v>
      </c>
      <c r="U22" s="22" t="n">
        <f aca="false">V!B21</f>
        <v>0</v>
      </c>
      <c r="V22" s="22" t="n">
        <f aca="false">W!B21</f>
        <v>0</v>
      </c>
      <c r="W22" s="22" t="n">
        <f aca="false">X!B21</f>
        <v>0</v>
      </c>
      <c r="X22" s="23" t="n">
        <f aca="false">SUM(B22:W22)</f>
        <v>198</v>
      </c>
      <c r="Y22" s="24" t="n">
        <f aca="false">IF(AW22=0,0,X22/AW22)</f>
        <v>33</v>
      </c>
      <c r="Z22" s="25" t="str">
        <f aca="false">A22</f>
        <v>ROWAN</v>
      </c>
      <c r="AA22" s="16" t="n">
        <f aca="false">IF(B22=0,0,1)</f>
        <v>1</v>
      </c>
      <c r="AB22" s="0" t="n">
        <f aca="false">IF(C22=0,0,1)</f>
        <v>1</v>
      </c>
      <c r="AC22" s="0" t="n">
        <f aca="false">IF(D22=0,0,1)</f>
        <v>1</v>
      </c>
      <c r="AD22" s="0" t="n">
        <f aca="false">IF(E22=0,0,1)</f>
        <v>1</v>
      </c>
      <c r="AE22" s="0" t="n">
        <f aca="false">IF(F22=0,0,1)</f>
        <v>1</v>
      </c>
      <c r="AF22" s="0" t="n">
        <f aca="false">IF(G22=0,0,1)</f>
        <v>1</v>
      </c>
      <c r="AG22" s="0" t="n">
        <f aca="false">IF(H22=0,0,1)</f>
        <v>0</v>
      </c>
      <c r="AH22" s="0" t="n">
        <f aca="false">IF(I22=0,0,1)</f>
        <v>0</v>
      </c>
      <c r="AI22" s="0" t="n">
        <f aca="false">IF(J22=0,0,1)</f>
        <v>0</v>
      </c>
      <c r="AJ22" s="0" t="n">
        <f aca="false">IF(K22=0,0,1)</f>
        <v>0</v>
      </c>
      <c r="AK22" s="0" t="n">
        <f aca="false">IF(L22=0,0,1)</f>
        <v>0</v>
      </c>
      <c r="AL22" s="0" t="n">
        <f aca="false">IF(M22=0,0,1)</f>
        <v>0</v>
      </c>
      <c r="AM22" s="0" t="n">
        <f aca="false">IF(N22=0,0,1)</f>
        <v>0</v>
      </c>
      <c r="AN22" s="0" t="n">
        <f aca="false">IF(O22=0,0,1)</f>
        <v>0</v>
      </c>
      <c r="AO22" s="0" t="n">
        <f aca="false">IF(P22=0,0,1)</f>
        <v>0</v>
      </c>
      <c r="AP22" s="0" t="n">
        <f aca="false">IF(Q22=0,0,1)</f>
        <v>0</v>
      </c>
      <c r="AQ22" s="0" t="n">
        <f aca="false">IF(R22=0,0,1)</f>
        <v>0</v>
      </c>
      <c r="AR22" s="0" t="n">
        <f aca="false">IF(S22=0,0,1)</f>
        <v>0</v>
      </c>
      <c r="AS22" s="0" t="n">
        <f aca="false">IF(T22=0,0,1)</f>
        <v>0</v>
      </c>
      <c r="AT22" s="0" t="n">
        <f aca="false">IF(U22=0,0,1)</f>
        <v>0</v>
      </c>
      <c r="AU22" s="0" t="n">
        <f aca="false">IF(V22=0,0,1)</f>
        <v>0</v>
      </c>
      <c r="AV22" s="0" t="n">
        <f aca="false">IF(W22=0,0,1)</f>
        <v>0</v>
      </c>
      <c r="AW22" s="26" t="n">
        <f aca="false">SUM(AA22:AV22)</f>
        <v>6</v>
      </c>
      <c r="AX22" s="27" t="n">
        <f aca="false">IF(X22=0,0,X22)</f>
        <v>198</v>
      </c>
      <c r="AY22" s="1" t="str">
        <f aca="false">IF(X22=0,0,A22)</f>
        <v>ROWAN</v>
      </c>
      <c r="AZ22" s="28" t="str">
        <f aca="false">IF(AX22=0,0,A$18)</f>
        <v>VLADIMIR POOLIN</v>
      </c>
      <c r="BA22" s="29" t="n">
        <v>241</v>
      </c>
      <c r="BB22" s="30" t="s">
        <v>65</v>
      </c>
      <c r="BC22" s="31" t="s">
        <v>62</v>
      </c>
      <c r="BD22" s="27"/>
      <c r="BE22" s="26"/>
      <c r="BF22" s="32" t="n">
        <v>0</v>
      </c>
      <c r="BG22" s="33" t="n">
        <v>0</v>
      </c>
      <c r="BI22" s="0" t="n">
        <v>17</v>
      </c>
      <c r="BJ22" s="0" t="s">
        <v>86</v>
      </c>
      <c r="BK22" s="34" t="n">
        <f aca="false">BD253</f>
        <v>0</v>
      </c>
      <c r="BL22" s="0" t="n">
        <v>18</v>
      </c>
      <c r="BM22" s="0" t="n">
        <f aca="false">A242</f>
        <v>0</v>
      </c>
    </row>
    <row r="23" customFormat="false" ht="15" hidden="false" customHeight="false" outlineLevel="0" collapsed="false">
      <c r="A23" s="21" t="str">
        <f aca="false">B!B81</f>
        <v>JAMES</v>
      </c>
      <c r="B23" s="22" t="n">
        <f aca="false">C!B22</f>
        <v>30</v>
      </c>
      <c r="C23" s="22" t="n">
        <f aca="false">D!B22</f>
        <v>40</v>
      </c>
      <c r="D23" s="22" t="n">
        <f aca="false">E!B22</f>
        <v>24</v>
      </c>
      <c r="E23" s="22" t="n">
        <f aca="false">F!B22</f>
        <v>17</v>
      </c>
      <c r="F23" s="22" t="n">
        <f aca="false">G!B22</f>
        <v>24</v>
      </c>
      <c r="G23" s="22" t="n">
        <f aca="false">H!B22</f>
        <v>27</v>
      </c>
      <c r="H23" s="22" t="n">
        <f aca="false">I!B22</f>
        <v>0</v>
      </c>
      <c r="I23" s="22" t="n">
        <f aca="false">J!B22</f>
        <v>0</v>
      </c>
      <c r="J23" s="22" t="n">
        <f aca="false">K!B22</f>
        <v>0</v>
      </c>
      <c r="K23" s="22" t="n">
        <f aca="false">L!B22</f>
        <v>0</v>
      </c>
      <c r="L23" s="22" t="n">
        <f aca="false">M!B22</f>
        <v>0</v>
      </c>
      <c r="M23" s="22" t="n">
        <f aca="false">N!B22</f>
        <v>0</v>
      </c>
      <c r="N23" s="22" t="n">
        <f aca="false">O!B22</f>
        <v>0</v>
      </c>
      <c r="O23" s="22" t="n">
        <f aca="false">P!B22</f>
        <v>0</v>
      </c>
      <c r="P23" s="22" t="n">
        <f aca="false">Q!B22</f>
        <v>0</v>
      </c>
      <c r="Q23" s="22" t="n">
        <f aca="false">R!B22</f>
        <v>0</v>
      </c>
      <c r="R23" s="22" t="n">
        <f aca="false">S!B22</f>
        <v>0</v>
      </c>
      <c r="S23" s="22" t="n">
        <f aca="false">T!B22</f>
        <v>0</v>
      </c>
      <c r="T23" s="22" t="n">
        <f aca="false">U!B22</f>
        <v>0</v>
      </c>
      <c r="U23" s="22" t="n">
        <f aca="false">V!B22</f>
        <v>0</v>
      </c>
      <c r="V23" s="22" t="n">
        <f aca="false">W!B22</f>
        <v>0</v>
      </c>
      <c r="W23" s="22" t="n">
        <f aca="false">X!B22</f>
        <v>0</v>
      </c>
      <c r="X23" s="23" t="n">
        <f aca="false">SUM(B23:W23)</f>
        <v>162</v>
      </c>
      <c r="Y23" s="24" t="n">
        <f aca="false">IF(AW23=0,0,X23/AW23)</f>
        <v>27</v>
      </c>
      <c r="Z23" s="25" t="str">
        <f aca="false">A23</f>
        <v>JAMES</v>
      </c>
      <c r="AA23" s="16" t="n">
        <f aca="false">IF(B23=0,0,1)</f>
        <v>1</v>
      </c>
      <c r="AB23" s="0" t="n">
        <f aca="false">IF(C23=0,0,1)</f>
        <v>1</v>
      </c>
      <c r="AC23" s="0" t="n">
        <f aca="false">IF(D23=0,0,1)</f>
        <v>1</v>
      </c>
      <c r="AD23" s="0" t="n">
        <f aca="false">IF(E23=0,0,1)</f>
        <v>1</v>
      </c>
      <c r="AE23" s="0" t="n">
        <f aca="false">IF(F23=0,0,1)</f>
        <v>1</v>
      </c>
      <c r="AF23" s="0" t="n">
        <f aca="false">IF(G23=0,0,1)</f>
        <v>1</v>
      </c>
      <c r="AG23" s="0" t="n">
        <f aca="false">IF(H23=0,0,1)</f>
        <v>0</v>
      </c>
      <c r="AH23" s="0" t="n">
        <f aca="false">IF(I23=0,0,1)</f>
        <v>0</v>
      </c>
      <c r="AI23" s="0" t="n">
        <f aca="false">IF(J23=0,0,1)</f>
        <v>0</v>
      </c>
      <c r="AJ23" s="0" t="n">
        <f aca="false">IF(K23=0,0,1)</f>
        <v>0</v>
      </c>
      <c r="AK23" s="0" t="n">
        <f aca="false">IF(L23=0,0,1)</f>
        <v>0</v>
      </c>
      <c r="AL23" s="0" t="n">
        <f aca="false">IF(M23=0,0,1)</f>
        <v>0</v>
      </c>
      <c r="AM23" s="0" t="n">
        <f aca="false">IF(N23=0,0,1)</f>
        <v>0</v>
      </c>
      <c r="AN23" s="0" t="n">
        <f aca="false">IF(O23=0,0,1)</f>
        <v>0</v>
      </c>
      <c r="AO23" s="0" t="n">
        <f aca="false">IF(P23=0,0,1)</f>
        <v>0</v>
      </c>
      <c r="AP23" s="0" t="n">
        <f aca="false">IF(Q23=0,0,1)</f>
        <v>0</v>
      </c>
      <c r="AQ23" s="0" t="n">
        <f aca="false">IF(R23=0,0,1)</f>
        <v>0</v>
      </c>
      <c r="AR23" s="0" t="n">
        <f aca="false">IF(S23=0,0,1)</f>
        <v>0</v>
      </c>
      <c r="AS23" s="0" t="n">
        <f aca="false">IF(T23=0,0,1)</f>
        <v>0</v>
      </c>
      <c r="AT23" s="0" t="n">
        <f aca="false">IF(U23=0,0,1)</f>
        <v>0</v>
      </c>
      <c r="AU23" s="0" t="n">
        <f aca="false">IF(V23=0,0,1)</f>
        <v>0</v>
      </c>
      <c r="AV23" s="0" t="n">
        <f aca="false">IF(W23=0,0,1)</f>
        <v>0</v>
      </c>
      <c r="AW23" s="26" t="n">
        <f aca="false">SUM(AA23:AV23)</f>
        <v>6</v>
      </c>
      <c r="AX23" s="27" t="n">
        <f aca="false">IF(X23=0,0,X23)</f>
        <v>162</v>
      </c>
      <c r="AY23" s="1" t="str">
        <f aca="false">IF(X23=0,0,A23)</f>
        <v>JAMES</v>
      </c>
      <c r="AZ23" s="28" t="str">
        <f aca="false">IF(AX23=0,0,A$18)</f>
        <v>VLADIMIR POOLIN</v>
      </c>
      <c r="BA23" s="53" t="n">
        <v>240</v>
      </c>
      <c r="BB23" s="30" t="s">
        <v>87</v>
      </c>
      <c r="BC23" s="30" t="s">
        <v>52</v>
      </c>
      <c r="BD23" s="27"/>
      <c r="BE23" s="26"/>
      <c r="BF23" s="32" t="n">
        <v>0</v>
      </c>
      <c r="BG23" s="33" t="n">
        <v>0</v>
      </c>
      <c r="BI23" s="0" t="n">
        <v>18</v>
      </c>
      <c r="BJ23" s="0" t="s">
        <v>88</v>
      </c>
      <c r="BK23" s="34" t="n">
        <f aca="false">BD267</f>
        <v>0</v>
      </c>
      <c r="BL23" s="0" t="n">
        <v>19</v>
      </c>
      <c r="BM23" s="0" t="n">
        <f aca="false">A256</f>
        <v>0</v>
      </c>
    </row>
    <row r="24" customFormat="false" ht="15" hidden="false" customHeight="false" outlineLevel="0" collapsed="false">
      <c r="A24" s="21" t="n">
        <f aca="false">B!B86</f>
        <v>0</v>
      </c>
      <c r="B24" s="22" t="n">
        <f aca="false">C!B23</f>
        <v>0</v>
      </c>
      <c r="C24" s="22" t="n">
        <f aca="false">D!B23</f>
        <v>0</v>
      </c>
      <c r="D24" s="22" t="n">
        <f aca="false">E!B23</f>
        <v>0</v>
      </c>
      <c r="E24" s="22" t="n">
        <f aca="false">F!B23</f>
        <v>0</v>
      </c>
      <c r="F24" s="22" t="n">
        <f aca="false">G!B23</f>
        <v>0</v>
      </c>
      <c r="G24" s="22" t="n">
        <f aca="false">H!B23</f>
        <v>0</v>
      </c>
      <c r="H24" s="22" t="n">
        <f aca="false">I!B23</f>
        <v>0</v>
      </c>
      <c r="I24" s="22" t="n">
        <f aca="false">J!B23</f>
        <v>0</v>
      </c>
      <c r="J24" s="22" t="n">
        <f aca="false">K!B23</f>
        <v>0</v>
      </c>
      <c r="K24" s="22" t="n">
        <f aca="false">L!B23</f>
        <v>0</v>
      </c>
      <c r="L24" s="22" t="n">
        <f aca="false">M!B23</f>
        <v>0</v>
      </c>
      <c r="M24" s="22" t="n">
        <f aca="false">N!B23</f>
        <v>0</v>
      </c>
      <c r="N24" s="22" t="n">
        <f aca="false">O!B23</f>
        <v>0</v>
      </c>
      <c r="O24" s="22" t="n">
        <f aca="false">P!B23</f>
        <v>0</v>
      </c>
      <c r="P24" s="22" t="n">
        <f aca="false">Q!B23</f>
        <v>0</v>
      </c>
      <c r="Q24" s="22" t="n">
        <f aca="false">R!B23</f>
        <v>0</v>
      </c>
      <c r="R24" s="22" t="n">
        <f aca="false">S!B23</f>
        <v>0</v>
      </c>
      <c r="S24" s="22" t="n">
        <f aca="false">T!B23</f>
        <v>0</v>
      </c>
      <c r="T24" s="22" t="n">
        <f aca="false">U!B23</f>
        <v>0</v>
      </c>
      <c r="U24" s="22" t="n">
        <f aca="false">V!B23</f>
        <v>0</v>
      </c>
      <c r="V24" s="22" t="n">
        <f aca="false">W!B23</f>
        <v>0</v>
      </c>
      <c r="W24" s="22" t="n">
        <f aca="false">X!B23</f>
        <v>0</v>
      </c>
      <c r="X24" s="23" t="n">
        <f aca="false">SUM(B24:W24)</f>
        <v>0</v>
      </c>
      <c r="Y24" s="24" t="n">
        <f aca="false">IF(AW24=0,0,X24/AW24)</f>
        <v>0</v>
      </c>
      <c r="Z24" s="25" t="n">
        <f aca="false">A24</f>
        <v>0</v>
      </c>
      <c r="AA24" s="16" t="n">
        <f aca="false">IF(B24=0,0,1)</f>
        <v>0</v>
      </c>
      <c r="AB24" s="0" t="n">
        <f aca="false">IF(C24=0,0,1)</f>
        <v>0</v>
      </c>
      <c r="AC24" s="0" t="n">
        <f aca="false">IF(D24=0,0,1)</f>
        <v>0</v>
      </c>
      <c r="AD24" s="0" t="n">
        <f aca="false">IF(E24=0,0,1)</f>
        <v>0</v>
      </c>
      <c r="AE24" s="0" t="n">
        <f aca="false">IF(F24=0,0,1)</f>
        <v>0</v>
      </c>
      <c r="AF24" s="0" t="n">
        <f aca="false">IF(G24=0,0,1)</f>
        <v>0</v>
      </c>
      <c r="AG24" s="0" t="n">
        <f aca="false">IF(H24=0,0,1)</f>
        <v>0</v>
      </c>
      <c r="AH24" s="0" t="n">
        <f aca="false">IF(I24=0,0,1)</f>
        <v>0</v>
      </c>
      <c r="AI24" s="0" t="n">
        <f aca="false">IF(J24=0,0,1)</f>
        <v>0</v>
      </c>
      <c r="AJ24" s="0" t="n">
        <f aca="false">IF(K24=0,0,1)</f>
        <v>0</v>
      </c>
      <c r="AK24" s="0" t="n">
        <f aca="false">IF(L24=0,0,1)</f>
        <v>0</v>
      </c>
      <c r="AL24" s="0" t="n">
        <f aca="false">IF(M24=0,0,1)</f>
        <v>0</v>
      </c>
      <c r="AM24" s="0" t="n">
        <f aca="false">IF(N24=0,0,1)</f>
        <v>0</v>
      </c>
      <c r="AN24" s="0" t="n">
        <f aca="false">IF(O24=0,0,1)</f>
        <v>0</v>
      </c>
      <c r="AO24" s="0" t="n">
        <f aca="false">IF(P24=0,0,1)</f>
        <v>0</v>
      </c>
      <c r="AP24" s="0" t="n">
        <f aca="false">IF(Q24=0,0,1)</f>
        <v>0</v>
      </c>
      <c r="AQ24" s="0" t="n">
        <f aca="false">IF(R24=0,0,1)</f>
        <v>0</v>
      </c>
      <c r="AR24" s="0" t="n">
        <f aca="false">IF(S24=0,0,1)</f>
        <v>0</v>
      </c>
      <c r="AS24" s="0" t="n">
        <f aca="false">IF(T24=0,0,1)</f>
        <v>0</v>
      </c>
      <c r="AT24" s="0" t="n">
        <f aca="false">IF(U24=0,0,1)</f>
        <v>0</v>
      </c>
      <c r="AU24" s="0" t="n">
        <f aca="false">IF(V24=0,0,1)</f>
        <v>0</v>
      </c>
      <c r="AV24" s="0" t="n">
        <f aca="false">IF(W24=0,0,1)</f>
        <v>0</v>
      </c>
      <c r="AW24" s="26" t="n">
        <f aca="false">SUM(AA24:AV24)</f>
        <v>0</v>
      </c>
      <c r="AX24" s="27" t="n">
        <f aca="false">IF(X24=0,0,X24)</f>
        <v>0</v>
      </c>
      <c r="AY24" s="1" t="n">
        <f aca="false">IF(X24=0,0,A24)</f>
        <v>0</v>
      </c>
      <c r="AZ24" s="28" t="n">
        <f aca="false">IF(AX24=0,0,A$18)</f>
        <v>0</v>
      </c>
      <c r="BA24" s="29" t="n">
        <v>240</v>
      </c>
      <c r="BB24" s="30" t="s">
        <v>89</v>
      </c>
      <c r="BC24" s="31" t="s">
        <v>46</v>
      </c>
      <c r="BD24" s="27"/>
      <c r="BE24" s="26"/>
      <c r="BF24" s="32" t="n">
        <v>0</v>
      </c>
      <c r="BG24" s="33" t="n">
        <v>0</v>
      </c>
      <c r="BI24" s="0" t="n">
        <v>19</v>
      </c>
      <c r="BJ24" s="0" t="s">
        <v>90</v>
      </c>
      <c r="BK24" s="34" t="n">
        <f aca="false">BD281</f>
        <v>0</v>
      </c>
      <c r="BL24" s="0" t="n">
        <v>20</v>
      </c>
      <c r="BM24" s="0" t="n">
        <f aca="false">A270</f>
        <v>0</v>
      </c>
    </row>
    <row r="25" customFormat="false" ht="15" hidden="false" customHeight="false" outlineLevel="0" collapsed="false">
      <c r="A25" s="21" t="n">
        <f aca="false">B!B91</f>
        <v>0</v>
      </c>
      <c r="B25" s="22" t="n">
        <f aca="false">C!B24</f>
        <v>0</v>
      </c>
      <c r="C25" s="22" t="n">
        <f aca="false">D!B24</f>
        <v>0</v>
      </c>
      <c r="D25" s="22" t="n">
        <f aca="false">E!B24</f>
        <v>0</v>
      </c>
      <c r="E25" s="22" t="n">
        <f aca="false">F!B24</f>
        <v>0</v>
      </c>
      <c r="F25" s="22" t="n">
        <f aca="false">G!B24</f>
        <v>0</v>
      </c>
      <c r="G25" s="22" t="n">
        <f aca="false">H!B24</f>
        <v>0</v>
      </c>
      <c r="H25" s="22" t="n">
        <f aca="false">I!B24</f>
        <v>0</v>
      </c>
      <c r="I25" s="22" t="n">
        <f aca="false">J!B24</f>
        <v>0</v>
      </c>
      <c r="J25" s="22" t="n">
        <f aca="false">K!B24</f>
        <v>0</v>
      </c>
      <c r="K25" s="22" t="n">
        <f aca="false">L!B24</f>
        <v>0</v>
      </c>
      <c r="L25" s="22" t="n">
        <f aca="false">M!B24</f>
        <v>0</v>
      </c>
      <c r="M25" s="22" t="n">
        <f aca="false">N!B24</f>
        <v>0</v>
      </c>
      <c r="N25" s="22" t="n">
        <f aca="false">O!B24</f>
        <v>0</v>
      </c>
      <c r="O25" s="22" t="n">
        <f aca="false">P!B24</f>
        <v>0</v>
      </c>
      <c r="P25" s="22" t="n">
        <f aca="false">Q!B24</f>
        <v>0</v>
      </c>
      <c r="Q25" s="22" t="n">
        <f aca="false">R!B24</f>
        <v>0</v>
      </c>
      <c r="R25" s="22" t="n">
        <f aca="false">S!B24</f>
        <v>0</v>
      </c>
      <c r="S25" s="22" t="n">
        <f aca="false">T!B24</f>
        <v>0</v>
      </c>
      <c r="T25" s="22" t="n">
        <f aca="false">U!B24</f>
        <v>0</v>
      </c>
      <c r="U25" s="22" t="n">
        <f aca="false">V!B24</f>
        <v>0</v>
      </c>
      <c r="V25" s="22" t="n">
        <f aca="false">W!B24</f>
        <v>0</v>
      </c>
      <c r="W25" s="22" t="n">
        <f aca="false">X!B24</f>
        <v>0</v>
      </c>
      <c r="X25" s="23" t="n">
        <f aca="false">SUM(B25:W25)</f>
        <v>0</v>
      </c>
      <c r="Y25" s="24" t="n">
        <f aca="false">IF(AW25=0,0,X25/AW25)</f>
        <v>0</v>
      </c>
      <c r="Z25" s="25" t="n">
        <f aca="false">A25</f>
        <v>0</v>
      </c>
      <c r="AA25" s="16" t="n">
        <f aca="false">IF(B25=0,0,1)</f>
        <v>0</v>
      </c>
      <c r="AB25" s="0" t="n">
        <f aca="false">IF(C25=0,0,1)</f>
        <v>0</v>
      </c>
      <c r="AC25" s="0" t="n">
        <f aca="false">IF(D25=0,0,1)</f>
        <v>0</v>
      </c>
      <c r="AD25" s="0" t="n">
        <f aca="false">IF(E25=0,0,1)</f>
        <v>0</v>
      </c>
      <c r="AE25" s="0" t="n">
        <f aca="false">IF(F25=0,0,1)</f>
        <v>0</v>
      </c>
      <c r="AF25" s="0" t="n">
        <f aca="false">IF(G25=0,0,1)</f>
        <v>0</v>
      </c>
      <c r="AG25" s="0" t="n">
        <f aca="false">IF(H25=0,0,1)</f>
        <v>0</v>
      </c>
      <c r="AH25" s="0" t="n">
        <f aca="false">IF(I25=0,0,1)</f>
        <v>0</v>
      </c>
      <c r="AI25" s="0" t="n">
        <f aca="false">IF(J25=0,0,1)</f>
        <v>0</v>
      </c>
      <c r="AJ25" s="0" t="n">
        <f aca="false">IF(K25=0,0,1)</f>
        <v>0</v>
      </c>
      <c r="AK25" s="0" t="n">
        <f aca="false">IF(L25=0,0,1)</f>
        <v>0</v>
      </c>
      <c r="AL25" s="0" t="n">
        <f aca="false">IF(M25=0,0,1)</f>
        <v>0</v>
      </c>
      <c r="AM25" s="0" t="n">
        <f aca="false">IF(N25=0,0,1)</f>
        <v>0</v>
      </c>
      <c r="AN25" s="0" t="n">
        <f aca="false">IF(O25=0,0,1)</f>
        <v>0</v>
      </c>
      <c r="AO25" s="0" t="n">
        <f aca="false">IF(P25=0,0,1)</f>
        <v>0</v>
      </c>
      <c r="AP25" s="0" t="n">
        <f aca="false">IF(Q25=0,0,1)</f>
        <v>0</v>
      </c>
      <c r="AQ25" s="0" t="n">
        <f aca="false">IF(R25=0,0,1)</f>
        <v>0</v>
      </c>
      <c r="AR25" s="0" t="n">
        <f aca="false">IF(S25=0,0,1)</f>
        <v>0</v>
      </c>
      <c r="AS25" s="0" t="n">
        <f aca="false">IF(T25=0,0,1)</f>
        <v>0</v>
      </c>
      <c r="AT25" s="0" t="n">
        <f aca="false">IF(U25=0,0,1)</f>
        <v>0</v>
      </c>
      <c r="AU25" s="0" t="n">
        <f aca="false">IF(V25=0,0,1)</f>
        <v>0</v>
      </c>
      <c r="AV25" s="0" t="n">
        <f aca="false">IF(W25=0,0,1)</f>
        <v>0</v>
      </c>
      <c r="AW25" s="26" t="n">
        <f aca="false">SUM(AA25:AV25)</f>
        <v>0</v>
      </c>
      <c r="AX25" s="27" t="n">
        <f aca="false">IF(X25=0,0,X25)</f>
        <v>0</v>
      </c>
      <c r="AY25" s="1" t="n">
        <f aca="false">IF(X25=0,0,A25)</f>
        <v>0</v>
      </c>
      <c r="AZ25" s="28" t="n">
        <f aca="false">IF(AX25=0,0,A$18)</f>
        <v>0</v>
      </c>
      <c r="BA25" s="53" t="n">
        <v>239</v>
      </c>
      <c r="BB25" s="30" t="s">
        <v>91</v>
      </c>
      <c r="BC25" s="30" t="s">
        <v>52</v>
      </c>
      <c r="BD25" s="27"/>
      <c r="BE25" s="26"/>
      <c r="BF25" s="32"/>
      <c r="BG25" s="33"/>
      <c r="BI25" s="0" t="n">
        <v>20</v>
      </c>
      <c r="BJ25" s="0" t="s">
        <v>92</v>
      </c>
    </row>
    <row r="26" customFormat="false" ht="15" hidden="false" customHeight="false" outlineLevel="0" collapsed="false">
      <c r="A26" s="16" t="n">
        <f aca="false">B!B96</f>
        <v>0</v>
      </c>
      <c r="B26" s="22" t="n">
        <f aca="false">C!B25</f>
        <v>0</v>
      </c>
      <c r="C26" s="22" t="n">
        <f aca="false">D!B25</f>
        <v>0</v>
      </c>
      <c r="D26" s="22" t="n">
        <f aca="false">E!B25</f>
        <v>0</v>
      </c>
      <c r="E26" s="22" t="n">
        <f aca="false">F!B25</f>
        <v>0</v>
      </c>
      <c r="F26" s="22" t="n">
        <f aca="false">G!B25</f>
        <v>0</v>
      </c>
      <c r="G26" s="22" t="n">
        <f aca="false">H!B25</f>
        <v>0</v>
      </c>
      <c r="H26" s="22" t="n">
        <f aca="false">I!B25</f>
        <v>0</v>
      </c>
      <c r="I26" s="22" t="n">
        <f aca="false">J!B25</f>
        <v>0</v>
      </c>
      <c r="J26" s="22" t="n">
        <f aca="false">K!B25</f>
        <v>0</v>
      </c>
      <c r="K26" s="22" t="n">
        <f aca="false">L!B25</f>
        <v>0</v>
      </c>
      <c r="L26" s="22" t="n">
        <f aca="false">M!B25</f>
        <v>0</v>
      </c>
      <c r="M26" s="22" t="n">
        <f aca="false">N!B25</f>
        <v>0</v>
      </c>
      <c r="N26" s="22" t="n">
        <f aca="false">O!B25</f>
        <v>0</v>
      </c>
      <c r="O26" s="22" t="n">
        <f aca="false">P!B25</f>
        <v>0</v>
      </c>
      <c r="P26" s="22" t="n">
        <f aca="false">Q!B25</f>
        <v>0</v>
      </c>
      <c r="Q26" s="22" t="n">
        <f aca="false">R!B25</f>
        <v>0</v>
      </c>
      <c r="R26" s="22" t="n">
        <f aca="false">S!B25</f>
        <v>0</v>
      </c>
      <c r="S26" s="22" t="n">
        <f aca="false">T!B25</f>
        <v>0</v>
      </c>
      <c r="T26" s="22" t="n">
        <f aca="false">U!B25</f>
        <v>0</v>
      </c>
      <c r="U26" s="22" t="n">
        <f aca="false">V!B25</f>
        <v>0</v>
      </c>
      <c r="V26" s="22" t="n">
        <f aca="false">W!B25</f>
        <v>0</v>
      </c>
      <c r="W26" s="22" t="n">
        <f aca="false">X!B25</f>
        <v>0</v>
      </c>
      <c r="X26" s="23" t="n">
        <f aca="false">SUM(B26:W26)</f>
        <v>0</v>
      </c>
      <c r="Y26" s="24" t="n">
        <f aca="false">IF(AW26=0,0,X26/AW26)</f>
        <v>0</v>
      </c>
      <c r="Z26" s="25" t="n">
        <f aca="false">A26</f>
        <v>0</v>
      </c>
      <c r="AA26" s="16" t="n">
        <f aca="false">IF(B26=0,0,1)</f>
        <v>0</v>
      </c>
      <c r="AB26" s="0" t="n">
        <f aca="false">IF(C26=0,0,1)</f>
        <v>0</v>
      </c>
      <c r="AC26" s="0" t="n">
        <f aca="false">IF(D26=0,0,1)</f>
        <v>0</v>
      </c>
      <c r="AD26" s="0" t="n">
        <f aca="false">IF(E26=0,0,1)</f>
        <v>0</v>
      </c>
      <c r="AE26" s="0" t="n">
        <f aca="false">IF(F26=0,0,1)</f>
        <v>0</v>
      </c>
      <c r="AF26" s="0" t="n">
        <f aca="false">IF(G26=0,0,1)</f>
        <v>0</v>
      </c>
      <c r="AG26" s="0" t="n">
        <f aca="false">IF(H26=0,0,1)</f>
        <v>0</v>
      </c>
      <c r="AH26" s="0" t="n">
        <f aca="false">IF(I26=0,0,1)</f>
        <v>0</v>
      </c>
      <c r="AI26" s="0" t="n">
        <f aca="false">IF(J26=0,0,1)</f>
        <v>0</v>
      </c>
      <c r="AJ26" s="0" t="n">
        <f aca="false">IF(K26=0,0,1)</f>
        <v>0</v>
      </c>
      <c r="AK26" s="0" t="n">
        <f aca="false">IF(L26=0,0,1)</f>
        <v>0</v>
      </c>
      <c r="AL26" s="0" t="n">
        <f aca="false">IF(M26=0,0,1)</f>
        <v>0</v>
      </c>
      <c r="AM26" s="0" t="n">
        <f aca="false">IF(N26=0,0,1)</f>
        <v>0</v>
      </c>
      <c r="AN26" s="0" t="n">
        <f aca="false">IF(O26=0,0,1)</f>
        <v>0</v>
      </c>
      <c r="AO26" s="0" t="n">
        <f aca="false">IF(P26=0,0,1)</f>
        <v>0</v>
      </c>
      <c r="AP26" s="0" t="n">
        <f aca="false">IF(Q26=0,0,1)</f>
        <v>0</v>
      </c>
      <c r="AQ26" s="0" t="n">
        <f aca="false">IF(R26=0,0,1)</f>
        <v>0</v>
      </c>
      <c r="AR26" s="0" t="n">
        <f aca="false">IF(S26=0,0,1)</f>
        <v>0</v>
      </c>
      <c r="AS26" s="0" t="n">
        <f aca="false">IF(T26=0,0,1)</f>
        <v>0</v>
      </c>
      <c r="AT26" s="0" t="n">
        <f aca="false">IF(U26=0,0,1)</f>
        <v>0</v>
      </c>
      <c r="AU26" s="0" t="n">
        <f aca="false">IF(V26=0,0,1)</f>
        <v>0</v>
      </c>
      <c r="AV26" s="0" t="n">
        <f aca="false">IF(W26=0,0,1)</f>
        <v>0</v>
      </c>
      <c r="AW26" s="26" t="n">
        <f aca="false">SUM(AA26:AV26)</f>
        <v>0</v>
      </c>
      <c r="AX26" s="27" t="n">
        <f aca="false">IF(X26=0,0,X26)</f>
        <v>0</v>
      </c>
      <c r="AY26" s="1" t="n">
        <f aca="false">IF(X26=0,0,A26)</f>
        <v>0</v>
      </c>
      <c r="AZ26" s="28" t="n">
        <f aca="false">IF(AX26=0,0,A$18)</f>
        <v>0</v>
      </c>
      <c r="BA26" s="29" t="n">
        <v>239</v>
      </c>
      <c r="BB26" s="30" t="s">
        <v>93</v>
      </c>
      <c r="BC26" s="31" t="s">
        <v>37</v>
      </c>
      <c r="BD26" s="27"/>
      <c r="BE26" s="26"/>
      <c r="BF26" s="32"/>
      <c r="BG26" s="33"/>
      <c r="BI26" s="0" t="n">
        <v>21</v>
      </c>
      <c r="BJ26" s="0" t="s">
        <v>94</v>
      </c>
    </row>
    <row r="27" customFormat="false" ht="15" hidden="false" customHeight="false" outlineLevel="0" collapsed="false">
      <c r="A27" s="38" t="s">
        <v>60</v>
      </c>
      <c r="B27" s="39" t="n">
        <f aca="false">SUM(B19:B26)</f>
        <v>184</v>
      </c>
      <c r="C27" s="39" t="n">
        <f aca="false">SUM(C19:C26)</f>
        <v>200</v>
      </c>
      <c r="D27" s="39" t="n">
        <f aca="false">SUM(D19:D26)</f>
        <v>141</v>
      </c>
      <c r="E27" s="39" t="n">
        <f aca="false">SUM(E19:E26)</f>
        <v>155</v>
      </c>
      <c r="F27" s="39" t="n">
        <f aca="false">SUM(F19:F26)</f>
        <v>147</v>
      </c>
      <c r="G27" s="39" t="n">
        <f aca="false">SUM(G19:G26)</f>
        <v>191</v>
      </c>
      <c r="H27" s="39" t="n">
        <f aca="false">SUM(H19:H26)</f>
        <v>0</v>
      </c>
      <c r="I27" s="39" t="n">
        <f aca="false">SUM(I19:I26)</f>
        <v>0</v>
      </c>
      <c r="J27" s="39" t="n">
        <f aca="false">SUM(J19:J26)</f>
        <v>0</v>
      </c>
      <c r="K27" s="39" t="n">
        <f aca="false">SUM(K19:K26)</f>
        <v>0</v>
      </c>
      <c r="L27" s="39" t="n">
        <f aca="false">SUM(L19:L26)</f>
        <v>0</v>
      </c>
      <c r="M27" s="39" t="n">
        <f aca="false">SUM(M19:M26)</f>
        <v>0</v>
      </c>
      <c r="N27" s="39" t="n">
        <f aca="false">SUM(N19:N26)</f>
        <v>0</v>
      </c>
      <c r="O27" s="39" t="n">
        <f aca="false">SUM(O19:O26)</f>
        <v>0</v>
      </c>
      <c r="P27" s="39" t="n">
        <f aca="false">SUM(P19:P26)</f>
        <v>0</v>
      </c>
      <c r="Q27" s="39" t="n">
        <f aca="false">SUM(Q19:Q26)</f>
        <v>0</v>
      </c>
      <c r="R27" s="39" t="n">
        <f aca="false">SUM(R19:R26)</f>
        <v>0</v>
      </c>
      <c r="S27" s="39" t="n">
        <f aca="false">SUM(S19:S26)</f>
        <v>0</v>
      </c>
      <c r="T27" s="39" t="n">
        <f aca="false">SUM(T19:T26)</f>
        <v>0</v>
      </c>
      <c r="U27" s="39" t="n">
        <f aca="false">SUM(U19:U26)</f>
        <v>0</v>
      </c>
      <c r="V27" s="39" t="n">
        <f aca="false">SUM(V19:V26)</f>
        <v>0</v>
      </c>
      <c r="W27" s="39" t="n">
        <f aca="false">SUM(W19:W26)</f>
        <v>0</v>
      </c>
      <c r="X27" s="40" t="n">
        <f aca="false">SUM(B27:W27)</f>
        <v>1018</v>
      </c>
      <c r="Y27" s="41" t="n">
        <f aca="false">IF(X27=0,0,X27/AW27)</f>
        <v>169.666666666667</v>
      </c>
      <c r="Z27" s="25"/>
      <c r="AA27" s="42" t="n">
        <f aca="false">SUM(AA19:AA26)</f>
        <v>5</v>
      </c>
      <c r="AB27" s="43" t="n">
        <f aca="false">SUM(AB19:AB26)</f>
        <v>5</v>
      </c>
      <c r="AC27" s="43" t="n">
        <f aca="false">SUM(AC19:AC26)</f>
        <v>5</v>
      </c>
      <c r="AD27" s="43" t="n">
        <f aca="false">SUM(AD19:AD26)</f>
        <v>5</v>
      </c>
      <c r="AE27" s="43" t="n">
        <f aca="false">SUM(AE19:AE26)</f>
        <v>5</v>
      </c>
      <c r="AF27" s="43" t="n">
        <f aca="false">SUM(AF19:AF26)</f>
        <v>5</v>
      </c>
      <c r="AG27" s="43" t="n">
        <f aca="false">SUM(AG19:AG26)</f>
        <v>0</v>
      </c>
      <c r="AH27" s="43" t="n">
        <f aca="false">SUM(AH19:AH26)</f>
        <v>0</v>
      </c>
      <c r="AI27" s="43" t="n">
        <f aca="false">SUM(AI19:AI26)</f>
        <v>0</v>
      </c>
      <c r="AJ27" s="43" t="n">
        <f aca="false">SUM(AJ19:AJ26)</f>
        <v>0</v>
      </c>
      <c r="AK27" s="43" t="n">
        <f aca="false">SUM(AK19:AK26)</f>
        <v>0</v>
      </c>
      <c r="AL27" s="43" t="n">
        <f aca="false">SUM(AL19:AL26)</f>
        <v>0</v>
      </c>
      <c r="AM27" s="43" t="n">
        <f aca="false">SUM(AM19:AM26)</f>
        <v>0</v>
      </c>
      <c r="AN27" s="43" t="n">
        <f aca="false">SUM(AN19:AN26)</f>
        <v>0</v>
      </c>
      <c r="AO27" s="43" t="n">
        <f aca="false">SUM(AO19:AO26)</f>
        <v>0</v>
      </c>
      <c r="AP27" s="43" t="n">
        <f aca="false">SUM(AP19:AP26)</f>
        <v>0</v>
      </c>
      <c r="AQ27" s="43" t="n">
        <f aca="false">SUM(AQ19:AQ26)</f>
        <v>0</v>
      </c>
      <c r="AR27" s="43" t="n">
        <f aca="false">SUM(AR19:AR26)</f>
        <v>0</v>
      </c>
      <c r="AS27" s="43" t="n">
        <f aca="false">SUM(AS19:AS26)</f>
        <v>0</v>
      </c>
      <c r="AT27" s="43" t="n">
        <f aca="false">SUM(AT19:AT26)</f>
        <v>0</v>
      </c>
      <c r="AU27" s="43" t="n">
        <f aca="false">SUM(AU19:AU26)</f>
        <v>0</v>
      </c>
      <c r="AV27" s="43" t="n">
        <f aca="false">SUM(AV19:AV26)</f>
        <v>0</v>
      </c>
      <c r="AW27" s="44" t="n">
        <f aca="false">MAXA(AW19:AW26)</f>
        <v>6</v>
      </c>
      <c r="AX27" s="27"/>
      <c r="AZ27" s="28"/>
      <c r="BA27" s="29" t="n">
        <v>238</v>
      </c>
      <c r="BB27" s="30" t="s">
        <v>95</v>
      </c>
      <c r="BC27" s="31" t="s">
        <v>46</v>
      </c>
      <c r="BD27" s="27"/>
      <c r="BE27" s="26"/>
      <c r="BF27" s="32"/>
      <c r="BG27" s="33"/>
    </row>
    <row r="28" customFormat="false" ht="15" hidden="false" customHeight="false" outlineLevel="0" collapsed="false">
      <c r="A28" s="54" t="s">
        <v>64</v>
      </c>
      <c r="B28" s="22" t="n">
        <f aca="false">C!B26</f>
        <v>0</v>
      </c>
      <c r="C28" s="22" t="n">
        <f aca="false">D!B26</f>
        <v>0</v>
      </c>
      <c r="D28" s="22" t="n">
        <f aca="false">E!B26</f>
        <v>1.8</v>
      </c>
      <c r="E28" s="22" t="n">
        <f aca="false">F!B26</f>
        <v>5.7</v>
      </c>
      <c r="F28" s="22" t="n">
        <f aca="false">G!B26</f>
        <v>24.53</v>
      </c>
      <c r="G28" s="22" t="n">
        <f aca="false">H!B26</f>
        <v>26.1</v>
      </c>
      <c r="H28" s="22" t="n">
        <f aca="false">I!B26</f>
        <v>0</v>
      </c>
      <c r="I28" s="22" t="n">
        <f aca="false">J!B26</f>
        <v>0</v>
      </c>
      <c r="J28" s="22" t="n">
        <f aca="false">K!B26</f>
        <v>0</v>
      </c>
      <c r="K28" s="22" t="n">
        <f aca="false">L!B26</f>
        <v>0</v>
      </c>
      <c r="L28" s="22" t="n">
        <f aca="false">M!B26</f>
        <v>0</v>
      </c>
      <c r="M28" s="22" t="n">
        <f aca="false">N!B26</f>
        <v>0</v>
      </c>
      <c r="N28" s="22" t="n">
        <f aca="false">O!B26</f>
        <v>0</v>
      </c>
      <c r="O28" s="22" t="n">
        <f aca="false">P!B26</f>
        <v>0</v>
      </c>
      <c r="P28" s="22" t="n">
        <f aca="false">Q!B26</f>
        <v>0</v>
      </c>
      <c r="Q28" s="22" t="n">
        <f aca="false">R!B26</f>
        <v>0</v>
      </c>
      <c r="R28" s="22" t="n">
        <f aca="false">S!B26</f>
        <v>0</v>
      </c>
      <c r="S28" s="22" t="n">
        <f aca="false">T!B26</f>
        <v>0</v>
      </c>
      <c r="T28" s="22" t="n">
        <f aca="false">U!B26</f>
        <v>0</v>
      </c>
      <c r="U28" s="22" t="n">
        <f aca="false">V!B26</f>
        <v>0</v>
      </c>
      <c r="V28" s="22" t="n">
        <f aca="false">W!B26</f>
        <v>0</v>
      </c>
      <c r="W28" s="22" t="n">
        <f aca="false">X!B26</f>
        <v>0</v>
      </c>
      <c r="X28" s="23" t="n">
        <f aca="false">SUM(B28:W28)</f>
        <v>58.13</v>
      </c>
      <c r="Y28" s="47"/>
      <c r="Z28" s="25"/>
      <c r="AA28" s="16"/>
      <c r="AW28" s="26"/>
      <c r="AX28" s="27"/>
      <c r="AZ28" s="28"/>
      <c r="BA28" s="53" t="n">
        <v>237</v>
      </c>
      <c r="BB28" s="30" t="s">
        <v>96</v>
      </c>
      <c r="BC28" s="30" t="s">
        <v>55</v>
      </c>
      <c r="BD28" s="27"/>
      <c r="BE28" s="26"/>
      <c r="BF28" s="32"/>
      <c r="BG28" s="33"/>
    </row>
    <row r="29" customFormat="false" ht="15" hidden="false" customHeight="false" outlineLevel="0" collapsed="false">
      <c r="A29" s="48" t="s">
        <v>68</v>
      </c>
      <c r="B29" s="49" t="n">
        <f aca="false">SUM(B27:B28)</f>
        <v>184</v>
      </c>
      <c r="C29" s="49" t="n">
        <f aca="false">SUM(C27:C28)</f>
        <v>200</v>
      </c>
      <c r="D29" s="49" t="n">
        <f aca="false">SUM(D27:D28)</f>
        <v>142.8</v>
      </c>
      <c r="E29" s="49" t="n">
        <f aca="false">SUM(E27:E28)</f>
        <v>160.7</v>
      </c>
      <c r="F29" s="49" t="n">
        <f aca="false">SUM(F27:F28)</f>
        <v>171.53</v>
      </c>
      <c r="G29" s="49" t="n">
        <f aca="false">SUM(G27:G28)</f>
        <v>217.1</v>
      </c>
      <c r="H29" s="49" t="n">
        <f aca="false">SUM(H27:H28)</f>
        <v>0</v>
      </c>
      <c r="I29" s="49" t="n">
        <f aca="false">SUM(I27:I28)</f>
        <v>0</v>
      </c>
      <c r="J29" s="49" t="n">
        <f aca="false">SUM(J27:J28)</f>
        <v>0</v>
      </c>
      <c r="K29" s="49" t="n">
        <f aca="false">SUM(K27:K28)</f>
        <v>0</v>
      </c>
      <c r="L29" s="49" t="n">
        <f aca="false">SUM(L27:L28)</f>
        <v>0</v>
      </c>
      <c r="M29" s="49" t="n">
        <f aca="false">SUM(M27:M28)</f>
        <v>0</v>
      </c>
      <c r="N29" s="49" t="n">
        <f aca="false">SUM(N27:N28)</f>
        <v>0</v>
      </c>
      <c r="O29" s="49" t="n">
        <f aca="false">SUM(O27:O28)</f>
        <v>0</v>
      </c>
      <c r="P29" s="49" t="n">
        <f aca="false">SUM(P27:P28)</f>
        <v>0</v>
      </c>
      <c r="Q29" s="49" t="n">
        <f aca="false">SUM(Q27:Q28)</f>
        <v>0</v>
      </c>
      <c r="R29" s="49" t="n">
        <f aca="false">SUM(R27:R28)</f>
        <v>0</v>
      </c>
      <c r="S29" s="49" t="n">
        <f aca="false">SUM(S27:S28)</f>
        <v>0</v>
      </c>
      <c r="T29" s="49" t="n">
        <f aca="false">SUM(T27:T28)</f>
        <v>0</v>
      </c>
      <c r="U29" s="49" t="n">
        <f aca="false">SUM(U27:U28)</f>
        <v>0</v>
      </c>
      <c r="V29" s="49" t="n">
        <f aca="false">SUM(V27:V28)</f>
        <v>0</v>
      </c>
      <c r="W29" s="49" t="n">
        <f aca="false">SUM(W27:W28)</f>
        <v>0</v>
      </c>
      <c r="X29" s="50" t="n">
        <f aca="false">SUM(B29:W29)</f>
        <v>1076.13</v>
      </c>
      <c r="Y29" s="51"/>
      <c r="Z29" s="25"/>
      <c r="AA29" s="16"/>
      <c r="AW29" s="26"/>
      <c r="AX29" s="27"/>
      <c r="AZ29" s="28"/>
      <c r="BA29" s="29" t="n">
        <v>236</v>
      </c>
      <c r="BB29" s="30" t="s">
        <v>97</v>
      </c>
      <c r="BC29" s="31" t="s">
        <v>66</v>
      </c>
      <c r="BD29" s="27" t="n">
        <f aca="false">X29</f>
        <v>1076.13</v>
      </c>
      <c r="BE29" s="26" t="str">
        <f aca="false">A18</f>
        <v>VLADIMIR POOLIN</v>
      </c>
      <c r="BF29" s="32"/>
      <c r="BG29" s="33"/>
    </row>
    <row r="30" customFormat="false" ht="15" hidden="false" customHeight="false" outlineLevel="0" collapsed="false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25"/>
      <c r="AA30" s="16"/>
      <c r="AW30" s="26"/>
      <c r="AX30" s="27"/>
      <c r="AZ30" s="28"/>
      <c r="BA30" s="29" t="n">
        <v>236</v>
      </c>
      <c r="BB30" s="30" t="s">
        <v>98</v>
      </c>
      <c r="BC30" s="31" t="s">
        <v>40</v>
      </c>
      <c r="BD30" s="27"/>
      <c r="BE30" s="26"/>
      <c r="BF30" s="32"/>
      <c r="BG30" s="33"/>
    </row>
    <row r="31" customFormat="false" ht="15" hidden="false" customHeight="false" outlineLevel="0" collapsed="false">
      <c r="A31" s="5" t="s">
        <v>99</v>
      </c>
      <c r="B31" s="6" t="s">
        <v>1</v>
      </c>
      <c r="C31" s="6" t="s">
        <v>2</v>
      </c>
      <c r="D31" s="6" t="s">
        <v>3</v>
      </c>
      <c r="E31" s="6" t="s">
        <v>4</v>
      </c>
      <c r="F31" s="6" t="s">
        <v>5</v>
      </c>
      <c r="G31" s="6" t="s">
        <v>6</v>
      </c>
      <c r="H31" s="6" t="s">
        <v>7</v>
      </c>
      <c r="I31" s="6" t="s">
        <v>8</v>
      </c>
      <c r="J31" s="6" t="s">
        <v>9</v>
      </c>
      <c r="K31" s="6" t="s">
        <v>10</v>
      </c>
      <c r="L31" s="6" t="s">
        <v>11</v>
      </c>
      <c r="M31" s="6" t="s">
        <v>12</v>
      </c>
      <c r="N31" s="6" t="s">
        <v>13</v>
      </c>
      <c r="O31" s="6" t="s">
        <v>14</v>
      </c>
      <c r="P31" s="6" t="s">
        <v>15</v>
      </c>
      <c r="Q31" s="6" t="s">
        <v>16</v>
      </c>
      <c r="R31" s="6" t="s">
        <v>17</v>
      </c>
      <c r="S31" s="6" t="s">
        <v>18</v>
      </c>
      <c r="T31" s="6" t="s">
        <v>19</v>
      </c>
      <c r="U31" s="6" t="s">
        <v>20</v>
      </c>
      <c r="V31" s="6" t="s">
        <v>21</v>
      </c>
      <c r="W31" s="6" t="s">
        <v>22</v>
      </c>
      <c r="X31" s="34"/>
      <c r="Y31" s="34"/>
      <c r="Z31" s="4" t="str">
        <f aca="false">A31</f>
        <v>Team #3 Name:</v>
      </c>
      <c r="AA31" s="16"/>
      <c r="AW31" s="26"/>
      <c r="AX31" s="27"/>
      <c r="AZ31" s="28"/>
      <c r="BA31" s="29" t="n">
        <v>235</v>
      </c>
      <c r="BB31" s="30" t="s">
        <v>100</v>
      </c>
      <c r="BC31" s="31" t="s">
        <v>49</v>
      </c>
      <c r="BD31" s="27"/>
      <c r="BE31" s="26"/>
      <c r="BF31" s="32"/>
      <c r="BG31" s="33"/>
    </row>
    <row r="32" customFormat="false" ht="15" hidden="false" customHeight="false" outlineLevel="0" collapsed="false">
      <c r="A32" s="11" t="str">
        <f aca="false">B!B102</f>
        <v>RACK PACK</v>
      </c>
      <c r="B32" s="52" t="s">
        <v>28</v>
      </c>
      <c r="C32" s="52" t="s">
        <v>28</v>
      </c>
      <c r="D32" s="52" t="s">
        <v>28</v>
      </c>
      <c r="E32" s="52" t="s">
        <v>28</v>
      </c>
      <c r="F32" s="52" t="s">
        <v>28</v>
      </c>
      <c r="G32" s="52" t="s">
        <v>28</v>
      </c>
      <c r="H32" s="52" t="s">
        <v>28</v>
      </c>
      <c r="I32" s="52" t="s">
        <v>28</v>
      </c>
      <c r="J32" s="52" t="s">
        <v>28</v>
      </c>
      <c r="K32" s="52" t="s">
        <v>28</v>
      </c>
      <c r="L32" s="52" t="s">
        <v>28</v>
      </c>
      <c r="M32" s="52" t="s">
        <v>28</v>
      </c>
      <c r="N32" s="52" t="s">
        <v>28</v>
      </c>
      <c r="O32" s="52" t="s">
        <v>28</v>
      </c>
      <c r="P32" s="52" t="s">
        <v>28</v>
      </c>
      <c r="Q32" s="52" t="s">
        <v>28</v>
      </c>
      <c r="R32" s="52" t="s">
        <v>28</v>
      </c>
      <c r="S32" s="52" t="s">
        <v>28</v>
      </c>
      <c r="T32" s="52" t="s">
        <v>28</v>
      </c>
      <c r="U32" s="52" t="s">
        <v>28</v>
      </c>
      <c r="V32" s="52" t="s">
        <v>28</v>
      </c>
      <c r="W32" s="52" t="s">
        <v>28</v>
      </c>
      <c r="X32" s="13" t="s">
        <v>29</v>
      </c>
      <c r="Y32" s="14" t="s">
        <v>30</v>
      </c>
      <c r="Z32" s="15" t="str">
        <f aca="false">A32</f>
        <v>RACK PACK</v>
      </c>
      <c r="AA32" s="16"/>
      <c r="AW32" s="17" t="s">
        <v>31</v>
      </c>
      <c r="AX32" s="27"/>
      <c r="AZ32" s="28"/>
      <c r="BA32" s="29" t="n">
        <v>234</v>
      </c>
      <c r="BB32" s="30" t="s">
        <v>98</v>
      </c>
      <c r="BC32" s="31" t="s">
        <v>43</v>
      </c>
      <c r="BD32" s="27"/>
      <c r="BE32" s="26"/>
      <c r="BF32" s="32"/>
      <c r="BG32" s="33"/>
    </row>
    <row r="33" customFormat="false" ht="15" hidden="false" customHeight="false" outlineLevel="0" collapsed="false">
      <c r="A33" s="21" t="str">
        <f aca="false">B!B104</f>
        <v>BRENNEN</v>
      </c>
      <c r="B33" s="22" t="n">
        <f aca="false">C!B31</f>
        <v>46</v>
      </c>
      <c r="C33" s="22" t="n">
        <f aca="false">D!B31</f>
        <v>40</v>
      </c>
      <c r="D33" s="22" t="n">
        <f aca="false">E!B31</f>
        <v>39</v>
      </c>
      <c r="E33" s="22" t="n">
        <f aca="false">F!B31</f>
        <v>42</v>
      </c>
      <c r="F33" s="22" t="n">
        <f aca="false">G!B31</f>
        <v>40</v>
      </c>
      <c r="G33" s="22" t="n">
        <f aca="false">H!B31</f>
        <v>35</v>
      </c>
      <c r="H33" s="22" t="n">
        <f aca="false">I!B31</f>
        <v>0</v>
      </c>
      <c r="I33" s="22" t="n">
        <f aca="false">J!B31</f>
        <v>0</v>
      </c>
      <c r="J33" s="22" t="n">
        <f aca="false">K!B31</f>
        <v>0</v>
      </c>
      <c r="K33" s="22" t="n">
        <f aca="false">L!B31</f>
        <v>0</v>
      </c>
      <c r="L33" s="22" t="n">
        <f aca="false">M!B31</f>
        <v>0</v>
      </c>
      <c r="M33" s="22" t="n">
        <f aca="false">N!B31</f>
        <v>0</v>
      </c>
      <c r="N33" s="22" t="n">
        <f aca="false">O!B31</f>
        <v>0</v>
      </c>
      <c r="O33" s="22" t="n">
        <f aca="false">P!B31</f>
        <v>0</v>
      </c>
      <c r="P33" s="22" t="n">
        <f aca="false">Q!B31</f>
        <v>0</v>
      </c>
      <c r="Q33" s="22" t="n">
        <f aca="false">R!B31</f>
        <v>0</v>
      </c>
      <c r="R33" s="22" t="n">
        <f aca="false">S!B31</f>
        <v>0</v>
      </c>
      <c r="S33" s="22" t="n">
        <f aca="false">T!B31</f>
        <v>0</v>
      </c>
      <c r="T33" s="22" t="n">
        <f aca="false">U!B31</f>
        <v>0</v>
      </c>
      <c r="U33" s="22" t="n">
        <f aca="false">V!B31</f>
        <v>0</v>
      </c>
      <c r="V33" s="22" t="n">
        <f aca="false">W!B31</f>
        <v>0</v>
      </c>
      <c r="W33" s="22" t="n">
        <f aca="false">X!B31</f>
        <v>0</v>
      </c>
      <c r="X33" s="23" t="n">
        <f aca="false">SUM(B33:W33)</f>
        <v>242</v>
      </c>
      <c r="Y33" s="24" t="n">
        <f aca="false">IF(AW33=0,0,X33/AW33)</f>
        <v>40.3333333333333</v>
      </c>
      <c r="Z33" s="25" t="str">
        <f aca="false">A33</f>
        <v>BRENNEN</v>
      </c>
      <c r="AA33" s="16" t="n">
        <f aca="false">IF(B33=0,0,1)</f>
        <v>1</v>
      </c>
      <c r="AB33" s="0" t="n">
        <f aca="false">IF(C33=0,0,1)</f>
        <v>1</v>
      </c>
      <c r="AC33" s="0" t="n">
        <f aca="false">IF(D33=0,0,1)</f>
        <v>1</v>
      </c>
      <c r="AD33" s="0" t="n">
        <f aca="false">IF(E33=0,0,1)</f>
        <v>1</v>
      </c>
      <c r="AE33" s="0" t="n">
        <f aca="false">IF(F33=0,0,1)</f>
        <v>1</v>
      </c>
      <c r="AF33" s="0" t="n">
        <f aca="false">IF(G33=0,0,1)</f>
        <v>1</v>
      </c>
      <c r="AG33" s="0" t="n">
        <f aca="false">IF(H33=0,0,1)</f>
        <v>0</v>
      </c>
      <c r="AH33" s="0" t="n">
        <f aca="false">IF(I33=0,0,1)</f>
        <v>0</v>
      </c>
      <c r="AI33" s="0" t="n">
        <f aca="false">IF(J33=0,0,1)</f>
        <v>0</v>
      </c>
      <c r="AJ33" s="0" t="n">
        <f aca="false">IF(K33=0,0,1)</f>
        <v>0</v>
      </c>
      <c r="AK33" s="0" t="n">
        <f aca="false">IF(L33=0,0,1)</f>
        <v>0</v>
      </c>
      <c r="AL33" s="0" t="n">
        <f aca="false">IF(M33=0,0,1)</f>
        <v>0</v>
      </c>
      <c r="AM33" s="0" t="n">
        <f aca="false">IF(N33=0,0,1)</f>
        <v>0</v>
      </c>
      <c r="AN33" s="0" t="n">
        <f aca="false">IF(O33=0,0,1)</f>
        <v>0</v>
      </c>
      <c r="AO33" s="0" t="n">
        <f aca="false">IF(P33=0,0,1)</f>
        <v>0</v>
      </c>
      <c r="AP33" s="0" t="n">
        <f aca="false">IF(Q33=0,0,1)</f>
        <v>0</v>
      </c>
      <c r="AQ33" s="0" t="n">
        <f aca="false">IF(R33=0,0,1)</f>
        <v>0</v>
      </c>
      <c r="AR33" s="0" t="n">
        <f aca="false">IF(S33=0,0,1)</f>
        <v>0</v>
      </c>
      <c r="AS33" s="0" t="n">
        <f aca="false">IF(T33=0,0,1)</f>
        <v>0</v>
      </c>
      <c r="AT33" s="0" t="n">
        <f aca="false">IF(U33=0,0,1)</f>
        <v>0</v>
      </c>
      <c r="AU33" s="0" t="n">
        <f aca="false">IF(V33=0,0,1)</f>
        <v>0</v>
      </c>
      <c r="AV33" s="0" t="n">
        <f aca="false">IF(W33=0,0,1)</f>
        <v>0</v>
      </c>
      <c r="AW33" s="26" t="n">
        <f aca="false">SUM(AA33:AV33)</f>
        <v>6</v>
      </c>
      <c r="AX33" s="27" t="n">
        <f aca="false">IF(X33=0,0,X33)</f>
        <v>242</v>
      </c>
      <c r="AY33" s="1" t="str">
        <f aca="false">IF(X33=0,0,A33)</f>
        <v>BRENNEN</v>
      </c>
      <c r="AZ33" s="28" t="str">
        <f aca="false">IF(AX33=0,0,A$32)</f>
        <v>RACK PACK</v>
      </c>
      <c r="BA33" s="53" t="n">
        <v>233</v>
      </c>
      <c r="BB33" s="30" t="s">
        <v>101</v>
      </c>
      <c r="BC33" s="30" t="s">
        <v>55</v>
      </c>
      <c r="BD33" s="27"/>
      <c r="BE33" s="26"/>
      <c r="BF33" s="32"/>
      <c r="BG33" s="33"/>
    </row>
    <row r="34" customFormat="false" ht="15" hidden="false" customHeight="false" outlineLevel="0" collapsed="false">
      <c r="A34" s="21" t="str">
        <f aca="false">B!B109</f>
        <v>NICK</v>
      </c>
      <c r="B34" s="22" t="n">
        <f aca="false">C!B32</f>
        <v>42</v>
      </c>
      <c r="C34" s="22" t="n">
        <f aca="false">D!B32</f>
        <v>30</v>
      </c>
      <c r="D34" s="22" t="n">
        <f aca="false">E!B32</f>
        <v>36</v>
      </c>
      <c r="E34" s="22" t="n">
        <f aca="false">F!B32</f>
        <v>39</v>
      </c>
      <c r="F34" s="22" t="n">
        <f aca="false">G!B32</f>
        <v>40</v>
      </c>
      <c r="G34" s="22" t="n">
        <f aca="false">H!B32</f>
        <v>31</v>
      </c>
      <c r="H34" s="22" t="n">
        <f aca="false">I!B32</f>
        <v>0</v>
      </c>
      <c r="I34" s="22" t="n">
        <f aca="false">J!B32</f>
        <v>0</v>
      </c>
      <c r="J34" s="22" t="n">
        <f aca="false">K!B32</f>
        <v>0</v>
      </c>
      <c r="K34" s="22" t="n">
        <f aca="false">L!B32</f>
        <v>0</v>
      </c>
      <c r="L34" s="22" t="n">
        <f aca="false">M!B32</f>
        <v>0</v>
      </c>
      <c r="M34" s="22" t="n">
        <f aca="false">N!B32</f>
        <v>0</v>
      </c>
      <c r="N34" s="22" t="n">
        <f aca="false">O!B32</f>
        <v>0</v>
      </c>
      <c r="O34" s="22" t="n">
        <f aca="false">P!B32</f>
        <v>0</v>
      </c>
      <c r="P34" s="22" t="n">
        <f aca="false">Q!B32</f>
        <v>0</v>
      </c>
      <c r="Q34" s="22" t="n">
        <f aca="false">R!B32</f>
        <v>0</v>
      </c>
      <c r="R34" s="22" t="n">
        <f aca="false">S!B32</f>
        <v>0</v>
      </c>
      <c r="S34" s="22" t="n">
        <f aca="false">T!B32</f>
        <v>0</v>
      </c>
      <c r="T34" s="22" t="n">
        <f aca="false">U!B32</f>
        <v>0</v>
      </c>
      <c r="U34" s="22" t="n">
        <f aca="false">V!B32</f>
        <v>0</v>
      </c>
      <c r="V34" s="22" t="n">
        <f aca="false">W!B32</f>
        <v>0</v>
      </c>
      <c r="W34" s="22" t="n">
        <f aca="false">X!B32</f>
        <v>0</v>
      </c>
      <c r="X34" s="23" t="n">
        <f aca="false">SUM(B34:W34)</f>
        <v>218</v>
      </c>
      <c r="Y34" s="24" t="n">
        <f aca="false">IF(AW34=0,0,X34/AW34)</f>
        <v>36.3333333333333</v>
      </c>
      <c r="Z34" s="25" t="str">
        <f aca="false">A34</f>
        <v>NICK</v>
      </c>
      <c r="AA34" s="16" t="n">
        <f aca="false">IF(B34=0,0,1)</f>
        <v>1</v>
      </c>
      <c r="AB34" s="0" t="n">
        <f aca="false">IF(C34=0,0,1)</f>
        <v>1</v>
      </c>
      <c r="AC34" s="0" t="n">
        <f aca="false">IF(D34=0,0,1)</f>
        <v>1</v>
      </c>
      <c r="AD34" s="0" t="n">
        <f aca="false">IF(E34=0,0,1)</f>
        <v>1</v>
      </c>
      <c r="AE34" s="0" t="n">
        <f aca="false">IF(F34=0,0,1)</f>
        <v>1</v>
      </c>
      <c r="AF34" s="0" t="n">
        <f aca="false">IF(G34=0,0,1)</f>
        <v>1</v>
      </c>
      <c r="AG34" s="0" t="n">
        <f aca="false">IF(H34=0,0,1)</f>
        <v>0</v>
      </c>
      <c r="AH34" s="0" t="n">
        <f aca="false">IF(I34=0,0,1)</f>
        <v>0</v>
      </c>
      <c r="AI34" s="0" t="n">
        <f aca="false">IF(J34=0,0,1)</f>
        <v>0</v>
      </c>
      <c r="AJ34" s="0" t="n">
        <f aca="false">IF(K34=0,0,1)</f>
        <v>0</v>
      </c>
      <c r="AK34" s="0" t="n">
        <f aca="false">IF(L34=0,0,1)</f>
        <v>0</v>
      </c>
      <c r="AL34" s="0" t="n">
        <f aca="false">IF(M34=0,0,1)</f>
        <v>0</v>
      </c>
      <c r="AM34" s="0" t="n">
        <f aca="false">IF(N34=0,0,1)</f>
        <v>0</v>
      </c>
      <c r="AN34" s="0" t="n">
        <f aca="false">IF(O34=0,0,1)</f>
        <v>0</v>
      </c>
      <c r="AO34" s="0" t="n">
        <f aca="false">IF(P34=0,0,1)</f>
        <v>0</v>
      </c>
      <c r="AP34" s="0" t="n">
        <f aca="false">IF(Q34=0,0,1)</f>
        <v>0</v>
      </c>
      <c r="AQ34" s="0" t="n">
        <f aca="false">IF(R34=0,0,1)</f>
        <v>0</v>
      </c>
      <c r="AR34" s="0" t="n">
        <f aca="false">IF(S34=0,0,1)</f>
        <v>0</v>
      </c>
      <c r="AS34" s="0" t="n">
        <f aca="false">IF(T34=0,0,1)</f>
        <v>0</v>
      </c>
      <c r="AT34" s="0" t="n">
        <f aca="false">IF(U34=0,0,1)</f>
        <v>0</v>
      </c>
      <c r="AU34" s="0" t="n">
        <f aca="false">IF(V34=0,0,1)</f>
        <v>0</v>
      </c>
      <c r="AV34" s="0" t="n">
        <f aca="false">IF(W34=0,0,1)</f>
        <v>0</v>
      </c>
      <c r="AW34" s="26" t="n">
        <f aca="false">SUM(AA34:AV34)</f>
        <v>6</v>
      </c>
      <c r="AX34" s="27" t="n">
        <f aca="false">IF(X34=0,0,X34)</f>
        <v>218</v>
      </c>
      <c r="AY34" s="1" t="str">
        <f aca="false">IF(X34=0,0,A34)</f>
        <v>NICK</v>
      </c>
      <c r="AZ34" s="28" t="str">
        <f aca="false">IF(AX34=0,0,A$32)</f>
        <v>RACK PACK</v>
      </c>
      <c r="BA34" s="29" t="n">
        <v>233</v>
      </c>
      <c r="BB34" s="30" t="s">
        <v>102</v>
      </c>
      <c r="BC34" s="31" t="s">
        <v>55</v>
      </c>
      <c r="BD34" s="27"/>
      <c r="BE34" s="26"/>
      <c r="BF34" s="32"/>
      <c r="BG34" s="33"/>
    </row>
    <row r="35" customFormat="false" ht="15" hidden="false" customHeight="false" outlineLevel="0" collapsed="false">
      <c r="A35" s="21" t="str">
        <f aca="false">B!B114</f>
        <v>IAN</v>
      </c>
      <c r="B35" s="22" t="n">
        <f aca="false">C!B33</f>
        <v>41</v>
      </c>
      <c r="C35" s="22" t="n">
        <f aca="false">D!B33</f>
        <v>33</v>
      </c>
      <c r="D35" s="22" t="n">
        <f aca="false">E!B33</f>
        <v>45</v>
      </c>
      <c r="E35" s="22" t="n">
        <f aca="false">F!B33</f>
        <v>41</v>
      </c>
      <c r="F35" s="22" t="n">
        <f aca="false">G!B33</f>
        <v>40</v>
      </c>
      <c r="G35" s="22" t="n">
        <f aca="false">H!B33</f>
        <v>33</v>
      </c>
      <c r="H35" s="22" t="n">
        <f aca="false">I!B33</f>
        <v>0</v>
      </c>
      <c r="I35" s="22" t="n">
        <f aca="false">J!B33</f>
        <v>0</v>
      </c>
      <c r="J35" s="22" t="n">
        <f aca="false">K!B33</f>
        <v>0</v>
      </c>
      <c r="K35" s="22" t="n">
        <f aca="false">L!B33</f>
        <v>0</v>
      </c>
      <c r="L35" s="22" t="n">
        <f aca="false">M!B33</f>
        <v>0</v>
      </c>
      <c r="M35" s="22" t="n">
        <f aca="false">N!B33</f>
        <v>0</v>
      </c>
      <c r="N35" s="22" t="n">
        <f aca="false">O!B33</f>
        <v>0</v>
      </c>
      <c r="O35" s="22" t="n">
        <f aca="false">P!B33</f>
        <v>0</v>
      </c>
      <c r="P35" s="22" t="n">
        <f aca="false">Q!B33</f>
        <v>0</v>
      </c>
      <c r="Q35" s="22" t="n">
        <f aca="false">R!B33</f>
        <v>0</v>
      </c>
      <c r="R35" s="22" t="n">
        <f aca="false">S!B33</f>
        <v>0</v>
      </c>
      <c r="S35" s="22" t="n">
        <f aca="false">T!B33</f>
        <v>0</v>
      </c>
      <c r="T35" s="22" t="n">
        <f aca="false">U!B33</f>
        <v>0</v>
      </c>
      <c r="U35" s="22" t="n">
        <f aca="false">V!B33</f>
        <v>0</v>
      </c>
      <c r="V35" s="22" t="n">
        <f aca="false">W!B33</f>
        <v>0</v>
      </c>
      <c r="W35" s="22" t="n">
        <f aca="false">X!B33</f>
        <v>0</v>
      </c>
      <c r="X35" s="23" t="n">
        <f aca="false">SUM(B35:W35)</f>
        <v>233</v>
      </c>
      <c r="Y35" s="24" t="n">
        <f aca="false">IF(AW35=0,0,X35/AW35)</f>
        <v>38.8333333333333</v>
      </c>
      <c r="Z35" s="25" t="str">
        <f aca="false">A35</f>
        <v>IAN</v>
      </c>
      <c r="AA35" s="16" t="n">
        <f aca="false">IF(B35=0,0,1)</f>
        <v>1</v>
      </c>
      <c r="AB35" s="0" t="n">
        <f aca="false">IF(C35=0,0,1)</f>
        <v>1</v>
      </c>
      <c r="AC35" s="0" t="n">
        <f aca="false">IF(D35=0,0,1)</f>
        <v>1</v>
      </c>
      <c r="AD35" s="0" t="n">
        <f aca="false">IF(E35=0,0,1)</f>
        <v>1</v>
      </c>
      <c r="AE35" s="0" t="n">
        <f aca="false">IF(F35=0,0,1)</f>
        <v>1</v>
      </c>
      <c r="AF35" s="0" t="n">
        <f aca="false">IF(G35=0,0,1)</f>
        <v>1</v>
      </c>
      <c r="AG35" s="0" t="n">
        <f aca="false">IF(H35=0,0,1)</f>
        <v>0</v>
      </c>
      <c r="AH35" s="0" t="n">
        <f aca="false">IF(I35=0,0,1)</f>
        <v>0</v>
      </c>
      <c r="AI35" s="0" t="n">
        <f aca="false">IF(J35=0,0,1)</f>
        <v>0</v>
      </c>
      <c r="AJ35" s="0" t="n">
        <f aca="false">IF(K35=0,0,1)</f>
        <v>0</v>
      </c>
      <c r="AK35" s="0" t="n">
        <f aca="false">IF(L35=0,0,1)</f>
        <v>0</v>
      </c>
      <c r="AL35" s="0" t="n">
        <f aca="false">IF(M35=0,0,1)</f>
        <v>0</v>
      </c>
      <c r="AM35" s="0" t="n">
        <f aca="false">IF(N35=0,0,1)</f>
        <v>0</v>
      </c>
      <c r="AN35" s="0" t="n">
        <f aca="false">IF(O35=0,0,1)</f>
        <v>0</v>
      </c>
      <c r="AO35" s="0" t="n">
        <f aca="false">IF(P35=0,0,1)</f>
        <v>0</v>
      </c>
      <c r="AP35" s="0" t="n">
        <f aca="false">IF(Q35=0,0,1)</f>
        <v>0</v>
      </c>
      <c r="AQ35" s="0" t="n">
        <f aca="false">IF(R35=0,0,1)</f>
        <v>0</v>
      </c>
      <c r="AR35" s="0" t="n">
        <f aca="false">IF(S35=0,0,1)</f>
        <v>0</v>
      </c>
      <c r="AS35" s="0" t="n">
        <f aca="false">IF(T35=0,0,1)</f>
        <v>0</v>
      </c>
      <c r="AT35" s="0" t="n">
        <f aca="false">IF(U35=0,0,1)</f>
        <v>0</v>
      </c>
      <c r="AU35" s="0" t="n">
        <f aca="false">IF(V35=0,0,1)</f>
        <v>0</v>
      </c>
      <c r="AV35" s="0" t="n">
        <f aca="false">IF(W35=0,0,1)</f>
        <v>0</v>
      </c>
      <c r="AW35" s="26" t="n">
        <f aca="false">SUM(AA35:AV35)</f>
        <v>6</v>
      </c>
      <c r="AX35" s="27" t="n">
        <f aca="false">IF(X35=0,0,X35)</f>
        <v>233</v>
      </c>
      <c r="AY35" s="1" t="str">
        <f aca="false">IF(X35=0,0,A35)</f>
        <v>IAN</v>
      </c>
      <c r="AZ35" s="28" t="str">
        <f aca="false">IF(AX35=0,0,A$32)</f>
        <v>RACK PACK</v>
      </c>
      <c r="BA35" s="29" t="n">
        <v>232</v>
      </c>
      <c r="BB35" s="30" t="s">
        <v>103</v>
      </c>
      <c r="BC35" s="31" t="s">
        <v>49</v>
      </c>
      <c r="BD35" s="27"/>
      <c r="BE35" s="26"/>
      <c r="BF35" s="32"/>
      <c r="BG35" s="33"/>
    </row>
    <row r="36" customFormat="false" ht="15" hidden="false" customHeight="false" outlineLevel="0" collapsed="false">
      <c r="A36" s="21" t="str">
        <f aca="false">B!B119</f>
        <v>SCOTT</v>
      </c>
      <c r="B36" s="22" t="n">
        <f aca="false">C!B34</f>
        <v>39</v>
      </c>
      <c r="C36" s="22" t="n">
        <f aca="false">D!B34</f>
        <v>39</v>
      </c>
      <c r="D36" s="22" t="n">
        <f aca="false">E!B34</f>
        <v>35</v>
      </c>
      <c r="E36" s="22" t="n">
        <f aca="false">F!B34</f>
        <v>33</v>
      </c>
      <c r="F36" s="22" t="n">
        <f aca="false">G!B34</f>
        <v>40</v>
      </c>
      <c r="G36" s="22" t="n">
        <f aca="false">H!B34</f>
        <v>47</v>
      </c>
      <c r="H36" s="22" t="n">
        <f aca="false">I!B34</f>
        <v>0</v>
      </c>
      <c r="I36" s="22" t="n">
        <f aca="false">J!B34</f>
        <v>0</v>
      </c>
      <c r="J36" s="22" t="n">
        <f aca="false">K!B34</f>
        <v>0</v>
      </c>
      <c r="K36" s="22" t="n">
        <f aca="false">L!B34</f>
        <v>0</v>
      </c>
      <c r="L36" s="22" t="n">
        <f aca="false">M!B34</f>
        <v>0</v>
      </c>
      <c r="M36" s="22" t="n">
        <f aca="false">N!B34</f>
        <v>0</v>
      </c>
      <c r="N36" s="22" t="n">
        <f aca="false">O!B34</f>
        <v>0</v>
      </c>
      <c r="O36" s="22" t="n">
        <f aca="false">P!B34</f>
        <v>0</v>
      </c>
      <c r="P36" s="22" t="n">
        <f aca="false">Q!B34</f>
        <v>0</v>
      </c>
      <c r="Q36" s="22" t="n">
        <f aca="false">R!B34</f>
        <v>0</v>
      </c>
      <c r="R36" s="22" t="n">
        <f aca="false">S!B34</f>
        <v>0</v>
      </c>
      <c r="S36" s="22" t="n">
        <f aca="false">T!B34</f>
        <v>0</v>
      </c>
      <c r="T36" s="22" t="n">
        <f aca="false">U!B34</f>
        <v>0</v>
      </c>
      <c r="U36" s="22" t="n">
        <f aca="false">V!B34</f>
        <v>0</v>
      </c>
      <c r="V36" s="22" t="n">
        <f aca="false">W!B34</f>
        <v>0</v>
      </c>
      <c r="W36" s="22" t="n">
        <f aca="false">X!B34</f>
        <v>0</v>
      </c>
      <c r="X36" s="23" t="n">
        <f aca="false">SUM(B36:W36)</f>
        <v>233</v>
      </c>
      <c r="Y36" s="24" t="n">
        <f aca="false">IF(AW36=0,0,X36/AW36)</f>
        <v>38.8333333333333</v>
      </c>
      <c r="Z36" s="25" t="str">
        <f aca="false">A36</f>
        <v>SCOTT</v>
      </c>
      <c r="AA36" s="16" t="n">
        <f aca="false">IF(B36=0,0,1)</f>
        <v>1</v>
      </c>
      <c r="AB36" s="0" t="n">
        <f aca="false">IF(C36=0,0,1)</f>
        <v>1</v>
      </c>
      <c r="AC36" s="0" t="n">
        <f aca="false">IF(D36=0,0,1)</f>
        <v>1</v>
      </c>
      <c r="AD36" s="0" t="n">
        <f aca="false">IF(E36=0,0,1)</f>
        <v>1</v>
      </c>
      <c r="AE36" s="0" t="n">
        <f aca="false">IF(F36=0,0,1)</f>
        <v>1</v>
      </c>
      <c r="AF36" s="0" t="n">
        <f aca="false">IF(G36=0,0,1)</f>
        <v>1</v>
      </c>
      <c r="AG36" s="0" t="n">
        <f aca="false">IF(H36=0,0,1)</f>
        <v>0</v>
      </c>
      <c r="AH36" s="0" t="n">
        <f aca="false">IF(I36=0,0,1)</f>
        <v>0</v>
      </c>
      <c r="AI36" s="0" t="n">
        <f aca="false">IF(J36=0,0,1)</f>
        <v>0</v>
      </c>
      <c r="AJ36" s="0" t="n">
        <f aca="false">IF(K36=0,0,1)</f>
        <v>0</v>
      </c>
      <c r="AK36" s="0" t="n">
        <f aca="false">IF(L36=0,0,1)</f>
        <v>0</v>
      </c>
      <c r="AL36" s="0" t="n">
        <f aca="false">IF(M36=0,0,1)</f>
        <v>0</v>
      </c>
      <c r="AM36" s="0" t="n">
        <f aca="false">IF(N36=0,0,1)</f>
        <v>0</v>
      </c>
      <c r="AN36" s="0" t="n">
        <f aca="false">IF(O36=0,0,1)</f>
        <v>0</v>
      </c>
      <c r="AO36" s="0" t="n">
        <f aca="false">IF(P36=0,0,1)</f>
        <v>0</v>
      </c>
      <c r="AP36" s="0" t="n">
        <f aca="false">IF(Q36=0,0,1)</f>
        <v>0</v>
      </c>
      <c r="AQ36" s="0" t="n">
        <f aca="false">IF(R36=0,0,1)</f>
        <v>0</v>
      </c>
      <c r="AR36" s="0" t="n">
        <f aca="false">IF(S36=0,0,1)</f>
        <v>0</v>
      </c>
      <c r="AS36" s="0" t="n">
        <f aca="false">IF(T36=0,0,1)</f>
        <v>0</v>
      </c>
      <c r="AT36" s="0" t="n">
        <f aca="false">IF(U36=0,0,1)</f>
        <v>0</v>
      </c>
      <c r="AU36" s="0" t="n">
        <f aca="false">IF(V36=0,0,1)</f>
        <v>0</v>
      </c>
      <c r="AV36" s="0" t="n">
        <f aca="false">IF(W36=0,0,1)</f>
        <v>0</v>
      </c>
      <c r="AW36" s="26" t="n">
        <f aca="false">SUM(AA36:AV36)</f>
        <v>6</v>
      </c>
      <c r="AX36" s="27" t="n">
        <f aca="false">IF(X36=0,0,X36)</f>
        <v>233</v>
      </c>
      <c r="AY36" s="1" t="str">
        <f aca="false">IF(X36=0,0,A36)</f>
        <v>SCOTT</v>
      </c>
      <c r="AZ36" s="28" t="str">
        <f aca="false">IF(AX36=0,0,A$32)</f>
        <v>RACK PACK</v>
      </c>
      <c r="BA36" s="29" t="n">
        <v>229</v>
      </c>
      <c r="BB36" s="30" t="s">
        <v>104</v>
      </c>
      <c r="BC36" s="31" t="s">
        <v>46</v>
      </c>
      <c r="BD36" s="27"/>
      <c r="BE36" s="26"/>
      <c r="BF36" s="32"/>
      <c r="BG36" s="33"/>
    </row>
    <row r="37" customFormat="false" ht="15" hidden="false" customHeight="false" outlineLevel="0" collapsed="false">
      <c r="A37" s="21" t="str">
        <f aca="false">B!B124</f>
        <v>TIM</v>
      </c>
      <c r="B37" s="22" t="n">
        <f aca="false">C!B35</f>
        <v>34</v>
      </c>
      <c r="C37" s="22" t="n">
        <f aca="false">D!B35</f>
        <v>37</v>
      </c>
      <c r="D37" s="22" t="n">
        <f aca="false">E!B35</f>
        <v>34</v>
      </c>
      <c r="E37" s="22" t="n">
        <f aca="false">F!B35</f>
        <v>42</v>
      </c>
      <c r="F37" s="22" t="n">
        <f aca="false">G!B35</f>
        <v>40</v>
      </c>
      <c r="G37" s="22" t="n">
        <f aca="false">H!B35</f>
        <v>50</v>
      </c>
      <c r="H37" s="22" t="n">
        <f aca="false">I!B35</f>
        <v>0</v>
      </c>
      <c r="I37" s="22" t="n">
        <f aca="false">J!B35</f>
        <v>0</v>
      </c>
      <c r="J37" s="22" t="n">
        <f aca="false">K!B35</f>
        <v>0</v>
      </c>
      <c r="K37" s="22" t="n">
        <f aca="false">L!B35</f>
        <v>0</v>
      </c>
      <c r="L37" s="22" t="n">
        <f aca="false">M!B35</f>
        <v>0</v>
      </c>
      <c r="M37" s="22" t="n">
        <f aca="false">N!B35</f>
        <v>0</v>
      </c>
      <c r="N37" s="22" t="n">
        <f aca="false">O!B35</f>
        <v>0</v>
      </c>
      <c r="O37" s="22" t="n">
        <f aca="false">P!B35</f>
        <v>0</v>
      </c>
      <c r="P37" s="22" t="n">
        <f aca="false">Q!B35</f>
        <v>0</v>
      </c>
      <c r="Q37" s="22" t="n">
        <f aca="false">R!B35</f>
        <v>0</v>
      </c>
      <c r="R37" s="22" t="n">
        <f aca="false">S!B35</f>
        <v>0</v>
      </c>
      <c r="S37" s="22" t="n">
        <f aca="false">T!B35</f>
        <v>0</v>
      </c>
      <c r="T37" s="22" t="n">
        <f aca="false">U!B35</f>
        <v>0</v>
      </c>
      <c r="U37" s="22" t="n">
        <f aca="false">V!B35</f>
        <v>0</v>
      </c>
      <c r="V37" s="22" t="n">
        <f aca="false">W!B35</f>
        <v>0</v>
      </c>
      <c r="W37" s="22" t="n">
        <f aca="false">X!B35</f>
        <v>0</v>
      </c>
      <c r="X37" s="23" t="n">
        <f aca="false">SUM(B37:W37)</f>
        <v>237</v>
      </c>
      <c r="Y37" s="24" t="n">
        <f aca="false">IF(AW37=0,0,X37/AW37)</f>
        <v>39.5</v>
      </c>
      <c r="Z37" s="25" t="str">
        <f aca="false">A37</f>
        <v>TIM</v>
      </c>
      <c r="AA37" s="16" t="n">
        <f aca="false">IF(B37=0,0,1)</f>
        <v>1</v>
      </c>
      <c r="AB37" s="0" t="n">
        <f aca="false">IF(C37=0,0,1)</f>
        <v>1</v>
      </c>
      <c r="AC37" s="0" t="n">
        <f aca="false">IF(D37=0,0,1)</f>
        <v>1</v>
      </c>
      <c r="AD37" s="0" t="n">
        <f aca="false">IF(E37=0,0,1)</f>
        <v>1</v>
      </c>
      <c r="AE37" s="0" t="n">
        <f aca="false">IF(F37=0,0,1)</f>
        <v>1</v>
      </c>
      <c r="AF37" s="0" t="n">
        <f aca="false">IF(G37=0,0,1)</f>
        <v>1</v>
      </c>
      <c r="AG37" s="0" t="n">
        <f aca="false">IF(H37=0,0,1)</f>
        <v>0</v>
      </c>
      <c r="AH37" s="0" t="n">
        <f aca="false">IF(I37=0,0,1)</f>
        <v>0</v>
      </c>
      <c r="AI37" s="0" t="n">
        <f aca="false">IF(J37=0,0,1)</f>
        <v>0</v>
      </c>
      <c r="AJ37" s="0" t="n">
        <f aca="false">IF(K37=0,0,1)</f>
        <v>0</v>
      </c>
      <c r="AK37" s="0" t="n">
        <f aca="false">IF(L37=0,0,1)</f>
        <v>0</v>
      </c>
      <c r="AL37" s="0" t="n">
        <f aca="false">IF(M37=0,0,1)</f>
        <v>0</v>
      </c>
      <c r="AM37" s="0" t="n">
        <f aca="false">IF(N37=0,0,1)</f>
        <v>0</v>
      </c>
      <c r="AN37" s="0" t="n">
        <f aca="false">IF(O37=0,0,1)</f>
        <v>0</v>
      </c>
      <c r="AO37" s="0" t="n">
        <f aca="false">IF(P37=0,0,1)</f>
        <v>0</v>
      </c>
      <c r="AP37" s="0" t="n">
        <f aca="false">IF(Q37=0,0,1)</f>
        <v>0</v>
      </c>
      <c r="AQ37" s="0" t="n">
        <f aca="false">IF(R37=0,0,1)</f>
        <v>0</v>
      </c>
      <c r="AR37" s="0" t="n">
        <f aca="false">IF(S37=0,0,1)</f>
        <v>0</v>
      </c>
      <c r="AS37" s="0" t="n">
        <f aca="false">IF(T37=0,0,1)</f>
        <v>0</v>
      </c>
      <c r="AT37" s="0" t="n">
        <f aca="false">IF(U37=0,0,1)</f>
        <v>0</v>
      </c>
      <c r="AU37" s="0" t="n">
        <f aca="false">IF(V37=0,0,1)</f>
        <v>0</v>
      </c>
      <c r="AV37" s="0" t="n">
        <f aca="false">IF(W37=0,0,1)</f>
        <v>0</v>
      </c>
      <c r="AW37" s="26" t="n">
        <f aca="false">SUM(AA37:AV37)</f>
        <v>6</v>
      </c>
      <c r="AX37" s="27" t="n">
        <f aca="false">IF(X37=0,0,X37)</f>
        <v>237</v>
      </c>
      <c r="AY37" s="1" t="str">
        <f aca="false">IF(X37=0,0,A37)</f>
        <v>TIM</v>
      </c>
      <c r="AZ37" s="28" t="str">
        <f aca="false">IF(AX37=0,0,A$32)</f>
        <v>RACK PACK</v>
      </c>
      <c r="BA37" s="53" t="n">
        <v>227</v>
      </c>
      <c r="BB37" s="30" t="s">
        <v>105</v>
      </c>
      <c r="BC37" s="30" t="s">
        <v>52</v>
      </c>
      <c r="BD37" s="27"/>
      <c r="BE37" s="26"/>
      <c r="BF37" s="32"/>
      <c r="BG37" s="33"/>
    </row>
    <row r="38" customFormat="false" ht="15" hidden="false" customHeight="false" outlineLevel="0" collapsed="false">
      <c r="A38" s="21" t="n">
        <f aca="false">B!B129</f>
        <v>0</v>
      </c>
      <c r="B38" s="22" t="n">
        <f aca="false">C!B36</f>
        <v>0</v>
      </c>
      <c r="C38" s="22" t="n">
        <f aca="false">D!B36</f>
        <v>0</v>
      </c>
      <c r="D38" s="22" t="n">
        <f aca="false">E!B36</f>
        <v>0</v>
      </c>
      <c r="E38" s="22" t="n">
        <f aca="false">F!B36</f>
        <v>0</v>
      </c>
      <c r="F38" s="22" t="n">
        <f aca="false">G!B36</f>
        <v>0</v>
      </c>
      <c r="G38" s="22" t="n">
        <f aca="false">H!B36</f>
        <v>0</v>
      </c>
      <c r="H38" s="22" t="n">
        <f aca="false">I!B36</f>
        <v>0</v>
      </c>
      <c r="I38" s="22" t="n">
        <f aca="false">J!B36</f>
        <v>0</v>
      </c>
      <c r="J38" s="22" t="n">
        <f aca="false">K!B36</f>
        <v>0</v>
      </c>
      <c r="K38" s="22" t="n">
        <f aca="false">L!B36</f>
        <v>0</v>
      </c>
      <c r="L38" s="22" t="n">
        <f aca="false">M!B36</f>
        <v>0</v>
      </c>
      <c r="M38" s="22" t="n">
        <f aca="false">N!B36</f>
        <v>0</v>
      </c>
      <c r="N38" s="22" t="n">
        <f aca="false">O!B36</f>
        <v>0</v>
      </c>
      <c r="O38" s="22" t="n">
        <f aca="false">P!B36</f>
        <v>0</v>
      </c>
      <c r="P38" s="22" t="n">
        <f aca="false">Q!B36</f>
        <v>0</v>
      </c>
      <c r="Q38" s="22" t="n">
        <f aca="false">R!B36</f>
        <v>0</v>
      </c>
      <c r="R38" s="22" t="n">
        <f aca="false">S!B36</f>
        <v>0</v>
      </c>
      <c r="S38" s="22" t="n">
        <f aca="false">T!B36</f>
        <v>0</v>
      </c>
      <c r="T38" s="22" t="n">
        <f aca="false">U!B36</f>
        <v>0</v>
      </c>
      <c r="U38" s="22" t="n">
        <f aca="false">V!B36</f>
        <v>0</v>
      </c>
      <c r="V38" s="22" t="n">
        <f aca="false">W!B36</f>
        <v>0</v>
      </c>
      <c r="W38" s="22" t="n">
        <f aca="false">X!B36</f>
        <v>0</v>
      </c>
      <c r="X38" s="23" t="n">
        <f aca="false">SUM(B38:W38)</f>
        <v>0</v>
      </c>
      <c r="Y38" s="24" t="n">
        <f aca="false">IF(AW38=0,0,X38/AW38)</f>
        <v>0</v>
      </c>
      <c r="Z38" s="25" t="n">
        <f aca="false">A38</f>
        <v>0</v>
      </c>
      <c r="AA38" s="16" t="n">
        <f aca="false">IF(B38=0,0,1)</f>
        <v>0</v>
      </c>
      <c r="AB38" s="0" t="n">
        <f aca="false">IF(C38=0,0,1)</f>
        <v>0</v>
      </c>
      <c r="AC38" s="0" t="n">
        <f aca="false">IF(D38=0,0,1)</f>
        <v>0</v>
      </c>
      <c r="AD38" s="0" t="n">
        <f aca="false">IF(E38=0,0,1)</f>
        <v>0</v>
      </c>
      <c r="AE38" s="0" t="n">
        <f aca="false">IF(F38=0,0,1)</f>
        <v>0</v>
      </c>
      <c r="AF38" s="0" t="n">
        <f aca="false">IF(G38=0,0,1)</f>
        <v>0</v>
      </c>
      <c r="AG38" s="0" t="n">
        <f aca="false">IF(H38=0,0,1)</f>
        <v>0</v>
      </c>
      <c r="AH38" s="0" t="n">
        <f aca="false">IF(I38=0,0,1)</f>
        <v>0</v>
      </c>
      <c r="AI38" s="0" t="n">
        <f aca="false">IF(J38=0,0,1)</f>
        <v>0</v>
      </c>
      <c r="AJ38" s="0" t="n">
        <f aca="false">IF(K38=0,0,1)</f>
        <v>0</v>
      </c>
      <c r="AK38" s="0" t="n">
        <f aca="false">IF(L38=0,0,1)</f>
        <v>0</v>
      </c>
      <c r="AL38" s="0" t="n">
        <f aca="false">IF(M38=0,0,1)</f>
        <v>0</v>
      </c>
      <c r="AM38" s="0" t="n">
        <f aca="false">IF(N38=0,0,1)</f>
        <v>0</v>
      </c>
      <c r="AN38" s="0" t="n">
        <f aca="false">IF(O38=0,0,1)</f>
        <v>0</v>
      </c>
      <c r="AO38" s="0" t="n">
        <f aca="false">IF(P38=0,0,1)</f>
        <v>0</v>
      </c>
      <c r="AP38" s="0" t="n">
        <f aca="false">IF(Q38=0,0,1)</f>
        <v>0</v>
      </c>
      <c r="AQ38" s="0" t="n">
        <f aca="false">IF(R38=0,0,1)</f>
        <v>0</v>
      </c>
      <c r="AR38" s="0" t="n">
        <f aca="false">IF(S38=0,0,1)</f>
        <v>0</v>
      </c>
      <c r="AS38" s="0" t="n">
        <f aca="false">IF(T38=0,0,1)</f>
        <v>0</v>
      </c>
      <c r="AT38" s="0" t="n">
        <f aca="false">IF(U38=0,0,1)</f>
        <v>0</v>
      </c>
      <c r="AU38" s="0" t="n">
        <f aca="false">IF(V38=0,0,1)</f>
        <v>0</v>
      </c>
      <c r="AV38" s="0" t="n">
        <f aca="false">IF(W38=0,0,1)</f>
        <v>0</v>
      </c>
      <c r="AW38" s="26" t="n">
        <f aca="false">SUM(AA38:AV38)</f>
        <v>0</v>
      </c>
      <c r="AX38" s="27" t="n">
        <f aca="false">IF(X38=0,0,X38)</f>
        <v>0</v>
      </c>
      <c r="AY38" s="1" t="n">
        <f aca="false">IF(X38=0,0,A38)</f>
        <v>0</v>
      </c>
      <c r="AZ38" s="28" t="n">
        <f aca="false">IF(AX38=0,0,A$32)</f>
        <v>0</v>
      </c>
      <c r="BA38" s="29" t="n">
        <v>226</v>
      </c>
      <c r="BB38" s="30" t="s">
        <v>106</v>
      </c>
      <c r="BC38" s="31" t="s">
        <v>58</v>
      </c>
      <c r="BD38" s="27"/>
      <c r="BE38" s="26"/>
      <c r="BF38" s="32"/>
      <c r="BG38" s="33"/>
    </row>
    <row r="39" customFormat="false" ht="15" hidden="false" customHeight="false" outlineLevel="0" collapsed="false">
      <c r="A39" s="21" t="n">
        <f aca="false">B!B134</f>
        <v>0</v>
      </c>
      <c r="B39" s="22" t="n">
        <f aca="false">C!B37</f>
        <v>0</v>
      </c>
      <c r="C39" s="22" t="n">
        <f aca="false">D!B37</f>
        <v>0</v>
      </c>
      <c r="D39" s="22" t="n">
        <f aca="false">E!B37</f>
        <v>0</v>
      </c>
      <c r="E39" s="22" t="n">
        <f aca="false">F!B37</f>
        <v>0</v>
      </c>
      <c r="F39" s="22" t="n">
        <f aca="false">G!B37</f>
        <v>0</v>
      </c>
      <c r="G39" s="22" t="n">
        <f aca="false">H!B37</f>
        <v>0</v>
      </c>
      <c r="H39" s="22" t="n">
        <f aca="false">I!B37</f>
        <v>0</v>
      </c>
      <c r="I39" s="22" t="n">
        <f aca="false">J!B37</f>
        <v>0</v>
      </c>
      <c r="J39" s="22" t="n">
        <f aca="false">K!B37</f>
        <v>0</v>
      </c>
      <c r="K39" s="22" t="n">
        <f aca="false">L!B37</f>
        <v>0</v>
      </c>
      <c r="L39" s="22" t="n">
        <f aca="false">M!B37</f>
        <v>0</v>
      </c>
      <c r="M39" s="22" t="n">
        <f aca="false">N!B37</f>
        <v>0</v>
      </c>
      <c r="N39" s="22" t="n">
        <f aca="false">O!B37</f>
        <v>0</v>
      </c>
      <c r="O39" s="22" t="n">
        <f aca="false">P!B37</f>
        <v>0</v>
      </c>
      <c r="P39" s="22" t="n">
        <f aca="false">Q!B37</f>
        <v>0</v>
      </c>
      <c r="Q39" s="22" t="n">
        <f aca="false">R!B37</f>
        <v>0</v>
      </c>
      <c r="R39" s="22" t="n">
        <f aca="false">S!B37</f>
        <v>0</v>
      </c>
      <c r="S39" s="22" t="n">
        <f aca="false">T!B37</f>
        <v>0</v>
      </c>
      <c r="T39" s="22" t="n">
        <f aca="false">U!B37</f>
        <v>0</v>
      </c>
      <c r="U39" s="22" t="n">
        <f aca="false">V!B37</f>
        <v>0</v>
      </c>
      <c r="V39" s="22" t="n">
        <f aca="false">W!B37</f>
        <v>0</v>
      </c>
      <c r="W39" s="22" t="n">
        <f aca="false">X!B37</f>
        <v>0</v>
      </c>
      <c r="X39" s="23" t="n">
        <f aca="false">SUM(B39:W39)</f>
        <v>0</v>
      </c>
      <c r="Y39" s="24" t="n">
        <f aca="false">IF(AW39=0,0,X39/AW39)</f>
        <v>0</v>
      </c>
      <c r="Z39" s="25" t="n">
        <f aca="false">A39</f>
        <v>0</v>
      </c>
      <c r="AA39" s="16" t="n">
        <f aca="false">IF(B39=0,0,1)</f>
        <v>0</v>
      </c>
      <c r="AB39" s="0" t="n">
        <f aca="false">IF(C39=0,0,1)</f>
        <v>0</v>
      </c>
      <c r="AC39" s="0" t="n">
        <f aca="false">IF(D39=0,0,1)</f>
        <v>0</v>
      </c>
      <c r="AD39" s="0" t="n">
        <f aca="false">IF(E39=0,0,1)</f>
        <v>0</v>
      </c>
      <c r="AE39" s="0" t="n">
        <f aca="false">IF(F39=0,0,1)</f>
        <v>0</v>
      </c>
      <c r="AF39" s="0" t="n">
        <f aca="false">IF(G39=0,0,1)</f>
        <v>0</v>
      </c>
      <c r="AG39" s="0" t="n">
        <f aca="false">IF(H39=0,0,1)</f>
        <v>0</v>
      </c>
      <c r="AH39" s="0" t="n">
        <f aca="false">IF(I39=0,0,1)</f>
        <v>0</v>
      </c>
      <c r="AI39" s="0" t="n">
        <f aca="false">IF(J39=0,0,1)</f>
        <v>0</v>
      </c>
      <c r="AJ39" s="0" t="n">
        <f aca="false">IF(K39=0,0,1)</f>
        <v>0</v>
      </c>
      <c r="AK39" s="0" t="n">
        <f aca="false">IF(L39=0,0,1)</f>
        <v>0</v>
      </c>
      <c r="AL39" s="0" t="n">
        <f aca="false">IF(M39=0,0,1)</f>
        <v>0</v>
      </c>
      <c r="AM39" s="0" t="n">
        <f aca="false">IF(N39=0,0,1)</f>
        <v>0</v>
      </c>
      <c r="AN39" s="0" t="n">
        <f aca="false">IF(O39=0,0,1)</f>
        <v>0</v>
      </c>
      <c r="AO39" s="0" t="n">
        <f aca="false">IF(P39=0,0,1)</f>
        <v>0</v>
      </c>
      <c r="AP39" s="0" t="n">
        <f aca="false">IF(Q39=0,0,1)</f>
        <v>0</v>
      </c>
      <c r="AQ39" s="0" t="n">
        <f aca="false">IF(R39=0,0,1)</f>
        <v>0</v>
      </c>
      <c r="AR39" s="0" t="n">
        <f aca="false">IF(S39=0,0,1)</f>
        <v>0</v>
      </c>
      <c r="AS39" s="0" t="n">
        <f aca="false">IF(T39=0,0,1)</f>
        <v>0</v>
      </c>
      <c r="AT39" s="0" t="n">
        <f aca="false">IF(U39=0,0,1)</f>
        <v>0</v>
      </c>
      <c r="AU39" s="0" t="n">
        <f aca="false">IF(V39=0,0,1)</f>
        <v>0</v>
      </c>
      <c r="AV39" s="0" t="n">
        <f aca="false">IF(W39=0,0,1)</f>
        <v>0</v>
      </c>
      <c r="AW39" s="26" t="n">
        <f aca="false">SUM(AA39:AV39)</f>
        <v>0</v>
      </c>
      <c r="AX39" s="27" t="n">
        <f aca="false">IF(X39=0,0,X39)</f>
        <v>0</v>
      </c>
      <c r="AY39" s="1" t="n">
        <f aca="false">IF(X39=0,0,A39)</f>
        <v>0</v>
      </c>
      <c r="AZ39" s="28" t="n">
        <f aca="false">IF(AX39=0,0,A$32)</f>
        <v>0</v>
      </c>
      <c r="BA39" s="29" t="n">
        <v>225</v>
      </c>
      <c r="BB39" s="30" t="s">
        <v>107</v>
      </c>
      <c r="BC39" s="31" t="s">
        <v>62</v>
      </c>
      <c r="BD39" s="27"/>
      <c r="BE39" s="26"/>
      <c r="BF39" s="32"/>
      <c r="BG39" s="33"/>
    </row>
    <row r="40" customFormat="false" ht="15" hidden="false" customHeight="false" outlineLevel="0" collapsed="false">
      <c r="A40" s="16" t="n">
        <f aca="false">B!B139</f>
        <v>0</v>
      </c>
      <c r="B40" s="22" t="n">
        <f aca="false">C!B38</f>
        <v>0</v>
      </c>
      <c r="C40" s="22" t="n">
        <f aca="false">D!B38</f>
        <v>0</v>
      </c>
      <c r="D40" s="22" t="n">
        <f aca="false">E!B38</f>
        <v>0</v>
      </c>
      <c r="E40" s="22" t="n">
        <f aca="false">F!B38</f>
        <v>0</v>
      </c>
      <c r="F40" s="22" t="n">
        <f aca="false">G!B38</f>
        <v>0</v>
      </c>
      <c r="G40" s="22" t="n">
        <f aca="false">H!B38</f>
        <v>0</v>
      </c>
      <c r="H40" s="22" t="n">
        <f aca="false">I!B38</f>
        <v>0</v>
      </c>
      <c r="I40" s="22" t="n">
        <f aca="false">J!B38</f>
        <v>0</v>
      </c>
      <c r="J40" s="22" t="n">
        <f aca="false">K!B38</f>
        <v>0</v>
      </c>
      <c r="K40" s="22" t="n">
        <f aca="false">L!B38</f>
        <v>0</v>
      </c>
      <c r="L40" s="22" t="n">
        <f aca="false">M!B38</f>
        <v>0</v>
      </c>
      <c r="M40" s="22" t="n">
        <f aca="false">N!B38</f>
        <v>0</v>
      </c>
      <c r="N40" s="22" t="n">
        <f aca="false">O!B38</f>
        <v>0</v>
      </c>
      <c r="O40" s="22" t="n">
        <f aca="false">P!B38</f>
        <v>0</v>
      </c>
      <c r="P40" s="22" t="n">
        <f aca="false">Q!B38</f>
        <v>0</v>
      </c>
      <c r="Q40" s="22" t="n">
        <f aca="false">R!B38</f>
        <v>0</v>
      </c>
      <c r="R40" s="22" t="n">
        <f aca="false">S!B38</f>
        <v>0</v>
      </c>
      <c r="S40" s="22" t="n">
        <f aca="false">T!B38</f>
        <v>0</v>
      </c>
      <c r="T40" s="22" t="n">
        <f aca="false">U!B38</f>
        <v>0</v>
      </c>
      <c r="U40" s="22" t="n">
        <f aca="false">V!B38</f>
        <v>0</v>
      </c>
      <c r="V40" s="22" t="n">
        <f aca="false">W!B38</f>
        <v>0</v>
      </c>
      <c r="W40" s="22" t="n">
        <f aca="false">X!B38</f>
        <v>0</v>
      </c>
      <c r="X40" s="23" t="n">
        <f aca="false">SUM(B40:W40)</f>
        <v>0</v>
      </c>
      <c r="Y40" s="24" t="n">
        <f aca="false">IF(AW40=0,0,X40/AW40)</f>
        <v>0</v>
      </c>
      <c r="Z40" s="25" t="n">
        <f aca="false">A40</f>
        <v>0</v>
      </c>
      <c r="AA40" s="16" t="n">
        <f aca="false">IF(B40=0,0,1)</f>
        <v>0</v>
      </c>
      <c r="AB40" s="0" t="n">
        <f aca="false">IF(C40=0,0,1)</f>
        <v>0</v>
      </c>
      <c r="AC40" s="0" t="n">
        <f aca="false">IF(D40=0,0,1)</f>
        <v>0</v>
      </c>
      <c r="AD40" s="0" t="n">
        <f aca="false">IF(E40=0,0,1)</f>
        <v>0</v>
      </c>
      <c r="AE40" s="0" t="n">
        <f aca="false">IF(F40=0,0,1)</f>
        <v>0</v>
      </c>
      <c r="AF40" s="0" t="n">
        <f aca="false">IF(G40=0,0,1)</f>
        <v>0</v>
      </c>
      <c r="AG40" s="0" t="n">
        <f aca="false">IF(H40=0,0,1)</f>
        <v>0</v>
      </c>
      <c r="AH40" s="0" t="n">
        <f aca="false">IF(I40=0,0,1)</f>
        <v>0</v>
      </c>
      <c r="AI40" s="0" t="n">
        <f aca="false">IF(J40=0,0,1)</f>
        <v>0</v>
      </c>
      <c r="AJ40" s="0" t="n">
        <f aca="false">IF(K40=0,0,1)</f>
        <v>0</v>
      </c>
      <c r="AK40" s="0" t="n">
        <f aca="false">IF(L40=0,0,1)</f>
        <v>0</v>
      </c>
      <c r="AL40" s="0" t="n">
        <f aca="false">IF(M40=0,0,1)</f>
        <v>0</v>
      </c>
      <c r="AM40" s="0" t="n">
        <f aca="false">IF(N40=0,0,1)</f>
        <v>0</v>
      </c>
      <c r="AN40" s="0" t="n">
        <f aca="false">IF(O40=0,0,1)</f>
        <v>0</v>
      </c>
      <c r="AO40" s="0" t="n">
        <f aca="false">IF(P40=0,0,1)</f>
        <v>0</v>
      </c>
      <c r="AP40" s="0" t="n">
        <f aca="false">IF(Q40=0,0,1)</f>
        <v>0</v>
      </c>
      <c r="AQ40" s="0" t="n">
        <f aca="false">IF(R40=0,0,1)</f>
        <v>0</v>
      </c>
      <c r="AR40" s="0" t="n">
        <f aca="false">IF(S40=0,0,1)</f>
        <v>0</v>
      </c>
      <c r="AS40" s="0" t="n">
        <f aca="false">IF(T40=0,0,1)</f>
        <v>0</v>
      </c>
      <c r="AT40" s="0" t="n">
        <f aca="false">IF(U40=0,0,1)</f>
        <v>0</v>
      </c>
      <c r="AU40" s="0" t="n">
        <f aca="false">IF(V40=0,0,1)</f>
        <v>0</v>
      </c>
      <c r="AV40" s="0" t="n">
        <f aca="false">IF(W40=0,0,1)</f>
        <v>0</v>
      </c>
      <c r="AW40" s="26" t="n">
        <f aca="false">SUM(AA40:AV40)</f>
        <v>0</v>
      </c>
      <c r="AX40" s="27" t="n">
        <f aca="false">IF(X40=0,0,X40)</f>
        <v>0</v>
      </c>
      <c r="AY40" s="1" t="n">
        <f aca="false">IF(X40=0,0,A40)</f>
        <v>0</v>
      </c>
      <c r="AZ40" s="28" t="n">
        <f aca="false">IF(AX40=0,0,A$32)</f>
        <v>0</v>
      </c>
      <c r="BA40" s="29" t="n">
        <v>224</v>
      </c>
      <c r="BB40" s="30" t="s">
        <v>108</v>
      </c>
      <c r="BC40" s="31" t="s">
        <v>62</v>
      </c>
      <c r="BD40" s="27"/>
      <c r="BE40" s="26"/>
      <c r="BF40" s="32"/>
      <c r="BG40" s="33"/>
    </row>
    <row r="41" customFormat="false" ht="15" hidden="false" customHeight="false" outlineLevel="0" collapsed="false">
      <c r="A41" s="38" t="s">
        <v>60</v>
      </c>
      <c r="B41" s="39" t="n">
        <f aca="false">SUM(B33:B40)</f>
        <v>202</v>
      </c>
      <c r="C41" s="39" t="n">
        <f aca="false">SUM(C33:C40)</f>
        <v>179</v>
      </c>
      <c r="D41" s="39" t="n">
        <f aca="false">SUM(D33:D40)</f>
        <v>189</v>
      </c>
      <c r="E41" s="39" t="n">
        <f aca="false">SUM(E33:E40)</f>
        <v>197</v>
      </c>
      <c r="F41" s="39" t="n">
        <f aca="false">SUM(F33:F40)</f>
        <v>200</v>
      </c>
      <c r="G41" s="39" t="n">
        <f aca="false">SUM(G33:G40)</f>
        <v>196</v>
      </c>
      <c r="H41" s="39" t="n">
        <f aca="false">SUM(H33:H40)</f>
        <v>0</v>
      </c>
      <c r="I41" s="39" t="n">
        <f aca="false">SUM(I33:I40)</f>
        <v>0</v>
      </c>
      <c r="J41" s="39" t="n">
        <f aca="false">SUM(J33:J40)</f>
        <v>0</v>
      </c>
      <c r="K41" s="39" t="n">
        <f aca="false">SUM(K33:K40)</f>
        <v>0</v>
      </c>
      <c r="L41" s="39" t="n">
        <f aca="false">SUM(L33:L40)</f>
        <v>0</v>
      </c>
      <c r="M41" s="39" t="n">
        <f aca="false">SUM(M33:M40)</f>
        <v>0</v>
      </c>
      <c r="N41" s="39" t="n">
        <f aca="false">SUM(N33:N40)</f>
        <v>0</v>
      </c>
      <c r="O41" s="39" t="n">
        <f aca="false">SUM(O33:O40)</f>
        <v>0</v>
      </c>
      <c r="P41" s="39" t="n">
        <f aca="false">SUM(P33:P40)</f>
        <v>0</v>
      </c>
      <c r="Q41" s="39" t="n">
        <f aca="false">SUM(Q33:Q40)</f>
        <v>0</v>
      </c>
      <c r="R41" s="39" t="n">
        <f aca="false">SUM(R33:R40)</f>
        <v>0</v>
      </c>
      <c r="S41" s="39" t="n">
        <f aca="false">SUM(S33:S40)</f>
        <v>0</v>
      </c>
      <c r="T41" s="39" t="n">
        <f aca="false">SUM(T33:T40)</f>
        <v>0</v>
      </c>
      <c r="U41" s="39" t="n">
        <f aca="false">SUM(U33:U40)</f>
        <v>0</v>
      </c>
      <c r="V41" s="39" t="n">
        <f aca="false">SUM(V33:V40)</f>
        <v>0</v>
      </c>
      <c r="W41" s="39" t="n">
        <f aca="false">SUM(W33:W40)</f>
        <v>0</v>
      </c>
      <c r="X41" s="40" t="n">
        <f aca="false">SUM(B41:W41)</f>
        <v>1163</v>
      </c>
      <c r="Y41" s="41" t="n">
        <f aca="false">IF(X41=0,0,X41/AW41)</f>
        <v>193.833333333333</v>
      </c>
      <c r="Z41" s="25"/>
      <c r="AA41" s="42" t="n">
        <f aca="false">SUM(AA33:AA40)</f>
        <v>5</v>
      </c>
      <c r="AB41" s="43" t="n">
        <f aca="false">SUM(AB33:AB40)</f>
        <v>5</v>
      </c>
      <c r="AC41" s="43" t="n">
        <f aca="false">SUM(AC33:AC40)</f>
        <v>5</v>
      </c>
      <c r="AD41" s="43" t="n">
        <f aca="false">SUM(AD33:AD40)</f>
        <v>5</v>
      </c>
      <c r="AE41" s="43" t="n">
        <f aca="false">SUM(AE33:AE40)</f>
        <v>5</v>
      </c>
      <c r="AF41" s="43" t="n">
        <f aca="false">SUM(AF33:AF40)</f>
        <v>5</v>
      </c>
      <c r="AG41" s="43" t="n">
        <f aca="false">SUM(AG33:AG40)</f>
        <v>0</v>
      </c>
      <c r="AH41" s="43" t="n">
        <f aca="false">SUM(AH33:AH40)</f>
        <v>0</v>
      </c>
      <c r="AI41" s="43" t="n">
        <f aca="false">SUM(AI33:AI40)</f>
        <v>0</v>
      </c>
      <c r="AJ41" s="43" t="n">
        <f aca="false">SUM(AJ33:AJ40)</f>
        <v>0</v>
      </c>
      <c r="AK41" s="43" t="n">
        <f aca="false">SUM(AK33:AK40)</f>
        <v>0</v>
      </c>
      <c r="AL41" s="43" t="n">
        <f aca="false">SUM(AL33:AL40)</f>
        <v>0</v>
      </c>
      <c r="AM41" s="43" t="n">
        <f aca="false">SUM(AM33:AM40)</f>
        <v>0</v>
      </c>
      <c r="AN41" s="43" t="n">
        <f aca="false">SUM(AN33:AN40)</f>
        <v>0</v>
      </c>
      <c r="AO41" s="43" t="n">
        <f aca="false">SUM(AO33:AO40)</f>
        <v>0</v>
      </c>
      <c r="AP41" s="43" t="n">
        <f aca="false">SUM(AP33:AP40)</f>
        <v>0</v>
      </c>
      <c r="AQ41" s="43" t="n">
        <f aca="false">SUM(AQ33:AQ40)</f>
        <v>0</v>
      </c>
      <c r="AR41" s="43" t="n">
        <f aca="false">SUM(AR33:AR40)</f>
        <v>0</v>
      </c>
      <c r="AS41" s="43" t="n">
        <f aca="false">SUM(AS33:AS40)</f>
        <v>0</v>
      </c>
      <c r="AT41" s="43" t="n">
        <f aca="false">SUM(AT33:AT40)</f>
        <v>0</v>
      </c>
      <c r="AU41" s="43" t="n">
        <f aca="false">SUM(AU33:AU40)</f>
        <v>0</v>
      </c>
      <c r="AV41" s="43" t="n">
        <f aca="false">SUM(AV33:AV40)</f>
        <v>0</v>
      </c>
      <c r="AW41" s="44" t="n">
        <f aca="false">MAXA(AW33:AW40)</f>
        <v>6</v>
      </c>
      <c r="AX41" s="27"/>
      <c r="AZ41" s="28"/>
      <c r="BA41" s="29" t="n">
        <v>224</v>
      </c>
      <c r="BB41" s="30" t="s">
        <v>109</v>
      </c>
      <c r="BC41" s="31" t="s">
        <v>43</v>
      </c>
      <c r="BD41" s="27"/>
      <c r="BE41" s="26"/>
      <c r="BF41" s="32"/>
      <c r="BG41" s="33"/>
    </row>
    <row r="42" customFormat="false" ht="15" hidden="false" customHeight="false" outlineLevel="0" collapsed="false">
      <c r="A42" s="54" t="s">
        <v>64</v>
      </c>
      <c r="B42" s="22" t="n">
        <f aca="false">C!B39</f>
        <v>0</v>
      </c>
      <c r="C42" s="22" t="n">
        <f aca="false">D!B39</f>
        <v>0</v>
      </c>
      <c r="D42" s="22" t="n">
        <f aca="false">E!B39</f>
        <v>0</v>
      </c>
      <c r="E42" s="22" t="n">
        <f aca="false">F!B39</f>
        <v>0</v>
      </c>
      <c r="F42" s="22" t="n">
        <f aca="false">G!B39</f>
        <v>0</v>
      </c>
      <c r="G42" s="22" t="n">
        <f aca="false">H!B39</f>
        <v>4.14</v>
      </c>
      <c r="H42" s="22" t="n">
        <f aca="false">I!B39</f>
        <v>0</v>
      </c>
      <c r="I42" s="22" t="n">
        <f aca="false">J!B39</f>
        <v>0</v>
      </c>
      <c r="J42" s="22" t="n">
        <f aca="false">K!B39</f>
        <v>0</v>
      </c>
      <c r="K42" s="22" t="n">
        <f aca="false">L!B39</f>
        <v>0</v>
      </c>
      <c r="L42" s="22" t="n">
        <f aca="false">M!B39</f>
        <v>0</v>
      </c>
      <c r="M42" s="22" t="n">
        <f aca="false">N!B39</f>
        <v>0</v>
      </c>
      <c r="N42" s="22" t="n">
        <f aca="false">O!B39</f>
        <v>0</v>
      </c>
      <c r="O42" s="22" t="n">
        <f aca="false">P!B39</f>
        <v>0</v>
      </c>
      <c r="P42" s="22" t="n">
        <f aca="false">Q!B39</f>
        <v>0</v>
      </c>
      <c r="Q42" s="22" t="n">
        <f aca="false">R!B39</f>
        <v>0</v>
      </c>
      <c r="R42" s="22" t="n">
        <f aca="false">S!B39</f>
        <v>0</v>
      </c>
      <c r="S42" s="22" t="n">
        <f aca="false">T!B39</f>
        <v>0</v>
      </c>
      <c r="T42" s="22" t="n">
        <f aca="false">U!B39</f>
        <v>0</v>
      </c>
      <c r="U42" s="22" t="n">
        <f aca="false">V!B39</f>
        <v>0</v>
      </c>
      <c r="V42" s="22" t="n">
        <f aca="false">W!B39</f>
        <v>0</v>
      </c>
      <c r="W42" s="22" t="n">
        <f aca="false">X!B39</f>
        <v>0</v>
      </c>
      <c r="X42" s="23" t="n">
        <f aca="false">SUM(B42:W42)</f>
        <v>4.14</v>
      </c>
      <c r="Y42" s="47"/>
      <c r="Z42" s="25"/>
      <c r="AA42" s="16"/>
      <c r="AW42" s="26"/>
      <c r="AX42" s="27"/>
      <c r="AZ42" s="28"/>
      <c r="BA42" s="29" t="n">
        <v>222</v>
      </c>
      <c r="BB42" s="30" t="s">
        <v>110</v>
      </c>
      <c r="BC42" s="31" t="s">
        <v>70</v>
      </c>
      <c r="BD42" s="27"/>
      <c r="BE42" s="26"/>
      <c r="BF42" s="32"/>
      <c r="BG42" s="33"/>
    </row>
    <row r="43" customFormat="false" ht="15" hidden="false" customHeight="false" outlineLevel="0" collapsed="false">
      <c r="A43" s="48" t="s">
        <v>68</v>
      </c>
      <c r="B43" s="49" t="n">
        <f aca="false">SUM(B41:B42)</f>
        <v>202</v>
      </c>
      <c r="C43" s="49" t="n">
        <f aca="false">SUM(C41:C42)</f>
        <v>179</v>
      </c>
      <c r="D43" s="49" t="n">
        <f aca="false">SUM(D41:D42)</f>
        <v>189</v>
      </c>
      <c r="E43" s="49" t="n">
        <f aca="false">SUM(E41:E42)</f>
        <v>197</v>
      </c>
      <c r="F43" s="49" t="n">
        <f aca="false">SUM(F41:F42)</f>
        <v>200</v>
      </c>
      <c r="G43" s="49" t="n">
        <f aca="false">SUM(G41:G42)</f>
        <v>200.14</v>
      </c>
      <c r="H43" s="49" t="n">
        <f aca="false">SUM(H41:H42)</f>
        <v>0</v>
      </c>
      <c r="I43" s="49" t="n">
        <f aca="false">SUM(I41:I42)</f>
        <v>0</v>
      </c>
      <c r="J43" s="49" t="n">
        <f aca="false">SUM(J41:J42)</f>
        <v>0</v>
      </c>
      <c r="K43" s="49" t="n">
        <f aca="false">SUM(K41:K42)</f>
        <v>0</v>
      </c>
      <c r="L43" s="49" t="n">
        <f aca="false">SUM(L41:L42)</f>
        <v>0</v>
      </c>
      <c r="M43" s="49" t="n">
        <f aca="false">SUM(M41:M42)</f>
        <v>0</v>
      </c>
      <c r="N43" s="49" t="n">
        <f aca="false">SUM(N41:N42)</f>
        <v>0</v>
      </c>
      <c r="O43" s="49" t="n">
        <f aca="false">SUM(O41:O42)</f>
        <v>0</v>
      </c>
      <c r="P43" s="49" t="n">
        <f aca="false">SUM(P41:P42)</f>
        <v>0</v>
      </c>
      <c r="Q43" s="49" t="n">
        <f aca="false">SUM(Q41:Q42)</f>
        <v>0</v>
      </c>
      <c r="R43" s="49" t="n">
        <f aca="false">SUM(R41:R42)</f>
        <v>0</v>
      </c>
      <c r="S43" s="49" t="n">
        <f aca="false">SUM(S41:S42)</f>
        <v>0</v>
      </c>
      <c r="T43" s="49" t="n">
        <f aca="false">SUM(T41:T42)</f>
        <v>0</v>
      </c>
      <c r="U43" s="49" t="n">
        <f aca="false">SUM(U41:U42)</f>
        <v>0</v>
      </c>
      <c r="V43" s="49" t="n">
        <f aca="false">SUM(V41:V42)</f>
        <v>0</v>
      </c>
      <c r="W43" s="49" t="n">
        <f aca="false">SUM(W41:W42)</f>
        <v>0</v>
      </c>
      <c r="X43" s="50" t="n">
        <f aca="false">SUM(B43:W43)</f>
        <v>1167.14</v>
      </c>
      <c r="Y43" s="51"/>
      <c r="Z43" s="25"/>
      <c r="AA43" s="16"/>
      <c r="AW43" s="26"/>
      <c r="AX43" s="27"/>
      <c r="AZ43" s="28"/>
      <c r="BA43" s="53" t="n">
        <v>222</v>
      </c>
      <c r="BB43" s="30" t="s">
        <v>111</v>
      </c>
      <c r="BC43" s="30" t="s">
        <v>52</v>
      </c>
      <c r="BD43" s="27" t="n">
        <f aca="false">X43</f>
        <v>1167.14</v>
      </c>
      <c r="BE43" s="26" t="str">
        <f aca="false">A32</f>
        <v>RACK PACK</v>
      </c>
      <c r="BF43" s="32"/>
      <c r="BG43" s="33"/>
    </row>
    <row r="44" customFormat="false" ht="15" hidden="false" customHeight="false" outlineLevel="0" collapsed="false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25"/>
      <c r="AA44" s="16"/>
      <c r="AW44" s="26"/>
      <c r="AX44" s="27"/>
      <c r="AZ44" s="28"/>
      <c r="BA44" s="53" t="n">
        <v>221</v>
      </c>
      <c r="BB44" s="30" t="s">
        <v>112</v>
      </c>
      <c r="BC44" s="30" t="s">
        <v>66</v>
      </c>
      <c r="BD44" s="27"/>
      <c r="BE44" s="26"/>
      <c r="BF44" s="32"/>
      <c r="BG44" s="33"/>
    </row>
    <row r="45" customFormat="false" ht="15" hidden="false" customHeight="false" outlineLevel="0" collapsed="false">
      <c r="A45" s="5" t="s">
        <v>113</v>
      </c>
      <c r="B45" s="6" t="s">
        <v>1</v>
      </c>
      <c r="C45" s="6" t="s">
        <v>2</v>
      </c>
      <c r="D45" s="6" t="s">
        <v>3</v>
      </c>
      <c r="E45" s="6" t="s">
        <v>4</v>
      </c>
      <c r="F45" s="6" t="s">
        <v>5</v>
      </c>
      <c r="G45" s="6" t="s">
        <v>6</v>
      </c>
      <c r="H45" s="6" t="s">
        <v>7</v>
      </c>
      <c r="I45" s="6" t="s">
        <v>8</v>
      </c>
      <c r="J45" s="6" t="s">
        <v>9</v>
      </c>
      <c r="K45" s="6" t="s">
        <v>10</v>
      </c>
      <c r="L45" s="6" t="s">
        <v>11</v>
      </c>
      <c r="M45" s="6" t="s">
        <v>12</v>
      </c>
      <c r="N45" s="6" t="s">
        <v>13</v>
      </c>
      <c r="O45" s="6" t="s">
        <v>14</v>
      </c>
      <c r="P45" s="6" t="s">
        <v>15</v>
      </c>
      <c r="Q45" s="6" t="s">
        <v>16</v>
      </c>
      <c r="R45" s="6" t="s">
        <v>17</v>
      </c>
      <c r="S45" s="6" t="s">
        <v>18</v>
      </c>
      <c r="T45" s="6" t="s">
        <v>19</v>
      </c>
      <c r="U45" s="6" t="s">
        <v>20</v>
      </c>
      <c r="V45" s="6" t="s">
        <v>21</v>
      </c>
      <c r="W45" s="6" t="s">
        <v>22</v>
      </c>
      <c r="X45" s="34"/>
      <c r="Y45" s="34"/>
      <c r="Z45" s="4" t="str">
        <f aca="false">A45</f>
        <v>Team #4 Name:</v>
      </c>
      <c r="AA45" s="16"/>
      <c r="AW45" s="26"/>
      <c r="AX45" s="27"/>
      <c r="AZ45" s="28"/>
      <c r="BA45" s="53" t="n">
        <v>220</v>
      </c>
      <c r="BB45" s="30" t="s">
        <v>114</v>
      </c>
      <c r="BC45" s="30" t="s">
        <v>58</v>
      </c>
      <c r="BD45" s="27"/>
      <c r="BE45" s="26"/>
      <c r="BF45" s="32"/>
      <c r="BG45" s="33"/>
    </row>
    <row r="46" customFormat="false" ht="15" hidden="false" customHeight="false" outlineLevel="0" collapsed="false">
      <c r="A46" s="11" t="str">
        <f aca="false">B!B145</f>
        <v>PKT CHANGE</v>
      </c>
      <c r="B46" s="52" t="s">
        <v>28</v>
      </c>
      <c r="C46" s="52" t="s">
        <v>28</v>
      </c>
      <c r="D46" s="52" t="s">
        <v>28</v>
      </c>
      <c r="E46" s="52" t="s">
        <v>28</v>
      </c>
      <c r="F46" s="52" t="s">
        <v>28</v>
      </c>
      <c r="G46" s="52" t="s">
        <v>28</v>
      </c>
      <c r="H46" s="52" t="s">
        <v>28</v>
      </c>
      <c r="I46" s="52" t="s">
        <v>28</v>
      </c>
      <c r="J46" s="52" t="s">
        <v>28</v>
      </c>
      <c r="K46" s="52" t="s">
        <v>28</v>
      </c>
      <c r="L46" s="52" t="s">
        <v>28</v>
      </c>
      <c r="M46" s="52" t="s">
        <v>28</v>
      </c>
      <c r="N46" s="52" t="s">
        <v>28</v>
      </c>
      <c r="O46" s="52" t="s">
        <v>28</v>
      </c>
      <c r="P46" s="52" t="s">
        <v>28</v>
      </c>
      <c r="Q46" s="52" t="s">
        <v>28</v>
      </c>
      <c r="R46" s="52" t="s">
        <v>28</v>
      </c>
      <c r="S46" s="52" t="s">
        <v>28</v>
      </c>
      <c r="T46" s="52" t="s">
        <v>28</v>
      </c>
      <c r="U46" s="52" t="s">
        <v>28</v>
      </c>
      <c r="V46" s="52" t="s">
        <v>28</v>
      </c>
      <c r="W46" s="52" t="s">
        <v>28</v>
      </c>
      <c r="X46" s="13" t="s">
        <v>29</v>
      </c>
      <c r="Y46" s="14" t="s">
        <v>30</v>
      </c>
      <c r="Z46" s="15" t="str">
        <f aca="false">A46</f>
        <v>PKT CHANGE</v>
      </c>
      <c r="AA46" s="16"/>
      <c r="AW46" s="17" t="s">
        <v>31</v>
      </c>
      <c r="AX46" s="27"/>
      <c r="AZ46" s="28"/>
      <c r="BA46" s="53" t="n">
        <v>218</v>
      </c>
      <c r="BB46" s="30" t="s">
        <v>115</v>
      </c>
      <c r="BC46" s="30" t="s">
        <v>55</v>
      </c>
      <c r="BD46" s="27"/>
      <c r="BE46" s="26"/>
      <c r="BF46" s="32"/>
      <c r="BG46" s="33"/>
    </row>
    <row r="47" customFormat="false" ht="15" hidden="false" customHeight="false" outlineLevel="0" collapsed="false">
      <c r="A47" s="21" t="str">
        <f aca="false">B!B147</f>
        <v>PATRICK</v>
      </c>
      <c r="B47" s="22" t="n">
        <f aca="false">C!B44</f>
        <v>42</v>
      </c>
      <c r="C47" s="22" t="n">
        <f aca="false">D!B44</f>
        <v>33</v>
      </c>
      <c r="D47" s="22" t="n">
        <f aca="false">E!B44</f>
        <v>42</v>
      </c>
      <c r="E47" s="22" t="n">
        <f aca="false">F!B44</f>
        <v>47</v>
      </c>
      <c r="F47" s="22" t="n">
        <f aca="false">G!B44</f>
        <v>40</v>
      </c>
      <c r="G47" s="22" t="n">
        <f aca="false">H!B44</f>
        <v>44</v>
      </c>
      <c r="H47" s="22" t="n">
        <f aca="false">I!B44</f>
        <v>0</v>
      </c>
      <c r="I47" s="22" t="n">
        <f aca="false">J!B44</f>
        <v>0</v>
      </c>
      <c r="J47" s="22" t="n">
        <f aca="false">K!B44</f>
        <v>0</v>
      </c>
      <c r="K47" s="22" t="n">
        <f aca="false">L!B44</f>
        <v>0</v>
      </c>
      <c r="L47" s="22" t="n">
        <f aca="false">M!B44</f>
        <v>0</v>
      </c>
      <c r="M47" s="22" t="n">
        <f aca="false">N!B44</f>
        <v>0</v>
      </c>
      <c r="N47" s="22" t="n">
        <f aca="false">O!B44</f>
        <v>0</v>
      </c>
      <c r="O47" s="22" t="n">
        <f aca="false">P!B44</f>
        <v>0</v>
      </c>
      <c r="P47" s="22" t="n">
        <f aca="false">Q!B44</f>
        <v>0</v>
      </c>
      <c r="Q47" s="22" t="n">
        <f aca="false">R!B44</f>
        <v>0</v>
      </c>
      <c r="R47" s="22" t="n">
        <f aca="false">S!B44</f>
        <v>0</v>
      </c>
      <c r="S47" s="22" t="n">
        <f aca="false">T!B44</f>
        <v>0</v>
      </c>
      <c r="T47" s="22" t="n">
        <f aca="false">U!B44</f>
        <v>0</v>
      </c>
      <c r="U47" s="22" t="n">
        <f aca="false">V!B44</f>
        <v>0</v>
      </c>
      <c r="V47" s="22" t="n">
        <f aca="false">W!B44</f>
        <v>0</v>
      </c>
      <c r="W47" s="22" t="n">
        <f aca="false">X!B44</f>
        <v>0</v>
      </c>
      <c r="X47" s="23" t="n">
        <f aca="false">SUM(B47:W47)</f>
        <v>248</v>
      </c>
      <c r="Y47" s="24" t="n">
        <f aca="false">IF(AW47=0,0,X47/AW47)</f>
        <v>41.3333333333333</v>
      </c>
      <c r="Z47" s="25" t="str">
        <f aca="false">A47</f>
        <v>PATRICK</v>
      </c>
      <c r="AA47" s="16" t="n">
        <f aca="false">IF(B47=0,0,1)</f>
        <v>1</v>
      </c>
      <c r="AB47" s="0" t="n">
        <f aca="false">IF(C47=0,0,1)</f>
        <v>1</v>
      </c>
      <c r="AC47" s="0" t="n">
        <f aca="false">IF(D47=0,0,1)</f>
        <v>1</v>
      </c>
      <c r="AD47" s="0" t="n">
        <f aca="false">IF(E47=0,0,1)</f>
        <v>1</v>
      </c>
      <c r="AE47" s="0" t="n">
        <f aca="false">IF(F47=0,0,1)</f>
        <v>1</v>
      </c>
      <c r="AF47" s="0" t="n">
        <f aca="false">IF(G47=0,0,1)</f>
        <v>1</v>
      </c>
      <c r="AG47" s="0" t="n">
        <f aca="false">IF(H47=0,0,1)</f>
        <v>0</v>
      </c>
      <c r="AH47" s="0" t="n">
        <f aca="false">IF(I47=0,0,1)</f>
        <v>0</v>
      </c>
      <c r="AI47" s="0" t="n">
        <f aca="false">IF(J47=0,0,1)</f>
        <v>0</v>
      </c>
      <c r="AJ47" s="0" t="n">
        <f aca="false">IF(K47=0,0,1)</f>
        <v>0</v>
      </c>
      <c r="AK47" s="0" t="n">
        <f aca="false">IF(L47=0,0,1)</f>
        <v>0</v>
      </c>
      <c r="AL47" s="0" t="n">
        <f aca="false">IF(M47=0,0,1)</f>
        <v>0</v>
      </c>
      <c r="AM47" s="0" t="n">
        <f aca="false">IF(N47=0,0,1)</f>
        <v>0</v>
      </c>
      <c r="AN47" s="0" t="n">
        <f aca="false">IF(O47=0,0,1)</f>
        <v>0</v>
      </c>
      <c r="AO47" s="0" t="n">
        <f aca="false">IF(P47=0,0,1)</f>
        <v>0</v>
      </c>
      <c r="AP47" s="0" t="n">
        <f aca="false">IF(Q47=0,0,1)</f>
        <v>0</v>
      </c>
      <c r="AQ47" s="0" t="n">
        <f aca="false">IF(R47=0,0,1)</f>
        <v>0</v>
      </c>
      <c r="AR47" s="0" t="n">
        <f aca="false">IF(S47=0,0,1)</f>
        <v>0</v>
      </c>
      <c r="AS47" s="0" t="n">
        <f aca="false">IF(T47=0,0,1)</f>
        <v>0</v>
      </c>
      <c r="AT47" s="0" t="n">
        <f aca="false">IF(U47=0,0,1)</f>
        <v>0</v>
      </c>
      <c r="AU47" s="0" t="n">
        <f aca="false">IF(V47=0,0,1)</f>
        <v>0</v>
      </c>
      <c r="AV47" s="0" t="n">
        <f aca="false">IF(W47=0,0,1)</f>
        <v>0</v>
      </c>
      <c r="AW47" s="26" t="n">
        <f aca="false">SUM(AA47:AV47)</f>
        <v>6</v>
      </c>
      <c r="AX47" s="27" t="n">
        <f aca="false">IF(X47=0,0,X47)</f>
        <v>248</v>
      </c>
      <c r="AY47" s="1" t="str">
        <f aca="false">IF(X47=0,0,A47)</f>
        <v>PATRICK</v>
      </c>
      <c r="AZ47" s="28" t="str">
        <f aca="false">IF(AX47=0,0,A$46)</f>
        <v>PKT CHANGE</v>
      </c>
      <c r="BA47" s="29" t="n">
        <v>218</v>
      </c>
      <c r="BB47" s="30" t="s">
        <v>116</v>
      </c>
      <c r="BC47" s="31" t="s">
        <v>49</v>
      </c>
      <c r="BD47" s="27"/>
      <c r="BE47" s="26"/>
      <c r="BF47" s="32"/>
      <c r="BG47" s="33"/>
    </row>
    <row r="48" customFormat="false" ht="15" hidden="false" customHeight="false" outlineLevel="0" collapsed="false">
      <c r="A48" s="21" t="str">
        <f aca="false">B!B152</f>
        <v>BRANDY</v>
      </c>
      <c r="B48" s="22" t="n">
        <f aca="false">C!B45</f>
        <v>31</v>
      </c>
      <c r="C48" s="22" t="n">
        <f aca="false">D!B45</f>
        <v>42</v>
      </c>
      <c r="D48" s="22" t="n">
        <f aca="false">E!B45</f>
        <v>27</v>
      </c>
      <c r="E48" s="22" t="n">
        <f aca="false">F!B45</f>
        <v>37</v>
      </c>
      <c r="F48" s="22" t="n">
        <f aca="false">G!B45</f>
        <v>33</v>
      </c>
      <c r="G48" s="22" t="n">
        <f aca="false">H!B45</f>
        <v>37</v>
      </c>
      <c r="H48" s="22" t="n">
        <f aca="false">I!B45</f>
        <v>0</v>
      </c>
      <c r="I48" s="22" t="n">
        <f aca="false">J!B45</f>
        <v>0</v>
      </c>
      <c r="J48" s="22" t="n">
        <f aca="false">K!B45</f>
        <v>0</v>
      </c>
      <c r="K48" s="22" t="n">
        <f aca="false">L!B45</f>
        <v>0</v>
      </c>
      <c r="L48" s="22" t="n">
        <f aca="false">M!B45</f>
        <v>0</v>
      </c>
      <c r="M48" s="22" t="n">
        <f aca="false">N!B45</f>
        <v>0</v>
      </c>
      <c r="N48" s="22" t="n">
        <f aca="false">O!B45</f>
        <v>0</v>
      </c>
      <c r="O48" s="22" t="n">
        <f aca="false">P!B45</f>
        <v>0</v>
      </c>
      <c r="P48" s="22" t="n">
        <f aca="false">Q!B45</f>
        <v>0</v>
      </c>
      <c r="Q48" s="22" t="n">
        <f aca="false">R!B45</f>
        <v>0</v>
      </c>
      <c r="R48" s="22" t="n">
        <f aca="false">S!B45</f>
        <v>0</v>
      </c>
      <c r="S48" s="22" t="n">
        <f aca="false">T!B45</f>
        <v>0</v>
      </c>
      <c r="T48" s="22" t="n">
        <f aca="false">U!B45</f>
        <v>0</v>
      </c>
      <c r="U48" s="22" t="n">
        <f aca="false">V!B45</f>
        <v>0</v>
      </c>
      <c r="V48" s="22" t="n">
        <f aca="false">W!B45</f>
        <v>0</v>
      </c>
      <c r="W48" s="22" t="n">
        <f aca="false">X!B45</f>
        <v>0</v>
      </c>
      <c r="X48" s="23" t="n">
        <f aca="false">SUM(B48:W48)</f>
        <v>207</v>
      </c>
      <c r="Y48" s="24" t="n">
        <f aca="false">IF(AW48=0,0,X48/AW48)</f>
        <v>34.5</v>
      </c>
      <c r="Z48" s="25" t="str">
        <f aca="false">A48</f>
        <v>BRANDY</v>
      </c>
      <c r="AA48" s="16" t="n">
        <f aca="false">IF(B48=0,0,1)</f>
        <v>1</v>
      </c>
      <c r="AB48" s="0" t="n">
        <f aca="false">IF(C48=0,0,1)</f>
        <v>1</v>
      </c>
      <c r="AC48" s="0" t="n">
        <f aca="false">IF(D48=0,0,1)</f>
        <v>1</v>
      </c>
      <c r="AD48" s="0" t="n">
        <f aca="false">IF(E48=0,0,1)</f>
        <v>1</v>
      </c>
      <c r="AE48" s="0" t="n">
        <f aca="false">IF(F48=0,0,1)</f>
        <v>1</v>
      </c>
      <c r="AF48" s="0" t="n">
        <f aca="false">IF(G48=0,0,1)</f>
        <v>1</v>
      </c>
      <c r="AG48" s="0" t="n">
        <f aca="false">IF(H48=0,0,1)</f>
        <v>0</v>
      </c>
      <c r="AH48" s="0" t="n">
        <f aca="false">IF(I48=0,0,1)</f>
        <v>0</v>
      </c>
      <c r="AI48" s="0" t="n">
        <f aca="false">IF(J48=0,0,1)</f>
        <v>0</v>
      </c>
      <c r="AJ48" s="0" t="n">
        <f aca="false">IF(K48=0,0,1)</f>
        <v>0</v>
      </c>
      <c r="AK48" s="0" t="n">
        <f aca="false">IF(L48=0,0,1)</f>
        <v>0</v>
      </c>
      <c r="AL48" s="0" t="n">
        <f aca="false">IF(M48=0,0,1)</f>
        <v>0</v>
      </c>
      <c r="AM48" s="0" t="n">
        <f aca="false">IF(N48=0,0,1)</f>
        <v>0</v>
      </c>
      <c r="AN48" s="0" t="n">
        <f aca="false">IF(O48=0,0,1)</f>
        <v>0</v>
      </c>
      <c r="AO48" s="0" t="n">
        <f aca="false">IF(P48=0,0,1)</f>
        <v>0</v>
      </c>
      <c r="AP48" s="0" t="n">
        <f aca="false">IF(Q48=0,0,1)</f>
        <v>0</v>
      </c>
      <c r="AQ48" s="0" t="n">
        <f aca="false">IF(R48=0,0,1)</f>
        <v>0</v>
      </c>
      <c r="AR48" s="0" t="n">
        <f aca="false">IF(S48=0,0,1)</f>
        <v>0</v>
      </c>
      <c r="AS48" s="0" t="n">
        <f aca="false">IF(T48=0,0,1)</f>
        <v>0</v>
      </c>
      <c r="AT48" s="0" t="n">
        <f aca="false">IF(U48=0,0,1)</f>
        <v>0</v>
      </c>
      <c r="AU48" s="0" t="n">
        <f aca="false">IF(V48=0,0,1)</f>
        <v>0</v>
      </c>
      <c r="AV48" s="0" t="n">
        <f aca="false">IF(W48=0,0,1)</f>
        <v>0</v>
      </c>
      <c r="AW48" s="26" t="n">
        <f aca="false">SUM(AA48:AV48)</f>
        <v>6</v>
      </c>
      <c r="AX48" s="27" t="n">
        <f aca="false">IF(X48=0,0,X48)</f>
        <v>207</v>
      </c>
      <c r="AY48" s="1" t="str">
        <f aca="false">IF(X48=0,0,A48)</f>
        <v>BRANDY</v>
      </c>
      <c r="AZ48" s="28" t="str">
        <f aca="false">IF(AX48=0,0,A$46)</f>
        <v>PKT CHANGE</v>
      </c>
      <c r="BA48" s="29" t="n">
        <v>214</v>
      </c>
      <c r="BB48" s="30" t="s">
        <v>117</v>
      </c>
      <c r="BC48" s="31" t="s">
        <v>40</v>
      </c>
      <c r="BD48" s="27"/>
      <c r="BE48" s="26"/>
      <c r="BF48" s="32"/>
      <c r="BG48" s="33"/>
    </row>
    <row r="49" customFormat="false" ht="15" hidden="false" customHeight="false" outlineLevel="0" collapsed="false">
      <c r="A49" s="21" t="str">
        <f aca="false">B!B157</f>
        <v>PJ</v>
      </c>
      <c r="B49" s="22" t="n">
        <f aca="false">C!B46</f>
        <v>40</v>
      </c>
      <c r="C49" s="22" t="n">
        <f aca="false">D!B46</f>
        <v>38</v>
      </c>
      <c r="D49" s="22" t="n">
        <f aca="false">E!B46</f>
        <v>38</v>
      </c>
      <c r="E49" s="22" t="n">
        <f aca="false">F!B46</f>
        <v>38</v>
      </c>
      <c r="F49" s="22" t="n">
        <f aca="false">G!B46</f>
        <v>35</v>
      </c>
      <c r="G49" s="22" t="n">
        <f aca="false">H!B46</f>
        <v>37</v>
      </c>
      <c r="H49" s="22" t="n">
        <f aca="false">I!B46</f>
        <v>0</v>
      </c>
      <c r="I49" s="22" t="n">
        <f aca="false">J!B46</f>
        <v>0</v>
      </c>
      <c r="J49" s="22" t="n">
        <f aca="false">K!B46</f>
        <v>0</v>
      </c>
      <c r="K49" s="22" t="n">
        <f aca="false">L!B46</f>
        <v>0</v>
      </c>
      <c r="L49" s="22" t="n">
        <f aca="false">M!B46</f>
        <v>0</v>
      </c>
      <c r="M49" s="22" t="n">
        <f aca="false">N!B46</f>
        <v>0</v>
      </c>
      <c r="N49" s="22" t="n">
        <f aca="false">O!B46</f>
        <v>0</v>
      </c>
      <c r="O49" s="22" t="n">
        <f aca="false">P!B46</f>
        <v>0</v>
      </c>
      <c r="P49" s="22" t="n">
        <f aca="false">Q!B46</f>
        <v>0</v>
      </c>
      <c r="Q49" s="22" t="n">
        <f aca="false">R!B46</f>
        <v>0</v>
      </c>
      <c r="R49" s="22" t="n">
        <f aca="false">S!B46</f>
        <v>0</v>
      </c>
      <c r="S49" s="22" t="n">
        <f aca="false">T!B46</f>
        <v>0</v>
      </c>
      <c r="T49" s="22" t="n">
        <f aca="false">U!B46</f>
        <v>0</v>
      </c>
      <c r="U49" s="22" t="n">
        <f aca="false">V!B46</f>
        <v>0</v>
      </c>
      <c r="V49" s="22" t="n">
        <f aca="false">W!B46</f>
        <v>0</v>
      </c>
      <c r="W49" s="22" t="n">
        <f aca="false">X!B46</f>
        <v>0</v>
      </c>
      <c r="X49" s="23" t="n">
        <f aca="false">SUM(B49:W49)</f>
        <v>226</v>
      </c>
      <c r="Y49" s="24" t="n">
        <f aca="false">IF(AW49=0,0,X49/AW49)</f>
        <v>37.6666666666667</v>
      </c>
      <c r="Z49" s="25" t="str">
        <f aca="false">A49</f>
        <v>PJ</v>
      </c>
      <c r="AA49" s="16" t="n">
        <f aca="false">IF(B49=0,0,1)</f>
        <v>1</v>
      </c>
      <c r="AB49" s="0" t="n">
        <f aca="false">IF(C49=0,0,1)</f>
        <v>1</v>
      </c>
      <c r="AC49" s="0" t="n">
        <f aca="false">IF(D49=0,0,1)</f>
        <v>1</v>
      </c>
      <c r="AD49" s="0" t="n">
        <f aca="false">IF(E49=0,0,1)</f>
        <v>1</v>
      </c>
      <c r="AE49" s="0" t="n">
        <f aca="false">IF(F49=0,0,1)</f>
        <v>1</v>
      </c>
      <c r="AF49" s="0" t="n">
        <f aca="false">IF(G49=0,0,1)</f>
        <v>1</v>
      </c>
      <c r="AG49" s="0" t="n">
        <f aca="false">IF(H49=0,0,1)</f>
        <v>0</v>
      </c>
      <c r="AH49" s="0" t="n">
        <f aca="false">IF(I49=0,0,1)</f>
        <v>0</v>
      </c>
      <c r="AI49" s="0" t="n">
        <f aca="false">IF(J49=0,0,1)</f>
        <v>0</v>
      </c>
      <c r="AJ49" s="0" t="n">
        <f aca="false">IF(K49=0,0,1)</f>
        <v>0</v>
      </c>
      <c r="AK49" s="0" t="n">
        <f aca="false">IF(L49=0,0,1)</f>
        <v>0</v>
      </c>
      <c r="AL49" s="0" t="n">
        <f aca="false">IF(M49=0,0,1)</f>
        <v>0</v>
      </c>
      <c r="AM49" s="0" t="n">
        <f aca="false">IF(N49=0,0,1)</f>
        <v>0</v>
      </c>
      <c r="AN49" s="0" t="n">
        <f aca="false">IF(O49=0,0,1)</f>
        <v>0</v>
      </c>
      <c r="AO49" s="0" t="n">
        <f aca="false">IF(P49=0,0,1)</f>
        <v>0</v>
      </c>
      <c r="AP49" s="0" t="n">
        <f aca="false">IF(Q49=0,0,1)</f>
        <v>0</v>
      </c>
      <c r="AQ49" s="0" t="n">
        <f aca="false">IF(R49=0,0,1)</f>
        <v>0</v>
      </c>
      <c r="AR49" s="0" t="n">
        <f aca="false">IF(S49=0,0,1)</f>
        <v>0</v>
      </c>
      <c r="AS49" s="0" t="n">
        <f aca="false">IF(T49=0,0,1)</f>
        <v>0</v>
      </c>
      <c r="AT49" s="0" t="n">
        <f aca="false">IF(U49=0,0,1)</f>
        <v>0</v>
      </c>
      <c r="AU49" s="0" t="n">
        <f aca="false">IF(V49=0,0,1)</f>
        <v>0</v>
      </c>
      <c r="AV49" s="0" t="n">
        <f aca="false">IF(W49=0,0,1)</f>
        <v>0</v>
      </c>
      <c r="AW49" s="26" t="n">
        <f aca="false">SUM(AA49:AV49)</f>
        <v>6</v>
      </c>
      <c r="AX49" s="27" t="n">
        <f aca="false">IF(X49=0,0,X49)</f>
        <v>226</v>
      </c>
      <c r="AY49" s="1" t="str">
        <f aca="false">IF(X49=0,0,A49)</f>
        <v>PJ</v>
      </c>
      <c r="AZ49" s="28" t="str">
        <f aca="false">IF(AX49=0,0,A$46)</f>
        <v>PKT CHANGE</v>
      </c>
      <c r="BA49" s="29" t="n">
        <v>209</v>
      </c>
      <c r="BB49" s="30" t="s">
        <v>118</v>
      </c>
      <c r="BC49" s="31" t="s">
        <v>43</v>
      </c>
      <c r="BD49" s="27"/>
      <c r="BE49" s="26"/>
      <c r="BF49" s="32"/>
      <c r="BG49" s="33"/>
    </row>
    <row r="50" customFormat="false" ht="15" hidden="false" customHeight="false" outlineLevel="0" collapsed="false">
      <c r="A50" s="21" t="str">
        <f aca="false">B!B162</f>
        <v>CARA</v>
      </c>
      <c r="B50" s="22" t="n">
        <f aca="false">C!B47</f>
        <v>42</v>
      </c>
      <c r="C50" s="22" t="n">
        <f aca="false">D!B47</f>
        <v>33</v>
      </c>
      <c r="D50" s="22" t="n">
        <f aca="false">E!B47</f>
        <v>29</v>
      </c>
      <c r="E50" s="22" t="n">
        <f aca="false">F!B47</f>
        <v>46</v>
      </c>
      <c r="F50" s="22" t="n">
        <f aca="false">G!B47</f>
        <v>24</v>
      </c>
      <c r="G50" s="22" t="n">
        <f aca="false">H!B47</f>
        <v>46</v>
      </c>
      <c r="H50" s="22" t="n">
        <f aca="false">I!B47</f>
        <v>0</v>
      </c>
      <c r="I50" s="22" t="n">
        <f aca="false">J!B47</f>
        <v>0</v>
      </c>
      <c r="J50" s="22" t="n">
        <f aca="false">K!B47</f>
        <v>0</v>
      </c>
      <c r="K50" s="22" t="n">
        <f aca="false">L!B47</f>
        <v>0</v>
      </c>
      <c r="L50" s="22" t="n">
        <f aca="false">M!B47</f>
        <v>0</v>
      </c>
      <c r="M50" s="22" t="n">
        <f aca="false">N!B47</f>
        <v>0</v>
      </c>
      <c r="N50" s="22" t="n">
        <f aca="false">O!B47</f>
        <v>0</v>
      </c>
      <c r="O50" s="22" t="n">
        <f aca="false">P!B47</f>
        <v>0</v>
      </c>
      <c r="P50" s="22" t="n">
        <f aca="false">Q!B47</f>
        <v>0</v>
      </c>
      <c r="Q50" s="22" t="n">
        <f aca="false">R!B47</f>
        <v>0</v>
      </c>
      <c r="R50" s="22" t="n">
        <f aca="false">S!B47</f>
        <v>0</v>
      </c>
      <c r="S50" s="22" t="n">
        <f aca="false">T!B47</f>
        <v>0</v>
      </c>
      <c r="T50" s="22" t="n">
        <f aca="false">U!B47</f>
        <v>0</v>
      </c>
      <c r="U50" s="22" t="n">
        <f aca="false">V!B47</f>
        <v>0</v>
      </c>
      <c r="V50" s="22" t="n">
        <f aca="false">W!B47</f>
        <v>0</v>
      </c>
      <c r="W50" s="22" t="n">
        <f aca="false">X!B47</f>
        <v>0</v>
      </c>
      <c r="X50" s="23" t="n">
        <f aca="false">SUM(B50:W50)</f>
        <v>220</v>
      </c>
      <c r="Y50" s="24" t="n">
        <f aca="false">IF(AW50=0,0,X50/AW50)</f>
        <v>36.6666666666667</v>
      </c>
      <c r="Z50" s="25" t="str">
        <f aca="false">A50</f>
        <v>CARA</v>
      </c>
      <c r="AA50" s="16" t="n">
        <f aca="false">IF(B50=0,0,1)</f>
        <v>1</v>
      </c>
      <c r="AB50" s="0" t="n">
        <f aca="false">IF(C50=0,0,1)</f>
        <v>1</v>
      </c>
      <c r="AC50" s="0" t="n">
        <f aca="false">IF(D50=0,0,1)</f>
        <v>1</v>
      </c>
      <c r="AD50" s="0" t="n">
        <f aca="false">IF(E50=0,0,1)</f>
        <v>1</v>
      </c>
      <c r="AE50" s="0" t="n">
        <f aca="false">IF(F50=0,0,1)</f>
        <v>1</v>
      </c>
      <c r="AF50" s="0" t="n">
        <f aca="false">IF(G50=0,0,1)</f>
        <v>1</v>
      </c>
      <c r="AG50" s="0" t="n">
        <f aca="false">IF(H50=0,0,1)</f>
        <v>0</v>
      </c>
      <c r="AH50" s="0" t="n">
        <f aca="false">IF(I50=0,0,1)</f>
        <v>0</v>
      </c>
      <c r="AI50" s="0" t="n">
        <f aca="false">IF(J50=0,0,1)</f>
        <v>0</v>
      </c>
      <c r="AJ50" s="0" t="n">
        <f aca="false">IF(K50=0,0,1)</f>
        <v>0</v>
      </c>
      <c r="AK50" s="0" t="n">
        <f aca="false">IF(L50=0,0,1)</f>
        <v>0</v>
      </c>
      <c r="AL50" s="0" t="n">
        <f aca="false">IF(M50=0,0,1)</f>
        <v>0</v>
      </c>
      <c r="AM50" s="0" t="n">
        <f aca="false">IF(N50=0,0,1)</f>
        <v>0</v>
      </c>
      <c r="AN50" s="0" t="n">
        <f aca="false">IF(O50=0,0,1)</f>
        <v>0</v>
      </c>
      <c r="AO50" s="0" t="n">
        <f aca="false">IF(P50=0,0,1)</f>
        <v>0</v>
      </c>
      <c r="AP50" s="0" t="n">
        <f aca="false">IF(Q50=0,0,1)</f>
        <v>0</v>
      </c>
      <c r="AQ50" s="0" t="n">
        <f aca="false">IF(R50=0,0,1)</f>
        <v>0</v>
      </c>
      <c r="AR50" s="0" t="n">
        <f aca="false">IF(S50=0,0,1)</f>
        <v>0</v>
      </c>
      <c r="AS50" s="0" t="n">
        <f aca="false">IF(T50=0,0,1)</f>
        <v>0</v>
      </c>
      <c r="AT50" s="0" t="n">
        <f aca="false">IF(U50=0,0,1)</f>
        <v>0</v>
      </c>
      <c r="AU50" s="0" t="n">
        <f aca="false">IF(V50=0,0,1)</f>
        <v>0</v>
      </c>
      <c r="AV50" s="0" t="n">
        <f aca="false">IF(W50=0,0,1)</f>
        <v>0</v>
      </c>
      <c r="AW50" s="26" t="n">
        <f aca="false">SUM(AA50:AV50)</f>
        <v>6</v>
      </c>
      <c r="AX50" s="27" t="n">
        <f aca="false">IF(X50=0,0,X50)</f>
        <v>220</v>
      </c>
      <c r="AY50" s="1" t="str">
        <f aca="false">IF(X50=0,0,A50)</f>
        <v>CARA</v>
      </c>
      <c r="AZ50" s="28" t="str">
        <f aca="false">IF(AX50=0,0,A$46)</f>
        <v>PKT CHANGE</v>
      </c>
      <c r="BA50" s="53" t="n">
        <v>207</v>
      </c>
      <c r="BB50" s="30" t="s">
        <v>119</v>
      </c>
      <c r="BC50" s="30" t="s">
        <v>58</v>
      </c>
      <c r="BD50" s="27"/>
      <c r="BE50" s="26"/>
      <c r="BF50" s="32"/>
      <c r="BG50" s="33"/>
    </row>
    <row r="51" customFormat="false" ht="15" hidden="false" customHeight="false" outlineLevel="0" collapsed="false">
      <c r="A51" s="21" t="str">
        <f aca="false">B!B167</f>
        <v>MELISSA</v>
      </c>
      <c r="B51" s="22" t="n">
        <f aca="false">C!B48</f>
        <v>38</v>
      </c>
      <c r="C51" s="22" t="n">
        <f aca="false">D!B48</f>
        <v>33</v>
      </c>
      <c r="D51" s="22" t="n">
        <f aca="false">E!B48</f>
        <v>36</v>
      </c>
      <c r="E51" s="22" t="n">
        <f aca="false">F!B48</f>
        <v>50</v>
      </c>
      <c r="F51" s="22" t="n">
        <f aca="false">G!B48</f>
        <v>37</v>
      </c>
      <c r="G51" s="22" t="n">
        <f aca="false">H!B48</f>
        <v>47</v>
      </c>
      <c r="H51" s="22" t="n">
        <f aca="false">I!B48</f>
        <v>0</v>
      </c>
      <c r="I51" s="22" t="n">
        <f aca="false">J!B48</f>
        <v>0</v>
      </c>
      <c r="J51" s="22" t="n">
        <f aca="false">K!B48</f>
        <v>0</v>
      </c>
      <c r="K51" s="22" t="n">
        <f aca="false">L!B48</f>
        <v>0</v>
      </c>
      <c r="L51" s="22" t="n">
        <f aca="false">M!B48</f>
        <v>0</v>
      </c>
      <c r="M51" s="22" t="n">
        <f aca="false">N!B48</f>
        <v>0</v>
      </c>
      <c r="N51" s="22" t="n">
        <f aca="false">O!B48</f>
        <v>0</v>
      </c>
      <c r="O51" s="22" t="n">
        <f aca="false">P!B48</f>
        <v>0</v>
      </c>
      <c r="P51" s="22" t="n">
        <f aca="false">Q!B48</f>
        <v>0</v>
      </c>
      <c r="Q51" s="22" t="n">
        <f aca="false">R!B48</f>
        <v>0</v>
      </c>
      <c r="R51" s="22" t="n">
        <f aca="false">S!B48</f>
        <v>0</v>
      </c>
      <c r="S51" s="22" t="n">
        <f aca="false">T!B48</f>
        <v>0</v>
      </c>
      <c r="T51" s="22" t="n">
        <f aca="false">U!B48</f>
        <v>0</v>
      </c>
      <c r="U51" s="22" t="n">
        <f aca="false">V!B48</f>
        <v>0</v>
      </c>
      <c r="V51" s="22" t="n">
        <f aca="false">W!B48</f>
        <v>0</v>
      </c>
      <c r="W51" s="22" t="n">
        <f aca="false">X!B48</f>
        <v>0</v>
      </c>
      <c r="X51" s="23" t="n">
        <f aca="false">SUM(B51:W51)</f>
        <v>241</v>
      </c>
      <c r="Y51" s="24" t="n">
        <f aca="false">IF(AW51=0,0,X51/AW51)</f>
        <v>40.1666666666667</v>
      </c>
      <c r="Z51" s="25" t="str">
        <f aca="false">A51</f>
        <v>MELISSA</v>
      </c>
      <c r="AA51" s="16" t="n">
        <f aca="false">IF(B51=0,0,1)</f>
        <v>1</v>
      </c>
      <c r="AB51" s="0" t="n">
        <f aca="false">IF(C51=0,0,1)</f>
        <v>1</v>
      </c>
      <c r="AC51" s="0" t="n">
        <f aca="false">IF(D51=0,0,1)</f>
        <v>1</v>
      </c>
      <c r="AD51" s="0" t="n">
        <f aca="false">IF(E51=0,0,1)</f>
        <v>1</v>
      </c>
      <c r="AE51" s="0" t="n">
        <f aca="false">IF(F51=0,0,1)</f>
        <v>1</v>
      </c>
      <c r="AF51" s="0" t="n">
        <f aca="false">IF(G51=0,0,1)</f>
        <v>1</v>
      </c>
      <c r="AG51" s="0" t="n">
        <f aca="false">IF(H51=0,0,1)</f>
        <v>0</v>
      </c>
      <c r="AH51" s="0" t="n">
        <f aca="false">IF(I51=0,0,1)</f>
        <v>0</v>
      </c>
      <c r="AI51" s="0" t="n">
        <f aca="false">IF(J51=0,0,1)</f>
        <v>0</v>
      </c>
      <c r="AJ51" s="0" t="n">
        <f aca="false">IF(K51=0,0,1)</f>
        <v>0</v>
      </c>
      <c r="AK51" s="0" t="n">
        <f aca="false">IF(L51=0,0,1)</f>
        <v>0</v>
      </c>
      <c r="AL51" s="0" t="n">
        <f aca="false">IF(M51=0,0,1)</f>
        <v>0</v>
      </c>
      <c r="AM51" s="0" t="n">
        <f aca="false">IF(N51=0,0,1)</f>
        <v>0</v>
      </c>
      <c r="AN51" s="0" t="n">
        <f aca="false">IF(O51=0,0,1)</f>
        <v>0</v>
      </c>
      <c r="AO51" s="0" t="n">
        <f aca="false">IF(P51=0,0,1)</f>
        <v>0</v>
      </c>
      <c r="AP51" s="0" t="n">
        <f aca="false">IF(Q51=0,0,1)</f>
        <v>0</v>
      </c>
      <c r="AQ51" s="0" t="n">
        <f aca="false">IF(R51=0,0,1)</f>
        <v>0</v>
      </c>
      <c r="AR51" s="0" t="n">
        <f aca="false">IF(S51=0,0,1)</f>
        <v>0</v>
      </c>
      <c r="AS51" s="0" t="n">
        <f aca="false">IF(T51=0,0,1)</f>
        <v>0</v>
      </c>
      <c r="AT51" s="0" t="n">
        <f aca="false">IF(U51=0,0,1)</f>
        <v>0</v>
      </c>
      <c r="AU51" s="0" t="n">
        <f aca="false">IF(V51=0,0,1)</f>
        <v>0</v>
      </c>
      <c r="AV51" s="0" t="n">
        <f aca="false">IF(W51=0,0,1)</f>
        <v>0</v>
      </c>
      <c r="AW51" s="26" t="n">
        <f aca="false">SUM(AA51:AV51)</f>
        <v>6</v>
      </c>
      <c r="AX51" s="27" t="n">
        <f aca="false">IF(X51=0,0,X51)</f>
        <v>241</v>
      </c>
      <c r="AY51" s="1" t="str">
        <f aca="false">IF(X51=0,0,A51)</f>
        <v>MELISSA</v>
      </c>
      <c r="AZ51" s="28" t="str">
        <f aca="false">IF(AX51=0,0,A$46)</f>
        <v>PKT CHANGE</v>
      </c>
      <c r="BA51" s="53" t="n">
        <v>201</v>
      </c>
      <c r="BB51" s="30" t="s">
        <v>101</v>
      </c>
      <c r="BC51" s="30" t="s">
        <v>66</v>
      </c>
      <c r="BD51" s="27"/>
      <c r="BE51" s="26"/>
      <c r="BF51" s="32"/>
      <c r="BG51" s="33"/>
    </row>
    <row r="52" customFormat="false" ht="15" hidden="false" customHeight="false" outlineLevel="0" collapsed="false">
      <c r="A52" s="21" t="n">
        <f aca="false">B!B172</f>
        <v>0</v>
      </c>
      <c r="B52" s="22" t="n">
        <f aca="false">C!B49</f>
        <v>0</v>
      </c>
      <c r="C52" s="22" t="n">
        <f aca="false">D!B49</f>
        <v>0</v>
      </c>
      <c r="D52" s="22" t="n">
        <f aca="false">E!B49</f>
        <v>0</v>
      </c>
      <c r="E52" s="22" t="n">
        <f aca="false">F!B49</f>
        <v>0</v>
      </c>
      <c r="F52" s="22" t="n">
        <f aca="false">G!B49</f>
        <v>0</v>
      </c>
      <c r="G52" s="22" t="n">
        <f aca="false">H!B49</f>
        <v>0</v>
      </c>
      <c r="H52" s="22" t="n">
        <f aca="false">I!B49</f>
        <v>0</v>
      </c>
      <c r="I52" s="22" t="n">
        <f aca="false">J!B49</f>
        <v>0</v>
      </c>
      <c r="J52" s="22" t="n">
        <f aca="false">K!B49</f>
        <v>0</v>
      </c>
      <c r="K52" s="22" t="n">
        <f aca="false">L!B49</f>
        <v>0</v>
      </c>
      <c r="L52" s="22" t="n">
        <f aca="false">M!B49</f>
        <v>0</v>
      </c>
      <c r="M52" s="22" t="n">
        <f aca="false">N!B49</f>
        <v>0</v>
      </c>
      <c r="N52" s="22" t="n">
        <f aca="false">O!B49</f>
        <v>0</v>
      </c>
      <c r="O52" s="22" t="n">
        <f aca="false">P!B49</f>
        <v>0</v>
      </c>
      <c r="P52" s="22" t="n">
        <f aca="false">Q!B49</f>
        <v>0</v>
      </c>
      <c r="Q52" s="22" t="n">
        <f aca="false">R!B49</f>
        <v>0</v>
      </c>
      <c r="R52" s="22" t="n">
        <f aca="false">S!B49</f>
        <v>0</v>
      </c>
      <c r="S52" s="22" t="n">
        <f aca="false">T!B49</f>
        <v>0</v>
      </c>
      <c r="T52" s="22" t="n">
        <f aca="false">U!B49</f>
        <v>0</v>
      </c>
      <c r="U52" s="22" t="n">
        <f aca="false">V!B49</f>
        <v>0</v>
      </c>
      <c r="V52" s="22" t="n">
        <f aca="false">W!B49</f>
        <v>0</v>
      </c>
      <c r="W52" s="22" t="n">
        <f aca="false">X!B49</f>
        <v>0</v>
      </c>
      <c r="X52" s="23" t="n">
        <f aca="false">SUM(B52:W52)</f>
        <v>0</v>
      </c>
      <c r="Y52" s="24" t="n">
        <f aca="false">IF(AW52=0,0,X52/AW52)</f>
        <v>0</v>
      </c>
      <c r="Z52" s="25" t="n">
        <f aca="false">A52</f>
        <v>0</v>
      </c>
      <c r="AA52" s="16" t="n">
        <f aca="false">IF(B52=0,0,1)</f>
        <v>0</v>
      </c>
      <c r="AB52" s="0" t="n">
        <f aca="false">IF(C52=0,0,1)</f>
        <v>0</v>
      </c>
      <c r="AC52" s="0" t="n">
        <f aca="false">IF(D52=0,0,1)</f>
        <v>0</v>
      </c>
      <c r="AD52" s="0" t="n">
        <f aca="false">IF(E52=0,0,1)</f>
        <v>0</v>
      </c>
      <c r="AE52" s="0" t="n">
        <f aca="false">IF(F52=0,0,1)</f>
        <v>0</v>
      </c>
      <c r="AF52" s="0" t="n">
        <f aca="false">IF(G52=0,0,1)</f>
        <v>0</v>
      </c>
      <c r="AG52" s="0" t="n">
        <f aca="false">IF(H52=0,0,1)</f>
        <v>0</v>
      </c>
      <c r="AH52" s="0" t="n">
        <f aca="false">IF(I52=0,0,1)</f>
        <v>0</v>
      </c>
      <c r="AI52" s="0" t="n">
        <f aca="false">IF(J52=0,0,1)</f>
        <v>0</v>
      </c>
      <c r="AJ52" s="0" t="n">
        <f aca="false">IF(K52=0,0,1)</f>
        <v>0</v>
      </c>
      <c r="AK52" s="0" t="n">
        <f aca="false">IF(L52=0,0,1)</f>
        <v>0</v>
      </c>
      <c r="AL52" s="0" t="n">
        <f aca="false">IF(M52=0,0,1)</f>
        <v>0</v>
      </c>
      <c r="AM52" s="0" t="n">
        <f aca="false">IF(N52=0,0,1)</f>
        <v>0</v>
      </c>
      <c r="AN52" s="0" t="n">
        <f aca="false">IF(O52=0,0,1)</f>
        <v>0</v>
      </c>
      <c r="AO52" s="0" t="n">
        <f aca="false">IF(P52=0,0,1)</f>
        <v>0</v>
      </c>
      <c r="AP52" s="0" t="n">
        <f aca="false">IF(Q52=0,0,1)</f>
        <v>0</v>
      </c>
      <c r="AQ52" s="0" t="n">
        <f aca="false">IF(R52=0,0,1)</f>
        <v>0</v>
      </c>
      <c r="AR52" s="0" t="n">
        <f aca="false">IF(S52=0,0,1)</f>
        <v>0</v>
      </c>
      <c r="AS52" s="0" t="n">
        <f aca="false">IF(T52=0,0,1)</f>
        <v>0</v>
      </c>
      <c r="AT52" s="0" t="n">
        <f aca="false">IF(U52=0,0,1)</f>
        <v>0</v>
      </c>
      <c r="AU52" s="0" t="n">
        <f aca="false">IF(V52=0,0,1)</f>
        <v>0</v>
      </c>
      <c r="AV52" s="0" t="n">
        <f aca="false">IF(W52=0,0,1)</f>
        <v>0</v>
      </c>
      <c r="AW52" s="26" t="n">
        <f aca="false">SUM(AA52:AV52)</f>
        <v>0</v>
      </c>
      <c r="AX52" s="27" t="n">
        <f aca="false">IF(X52=0,0,X52)</f>
        <v>0</v>
      </c>
      <c r="AY52" s="1" t="n">
        <f aca="false">IF(X52=0,0,A52)</f>
        <v>0</v>
      </c>
      <c r="AZ52" s="28" t="n">
        <f aca="false">IF(AX52=0,0,A$46)</f>
        <v>0</v>
      </c>
      <c r="BA52" s="53" t="n">
        <v>198</v>
      </c>
      <c r="BB52" s="30" t="s">
        <v>120</v>
      </c>
      <c r="BC52" s="30" t="s">
        <v>66</v>
      </c>
      <c r="BD52" s="27"/>
      <c r="BE52" s="26"/>
      <c r="BF52" s="32"/>
      <c r="BG52" s="33"/>
    </row>
    <row r="53" customFormat="false" ht="15" hidden="false" customHeight="false" outlineLevel="0" collapsed="false">
      <c r="A53" s="21" t="n">
        <f aca="false">B!B177</f>
        <v>0</v>
      </c>
      <c r="B53" s="22" t="n">
        <f aca="false">C!B50</f>
        <v>0</v>
      </c>
      <c r="C53" s="22" t="n">
        <f aca="false">D!B50</f>
        <v>0</v>
      </c>
      <c r="D53" s="22" t="n">
        <f aca="false">E!B50</f>
        <v>0</v>
      </c>
      <c r="E53" s="22" t="n">
        <f aca="false">F!B50</f>
        <v>0</v>
      </c>
      <c r="F53" s="22" t="n">
        <f aca="false">G!B50</f>
        <v>0</v>
      </c>
      <c r="G53" s="22" t="n">
        <f aca="false">H!B50</f>
        <v>0</v>
      </c>
      <c r="H53" s="22" t="n">
        <f aca="false">I!B50</f>
        <v>0</v>
      </c>
      <c r="I53" s="22" t="n">
        <f aca="false">J!B50</f>
        <v>0</v>
      </c>
      <c r="J53" s="22" t="n">
        <f aca="false">K!B50</f>
        <v>0</v>
      </c>
      <c r="K53" s="22" t="n">
        <f aca="false">L!B50</f>
        <v>0</v>
      </c>
      <c r="L53" s="22" t="n">
        <f aca="false">M!B50</f>
        <v>0</v>
      </c>
      <c r="M53" s="22" t="n">
        <f aca="false">N!B50</f>
        <v>0</v>
      </c>
      <c r="N53" s="22" t="n">
        <f aca="false">O!B50</f>
        <v>0</v>
      </c>
      <c r="O53" s="22" t="n">
        <f aca="false">P!B50</f>
        <v>0</v>
      </c>
      <c r="P53" s="22" t="n">
        <f aca="false">Q!B50</f>
        <v>0</v>
      </c>
      <c r="Q53" s="22" t="n">
        <f aca="false">R!B50</f>
        <v>0</v>
      </c>
      <c r="R53" s="22" t="n">
        <f aca="false">S!B50</f>
        <v>0</v>
      </c>
      <c r="S53" s="22" t="n">
        <f aca="false">T!B50</f>
        <v>0</v>
      </c>
      <c r="T53" s="22" t="n">
        <f aca="false">U!B50</f>
        <v>0</v>
      </c>
      <c r="U53" s="22" t="n">
        <f aca="false">V!B50</f>
        <v>0</v>
      </c>
      <c r="V53" s="22" t="n">
        <f aca="false">W!B50</f>
        <v>0</v>
      </c>
      <c r="W53" s="22" t="n">
        <f aca="false">X!B50</f>
        <v>0</v>
      </c>
      <c r="X53" s="23" t="n">
        <f aca="false">SUM(B53:W53)</f>
        <v>0</v>
      </c>
      <c r="Y53" s="24" t="n">
        <f aca="false">IF(AW53=0,0,X53/AW53)</f>
        <v>0</v>
      </c>
      <c r="Z53" s="25" t="n">
        <f aca="false">A53</f>
        <v>0</v>
      </c>
      <c r="AA53" s="16" t="n">
        <f aca="false">IF(B53=0,0,1)</f>
        <v>0</v>
      </c>
      <c r="AB53" s="0" t="n">
        <f aca="false">IF(C53=0,0,1)</f>
        <v>0</v>
      </c>
      <c r="AC53" s="0" t="n">
        <f aca="false">IF(D53=0,0,1)</f>
        <v>0</v>
      </c>
      <c r="AD53" s="0" t="n">
        <f aca="false">IF(E53=0,0,1)</f>
        <v>0</v>
      </c>
      <c r="AE53" s="0" t="n">
        <f aca="false">IF(F53=0,0,1)</f>
        <v>0</v>
      </c>
      <c r="AF53" s="0" t="n">
        <f aca="false">IF(G53=0,0,1)</f>
        <v>0</v>
      </c>
      <c r="AG53" s="0" t="n">
        <f aca="false">IF(H53=0,0,1)</f>
        <v>0</v>
      </c>
      <c r="AH53" s="0" t="n">
        <f aca="false">IF(I53=0,0,1)</f>
        <v>0</v>
      </c>
      <c r="AI53" s="0" t="n">
        <f aca="false">IF(J53=0,0,1)</f>
        <v>0</v>
      </c>
      <c r="AJ53" s="0" t="n">
        <f aca="false">IF(K53=0,0,1)</f>
        <v>0</v>
      </c>
      <c r="AK53" s="0" t="n">
        <f aca="false">IF(L53=0,0,1)</f>
        <v>0</v>
      </c>
      <c r="AL53" s="0" t="n">
        <f aca="false">IF(M53=0,0,1)</f>
        <v>0</v>
      </c>
      <c r="AM53" s="0" t="n">
        <f aca="false">IF(N53=0,0,1)</f>
        <v>0</v>
      </c>
      <c r="AN53" s="0" t="n">
        <f aca="false">IF(O53=0,0,1)</f>
        <v>0</v>
      </c>
      <c r="AO53" s="0" t="n">
        <f aca="false">IF(P53=0,0,1)</f>
        <v>0</v>
      </c>
      <c r="AP53" s="0" t="n">
        <f aca="false">IF(Q53=0,0,1)</f>
        <v>0</v>
      </c>
      <c r="AQ53" s="0" t="n">
        <f aca="false">IF(R53=0,0,1)</f>
        <v>0</v>
      </c>
      <c r="AR53" s="0" t="n">
        <f aca="false">IF(S53=0,0,1)</f>
        <v>0</v>
      </c>
      <c r="AS53" s="0" t="n">
        <f aca="false">IF(T53=0,0,1)</f>
        <v>0</v>
      </c>
      <c r="AT53" s="0" t="n">
        <f aca="false">IF(U53=0,0,1)</f>
        <v>0</v>
      </c>
      <c r="AU53" s="0" t="n">
        <f aca="false">IF(V53=0,0,1)</f>
        <v>0</v>
      </c>
      <c r="AV53" s="0" t="n">
        <f aca="false">IF(W53=0,0,1)</f>
        <v>0</v>
      </c>
      <c r="AW53" s="26" t="n">
        <f aca="false">SUM(AA53:AV53)</f>
        <v>0</v>
      </c>
      <c r="AX53" s="27" t="n">
        <f aca="false">IF(X53=0,0,X53)</f>
        <v>0</v>
      </c>
      <c r="AY53" s="1" t="n">
        <f aca="false">IF(X53=0,0,A53)</f>
        <v>0</v>
      </c>
      <c r="AZ53" s="28" t="n">
        <f aca="false">IF(AX53=0,0,A$46)</f>
        <v>0</v>
      </c>
      <c r="BA53" s="29" t="n">
        <v>198</v>
      </c>
      <c r="BB53" s="30" t="s">
        <v>115</v>
      </c>
      <c r="BC53" s="31" t="s">
        <v>46</v>
      </c>
      <c r="BD53" s="27"/>
      <c r="BE53" s="26"/>
      <c r="BF53" s="32"/>
      <c r="BG53" s="33"/>
    </row>
    <row r="54" customFormat="false" ht="15" hidden="false" customHeight="false" outlineLevel="0" collapsed="false">
      <c r="A54" s="16" t="n">
        <f aca="false">B!B182</f>
        <v>0</v>
      </c>
      <c r="B54" s="22" t="n">
        <f aca="false">C!B51</f>
        <v>0</v>
      </c>
      <c r="C54" s="22" t="n">
        <f aca="false">D!B51</f>
        <v>0</v>
      </c>
      <c r="D54" s="22" t="n">
        <f aca="false">E!B51</f>
        <v>0</v>
      </c>
      <c r="E54" s="22" t="n">
        <f aca="false">F!B51</f>
        <v>0</v>
      </c>
      <c r="F54" s="22" t="n">
        <f aca="false">G!B51</f>
        <v>0</v>
      </c>
      <c r="G54" s="22" t="n">
        <f aca="false">H!B51</f>
        <v>0</v>
      </c>
      <c r="H54" s="22" t="n">
        <f aca="false">I!B51</f>
        <v>0</v>
      </c>
      <c r="I54" s="22" t="n">
        <f aca="false">J!B51</f>
        <v>0</v>
      </c>
      <c r="J54" s="22" t="n">
        <f aca="false">K!B51</f>
        <v>0</v>
      </c>
      <c r="K54" s="22" t="n">
        <f aca="false">L!B51</f>
        <v>0</v>
      </c>
      <c r="L54" s="22" t="n">
        <f aca="false">M!B51</f>
        <v>0</v>
      </c>
      <c r="M54" s="22" t="n">
        <f aca="false">N!B51</f>
        <v>0</v>
      </c>
      <c r="N54" s="22" t="n">
        <f aca="false">O!B51</f>
        <v>0</v>
      </c>
      <c r="O54" s="22" t="n">
        <f aca="false">P!B51</f>
        <v>0</v>
      </c>
      <c r="P54" s="22" t="n">
        <f aca="false">Q!B51</f>
        <v>0</v>
      </c>
      <c r="Q54" s="22" t="n">
        <f aca="false">R!B51</f>
        <v>0</v>
      </c>
      <c r="R54" s="22" t="n">
        <f aca="false">S!B51</f>
        <v>0</v>
      </c>
      <c r="S54" s="22" t="n">
        <f aca="false">T!B51</f>
        <v>0</v>
      </c>
      <c r="T54" s="22" t="n">
        <f aca="false">U!B51</f>
        <v>0</v>
      </c>
      <c r="U54" s="22" t="n">
        <f aca="false">V!B51</f>
        <v>0</v>
      </c>
      <c r="V54" s="22" t="n">
        <f aca="false">W!B51</f>
        <v>0</v>
      </c>
      <c r="W54" s="22" t="n">
        <f aca="false">X!B51</f>
        <v>0</v>
      </c>
      <c r="X54" s="23" t="n">
        <f aca="false">SUM(B54:W54)</f>
        <v>0</v>
      </c>
      <c r="Y54" s="24" t="n">
        <f aca="false">IF(AW54=0,0,X54/AW54)</f>
        <v>0</v>
      </c>
      <c r="Z54" s="25" t="n">
        <f aca="false">A54</f>
        <v>0</v>
      </c>
      <c r="AA54" s="16" t="n">
        <f aca="false">IF(B54=0,0,1)</f>
        <v>0</v>
      </c>
      <c r="AB54" s="0" t="n">
        <f aca="false">IF(C54=0,0,1)</f>
        <v>0</v>
      </c>
      <c r="AC54" s="0" t="n">
        <f aca="false">IF(D54=0,0,1)</f>
        <v>0</v>
      </c>
      <c r="AD54" s="0" t="n">
        <f aca="false">IF(E54=0,0,1)</f>
        <v>0</v>
      </c>
      <c r="AE54" s="0" t="n">
        <f aca="false">IF(F54=0,0,1)</f>
        <v>0</v>
      </c>
      <c r="AF54" s="0" t="n">
        <f aca="false">IF(G54=0,0,1)</f>
        <v>0</v>
      </c>
      <c r="AG54" s="0" t="n">
        <f aca="false">IF(H54=0,0,1)</f>
        <v>0</v>
      </c>
      <c r="AH54" s="0" t="n">
        <f aca="false">IF(I54=0,0,1)</f>
        <v>0</v>
      </c>
      <c r="AI54" s="0" t="n">
        <f aca="false">IF(J54=0,0,1)</f>
        <v>0</v>
      </c>
      <c r="AJ54" s="0" t="n">
        <f aca="false">IF(K54=0,0,1)</f>
        <v>0</v>
      </c>
      <c r="AK54" s="0" t="n">
        <f aca="false">IF(L54=0,0,1)</f>
        <v>0</v>
      </c>
      <c r="AL54" s="0" t="n">
        <f aca="false">IF(M54=0,0,1)</f>
        <v>0</v>
      </c>
      <c r="AM54" s="0" t="n">
        <f aca="false">IF(N54=0,0,1)</f>
        <v>0</v>
      </c>
      <c r="AN54" s="0" t="n">
        <f aca="false">IF(O54=0,0,1)</f>
        <v>0</v>
      </c>
      <c r="AO54" s="0" t="n">
        <f aca="false">IF(P54=0,0,1)</f>
        <v>0</v>
      </c>
      <c r="AP54" s="0" t="n">
        <f aca="false">IF(Q54=0,0,1)</f>
        <v>0</v>
      </c>
      <c r="AQ54" s="0" t="n">
        <f aca="false">IF(R54=0,0,1)</f>
        <v>0</v>
      </c>
      <c r="AR54" s="0" t="n">
        <f aca="false">IF(S54=0,0,1)</f>
        <v>0</v>
      </c>
      <c r="AS54" s="0" t="n">
        <f aca="false">IF(T54=0,0,1)</f>
        <v>0</v>
      </c>
      <c r="AT54" s="0" t="n">
        <f aca="false">IF(U54=0,0,1)</f>
        <v>0</v>
      </c>
      <c r="AU54" s="0" t="n">
        <f aca="false">IF(V54=0,0,1)</f>
        <v>0</v>
      </c>
      <c r="AV54" s="0" t="n">
        <f aca="false">IF(W54=0,0,1)</f>
        <v>0</v>
      </c>
      <c r="AW54" s="26" t="n">
        <f aca="false">SUM(AA54:AV54)</f>
        <v>0</v>
      </c>
      <c r="AX54" s="27" t="n">
        <f aca="false">IF(X54=0,0,X54)</f>
        <v>0</v>
      </c>
      <c r="AY54" s="1" t="n">
        <f aca="false">IF(X54=0,0,A54)</f>
        <v>0</v>
      </c>
      <c r="AZ54" s="28" t="n">
        <f aca="false">IF(AX54=0,0,A$46)</f>
        <v>0</v>
      </c>
      <c r="BA54" s="29" t="n">
        <v>191</v>
      </c>
      <c r="BB54" s="30" t="s">
        <v>121</v>
      </c>
      <c r="BC54" s="31" t="s">
        <v>62</v>
      </c>
      <c r="BD54" s="27"/>
      <c r="BE54" s="26"/>
      <c r="BF54" s="32"/>
      <c r="BG54" s="33"/>
    </row>
    <row r="55" customFormat="false" ht="15" hidden="false" customHeight="false" outlineLevel="0" collapsed="false">
      <c r="A55" s="38" t="s">
        <v>60</v>
      </c>
      <c r="B55" s="39" t="n">
        <f aca="false">SUM(B47:B54)</f>
        <v>193</v>
      </c>
      <c r="C55" s="39" t="n">
        <f aca="false">SUM(C47:C54)</f>
        <v>179</v>
      </c>
      <c r="D55" s="39" t="n">
        <f aca="false">SUM(D47:D54)</f>
        <v>172</v>
      </c>
      <c r="E55" s="39" t="n">
        <f aca="false">SUM(E47:E54)</f>
        <v>218</v>
      </c>
      <c r="F55" s="39" t="n">
        <f aca="false">SUM(F47:F54)</f>
        <v>169</v>
      </c>
      <c r="G55" s="39" t="n">
        <f aca="false">SUM(G47:G54)</f>
        <v>211</v>
      </c>
      <c r="H55" s="39" t="n">
        <f aca="false">SUM(H47:H54)</f>
        <v>0</v>
      </c>
      <c r="I55" s="39" t="n">
        <f aca="false">SUM(I47:I54)</f>
        <v>0</v>
      </c>
      <c r="J55" s="39" t="n">
        <f aca="false">SUM(J47:J54)</f>
        <v>0</v>
      </c>
      <c r="K55" s="39" t="n">
        <f aca="false">SUM(K47:K54)</f>
        <v>0</v>
      </c>
      <c r="L55" s="39" t="n">
        <f aca="false">SUM(L47:L54)</f>
        <v>0</v>
      </c>
      <c r="M55" s="39" t="n">
        <f aca="false">SUM(M47:M54)</f>
        <v>0</v>
      </c>
      <c r="N55" s="39" t="n">
        <f aca="false">SUM(N47:N54)</f>
        <v>0</v>
      </c>
      <c r="O55" s="39" t="n">
        <f aca="false">SUM(O47:O54)</f>
        <v>0</v>
      </c>
      <c r="P55" s="39" t="n">
        <f aca="false">SUM(P47:P54)</f>
        <v>0</v>
      </c>
      <c r="Q55" s="39" t="n">
        <f aca="false">SUM(Q47:Q54)</f>
        <v>0</v>
      </c>
      <c r="R55" s="39" t="n">
        <f aca="false">SUM(R47:R54)</f>
        <v>0</v>
      </c>
      <c r="S55" s="39" t="n">
        <f aca="false">SUM(S47:S54)</f>
        <v>0</v>
      </c>
      <c r="T55" s="39" t="n">
        <f aca="false">SUM(T47:T54)</f>
        <v>0</v>
      </c>
      <c r="U55" s="39" t="n">
        <f aca="false">SUM(U47:U54)</f>
        <v>0</v>
      </c>
      <c r="V55" s="39" t="n">
        <f aca="false">SUM(V47:V54)</f>
        <v>0</v>
      </c>
      <c r="W55" s="39" t="n">
        <f aca="false">SUM(W47:W54)</f>
        <v>0</v>
      </c>
      <c r="X55" s="40" t="n">
        <f aca="false">SUM(B55:W55)</f>
        <v>1142</v>
      </c>
      <c r="Y55" s="41" t="n">
        <f aca="false">IF(X55=0,0,X55/AW55)</f>
        <v>190.333333333333</v>
      </c>
      <c r="Z55" s="25"/>
      <c r="AA55" s="42" t="n">
        <f aca="false">SUM(AA47:AA54)</f>
        <v>5</v>
      </c>
      <c r="AB55" s="43" t="n">
        <f aca="false">SUM(AB47:AB54)</f>
        <v>5</v>
      </c>
      <c r="AC55" s="43" t="n">
        <f aca="false">SUM(AC47:AC54)</f>
        <v>5</v>
      </c>
      <c r="AD55" s="43" t="n">
        <f aca="false">SUM(AD47:AD54)</f>
        <v>5</v>
      </c>
      <c r="AE55" s="43" t="n">
        <f aca="false">SUM(AE47:AE54)</f>
        <v>5</v>
      </c>
      <c r="AF55" s="43" t="n">
        <f aca="false">SUM(AF47:AF54)</f>
        <v>5</v>
      </c>
      <c r="AG55" s="43" t="n">
        <f aca="false">SUM(AG47:AG54)</f>
        <v>0</v>
      </c>
      <c r="AH55" s="43" t="n">
        <f aca="false">SUM(AH47:AH54)</f>
        <v>0</v>
      </c>
      <c r="AI55" s="43" t="n">
        <f aca="false">SUM(AI47:AI54)</f>
        <v>0</v>
      </c>
      <c r="AJ55" s="43" t="n">
        <f aca="false">SUM(AJ47:AJ54)</f>
        <v>0</v>
      </c>
      <c r="AK55" s="43" t="n">
        <f aca="false">SUM(AK47:AK54)</f>
        <v>0</v>
      </c>
      <c r="AL55" s="43" t="n">
        <f aca="false">SUM(AL47:AL54)</f>
        <v>0</v>
      </c>
      <c r="AM55" s="43" t="n">
        <f aca="false">SUM(AM47:AM54)</f>
        <v>0</v>
      </c>
      <c r="AN55" s="43" t="n">
        <f aca="false">SUM(AN47:AN54)</f>
        <v>0</v>
      </c>
      <c r="AO55" s="43" t="n">
        <f aca="false">SUM(AO47:AO54)</f>
        <v>0</v>
      </c>
      <c r="AP55" s="43" t="n">
        <f aca="false">SUM(AP47:AP54)</f>
        <v>0</v>
      </c>
      <c r="AQ55" s="43" t="n">
        <f aca="false">SUM(AQ47:AQ54)</f>
        <v>0</v>
      </c>
      <c r="AR55" s="43" t="n">
        <f aca="false">SUM(AR47:AR54)</f>
        <v>0</v>
      </c>
      <c r="AS55" s="43" t="n">
        <f aca="false">SUM(AS47:AS54)</f>
        <v>0</v>
      </c>
      <c r="AT55" s="43" t="n">
        <f aca="false">SUM(AT47:AT54)</f>
        <v>0</v>
      </c>
      <c r="AU55" s="43" t="n">
        <f aca="false">SUM(AU47:AU54)</f>
        <v>0</v>
      </c>
      <c r="AV55" s="43" t="n">
        <f aca="false">SUM(AV47:AV54)</f>
        <v>0</v>
      </c>
      <c r="AW55" s="44" t="n">
        <f aca="false">MAXA(AW47:AW54)</f>
        <v>6</v>
      </c>
      <c r="AX55" s="27"/>
      <c r="AZ55" s="28"/>
      <c r="BA55" s="53" t="n">
        <v>183</v>
      </c>
      <c r="BB55" s="30" t="s">
        <v>122</v>
      </c>
      <c r="BC55" s="30" t="s">
        <v>52</v>
      </c>
      <c r="BD55" s="27"/>
      <c r="BE55" s="26"/>
      <c r="BF55" s="32"/>
      <c r="BG55" s="33"/>
    </row>
    <row r="56" customFormat="false" ht="15" hidden="false" customHeight="false" outlineLevel="0" collapsed="false">
      <c r="A56" s="54" t="s">
        <v>64</v>
      </c>
      <c r="B56" s="22" t="n">
        <f aca="false">C!B52</f>
        <v>0</v>
      </c>
      <c r="C56" s="22" t="n">
        <f aca="false">D!B52</f>
        <v>0</v>
      </c>
      <c r="D56" s="22" t="n">
        <f aca="false">E!B52</f>
        <v>0</v>
      </c>
      <c r="E56" s="22" t="n">
        <f aca="false">F!B52</f>
        <v>0</v>
      </c>
      <c r="F56" s="22" t="n">
        <f aca="false">G!B52</f>
        <v>0</v>
      </c>
      <c r="G56" s="22" t="n">
        <f aca="false">H!B52</f>
        <v>0</v>
      </c>
      <c r="H56" s="22" t="n">
        <f aca="false">I!B52</f>
        <v>0</v>
      </c>
      <c r="I56" s="22" t="n">
        <f aca="false">J!B52</f>
        <v>0</v>
      </c>
      <c r="J56" s="22" t="n">
        <f aca="false">K!B52</f>
        <v>0</v>
      </c>
      <c r="K56" s="22" t="n">
        <f aca="false">L!B52</f>
        <v>0</v>
      </c>
      <c r="L56" s="22" t="n">
        <f aca="false">M!B52</f>
        <v>0</v>
      </c>
      <c r="M56" s="22" t="n">
        <f aca="false">N!B52</f>
        <v>0</v>
      </c>
      <c r="N56" s="22" t="n">
        <f aca="false">O!B52</f>
        <v>0</v>
      </c>
      <c r="O56" s="22" t="n">
        <f aca="false">P!B52</f>
        <v>0</v>
      </c>
      <c r="P56" s="22" t="n">
        <f aca="false">Q!B52</f>
        <v>0</v>
      </c>
      <c r="Q56" s="22" t="n">
        <f aca="false">R!B52</f>
        <v>0</v>
      </c>
      <c r="R56" s="22" t="n">
        <f aca="false">S!B52</f>
        <v>0</v>
      </c>
      <c r="S56" s="22" t="n">
        <f aca="false">T!B52</f>
        <v>0</v>
      </c>
      <c r="T56" s="22" t="n">
        <f aca="false">U!B52</f>
        <v>0</v>
      </c>
      <c r="U56" s="22" t="n">
        <f aca="false">V!B52</f>
        <v>0</v>
      </c>
      <c r="V56" s="22" t="n">
        <f aca="false">W!B52</f>
        <v>0</v>
      </c>
      <c r="W56" s="22" t="n">
        <f aca="false">X!B52</f>
        <v>0</v>
      </c>
      <c r="X56" s="23" t="n">
        <f aca="false">SUM(B56:W56)</f>
        <v>0</v>
      </c>
      <c r="Y56" s="47"/>
      <c r="Z56" s="25"/>
      <c r="AA56" s="16"/>
      <c r="AW56" s="26"/>
      <c r="AX56" s="27"/>
      <c r="AZ56" s="28"/>
      <c r="BA56" s="29" t="n">
        <v>182</v>
      </c>
      <c r="BB56" s="30" t="s">
        <v>123</v>
      </c>
      <c r="BC56" s="31" t="s">
        <v>70</v>
      </c>
      <c r="BD56" s="27"/>
      <c r="BE56" s="26"/>
      <c r="BF56" s="32"/>
      <c r="BG56" s="33"/>
    </row>
    <row r="57" customFormat="false" ht="15" hidden="false" customHeight="false" outlineLevel="0" collapsed="false">
      <c r="A57" s="48" t="s">
        <v>68</v>
      </c>
      <c r="B57" s="49" t="n">
        <f aca="false">SUM(B55:B56)</f>
        <v>193</v>
      </c>
      <c r="C57" s="49" t="n">
        <f aca="false">SUM(C55:C56)</f>
        <v>179</v>
      </c>
      <c r="D57" s="49" t="n">
        <f aca="false">SUM(D55:D56)</f>
        <v>172</v>
      </c>
      <c r="E57" s="49" t="n">
        <f aca="false">SUM(E55:E56)</f>
        <v>218</v>
      </c>
      <c r="F57" s="49" t="n">
        <f aca="false">SUM(F55:F56)</f>
        <v>169</v>
      </c>
      <c r="G57" s="49" t="n">
        <f aca="false">SUM(G55:G56)</f>
        <v>211</v>
      </c>
      <c r="H57" s="49" t="n">
        <f aca="false">SUM(H55:H56)</f>
        <v>0</v>
      </c>
      <c r="I57" s="49" t="n">
        <f aca="false">SUM(I55:I56)</f>
        <v>0</v>
      </c>
      <c r="J57" s="49" t="n">
        <f aca="false">SUM(J55:J56)</f>
        <v>0</v>
      </c>
      <c r="K57" s="49" t="n">
        <f aca="false">SUM(K55:K56)</f>
        <v>0</v>
      </c>
      <c r="L57" s="49" t="n">
        <f aca="false">SUM(L55:L56)</f>
        <v>0</v>
      </c>
      <c r="M57" s="49" t="n">
        <f aca="false">SUM(M55:M56)</f>
        <v>0</v>
      </c>
      <c r="N57" s="49" t="n">
        <f aca="false">SUM(N55:N56)</f>
        <v>0</v>
      </c>
      <c r="O57" s="49" t="n">
        <f aca="false">SUM(O55:O56)</f>
        <v>0</v>
      </c>
      <c r="P57" s="49" t="n">
        <f aca="false">SUM(P55:P56)</f>
        <v>0</v>
      </c>
      <c r="Q57" s="49" t="n">
        <f aca="false">SUM(Q55:Q56)</f>
        <v>0</v>
      </c>
      <c r="R57" s="49" t="n">
        <f aca="false">SUM(R55:R56)</f>
        <v>0</v>
      </c>
      <c r="S57" s="49" t="n">
        <f aca="false">SUM(S55:S56)</f>
        <v>0</v>
      </c>
      <c r="T57" s="49" t="n">
        <f aca="false">SUM(T55:T56)</f>
        <v>0</v>
      </c>
      <c r="U57" s="49" t="n">
        <f aca="false">SUM(U55:U56)</f>
        <v>0</v>
      </c>
      <c r="V57" s="49" t="n">
        <f aca="false">SUM(V55:V56)</f>
        <v>0</v>
      </c>
      <c r="W57" s="49" t="n">
        <f aca="false">SUM(W55:W56)</f>
        <v>0</v>
      </c>
      <c r="X57" s="50" t="n">
        <f aca="false">SUM(B57:W57)</f>
        <v>1142</v>
      </c>
      <c r="Y57" s="51"/>
      <c r="Z57" s="25"/>
      <c r="AA57" s="16"/>
      <c r="AW57" s="26"/>
      <c r="AX57" s="27"/>
      <c r="AZ57" s="28"/>
      <c r="BA57" s="29" t="n">
        <v>176</v>
      </c>
      <c r="BB57" s="30" t="s">
        <v>124</v>
      </c>
      <c r="BC57" s="31" t="s">
        <v>70</v>
      </c>
      <c r="BD57" s="27" t="n">
        <f aca="false">X57</f>
        <v>1142</v>
      </c>
      <c r="BE57" s="26" t="str">
        <f aca="false">A46</f>
        <v>PKT CHANGE</v>
      </c>
      <c r="BF57" s="32"/>
      <c r="BG57" s="33"/>
    </row>
    <row r="58" customFormat="false" ht="15" hidden="false" customHeight="false" outlineLevel="0" collapsed="false"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25"/>
      <c r="AA58" s="16"/>
      <c r="AW58" s="26"/>
      <c r="AX58" s="27"/>
      <c r="AZ58" s="28"/>
      <c r="BA58" s="53" t="n">
        <v>175</v>
      </c>
      <c r="BB58" s="30" t="s">
        <v>125</v>
      </c>
      <c r="BC58" s="30" t="s">
        <v>70</v>
      </c>
      <c r="BD58" s="27"/>
      <c r="BE58" s="26"/>
      <c r="BF58" s="32"/>
      <c r="BG58" s="33"/>
    </row>
    <row r="59" customFormat="false" ht="15" hidden="false" customHeight="false" outlineLevel="0" collapsed="false">
      <c r="A59" s="5" t="s">
        <v>126</v>
      </c>
      <c r="B59" s="6" t="s">
        <v>1</v>
      </c>
      <c r="C59" s="6" t="s">
        <v>2</v>
      </c>
      <c r="D59" s="6" t="s">
        <v>3</v>
      </c>
      <c r="E59" s="6" t="s">
        <v>4</v>
      </c>
      <c r="F59" s="6" t="s">
        <v>5</v>
      </c>
      <c r="G59" s="6" t="s">
        <v>6</v>
      </c>
      <c r="H59" s="6" t="s">
        <v>7</v>
      </c>
      <c r="I59" s="6" t="s">
        <v>8</v>
      </c>
      <c r="J59" s="6" t="s">
        <v>9</v>
      </c>
      <c r="K59" s="6" t="s">
        <v>10</v>
      </c>
      <c r="L59" s="6" t="s">
        <v>11</v>
      </c>
      <c r="M59" s="6" t="s">
        <v>12</v>
      </c>
      <c r="N59" s="6" t="s">
        <v>13</v>
      </c>
      <c r="O59" s="6" t="s">
        <v>14</v>
      </c>
      <c r="P59" s="6" t="s">
        <v>15</v>
      </c>
      <c r="Q59" s="6" t="s">
        <v>16</v>
      </c>
      <c r="R59" s="6" t="s">
        <v>17</v>
      </c>
      <c r="S59" s="6" t="s">
        <v>18</v>
      </c>
      <c r="T59" s="6" t="s">
        <v>19</v>
      </c>
      <c r="U59" s="6" t="s">
        <v>20</v>
      </c>
      <c r="V59" s="6" t="s">
        <v>21</v>
      </c>
      <c r="W59" s="6" t="s">
        <v>22</v>
      </c>
      <c r="X59" s="34"/>
      <c r="Y59" s="34"/>
      <c r="Z59" s="4" t="str">
        <f aca="false">A59</f>
        <v>Team #5 Name:</v>
      </c>
      <c r="AA59" s="16"/>
      <c r="AW59" s="26"/>
      <c r="AX59" s="27"/>
      <c r="AZ59" s="28"/>
      <c r="BA59" s="53" t="n">
        <v>162</v>
      </c>
      <c r="BB59" s="30" t="s">
        <v>127</v>
      </c>
      <c r="BC59" s="30" t="s">
        <v>66</v>
      </c>
      <c r="BD59" s="27"/>
      <c r="BE59" s="26"/>
      <c r="BF59" s="32"/>
      <c r="BG59" s="33"/>
    </row>
    <row r="60" customFormat="false" ht="15" hidden="false" customHeight="false" outlineLevel="0" collapsed="false">
      <c r="A60" s="11" t="str">
        <f aca="false">B!B188</f>
        <v>HABOOBS</v>
      </c>
      <c r="B60" s="52" t="s">
        <v>28</v>
      </c>
      <c r="C60" s="52" t="s">
        <v>28</v>
      </c>
      <c r="D60" s="52" t="s">
        <v>28</v>
      </c>
      <c r="E60" s="52" t="s">
        <v>28</v>
      </c>
      <c r="F60" s="52" t="s">
        <v>28</v>
      </c>
      <c r="G60" s="52" t="s">
        <v>28</v>
      </c>
      <c r="H60" s="52" t="s">
        <v>28</v>
      </c>
      <c r="I60" s="52" t="s">
        <v>28</v>
      </c>
      <c r="J60" s="52" t="s">
        <v>28</v>
      </c>
      <c r="K60" s="52" t="s">
        <v>28</v>
      </c>
      <c r="L60" s="52" t="s">
        <v>28</v>
      </c>
      <c r="M60" s="52" t="s">
        <v>28</v>
      </c>
      <c r="N60" s="52" t="s">
        <v>28</v>
      </c>
      <c r="O60" s="52" t="s">
        <v>28</v>
      </c>
      <c r="P60" s="52" t="s">
        <v>28</v>
      </c>
      <c r="Q60" s="52" t="s">
        <v>28</v>
      </c>
      <c r="R60" s="52" t="s">
        <v>28</v>
      </c>
      <c r="S60" s="52" t="s">
        <v>28</v>
      </c>
      <c r="T60" s="52" t="s">
        <v>28</v>
      </c>
      <c r="U60" s="52" t="s">
        <v>28</v>
      </c>
      <c r="V60" s="52" t="s">
        <v>28</v>
      </c>
      <c r="W60" s="52" t="s">
        <v>28</v>
      </c>
      <c r="X60" s="13" t="s">
        <v>29</v>
      </c>
      <c r="Y60" s="14" t="s">
        <v>30</v>
      </c>
      <c r="Z60" s="15" t="str">
        <f aca="false">A60</f>
        <v>HABOOBS</v>
      </c>
      <c r="AA60" s="16"/>
      <c r="AW60" s="17" t="s">
        <v>31</v>
      </c>
      <c r="AX60" s="27"/>
      <c r="AZ60" s="28"/>
      <c r="BA60" s="53" t="n">
        <v>18</v>
      </c>
      <c r="BB60" s="30" t="n">
        <v>0</v>
      </c>
      <c r="BC60" s="30" t="s">
        <v>70</v>
      </c>
      <c r="BD60" s="27"/>
      <c r="BE60" s="26"/>
      <c r="BF60" s="32"/>
      <c r="BG60" s="33"/>
    </row>
    <row r="61" customFormat="false" ht="15" hidden="false" customHeight="false" outlineLevel="0" collapsed="false">
      <c r="A61" s="21" t="str">
        <f aca="false">B!B190</f>
        <v>MIKE</v>
      </c>
      <c r="B61" s="22" t="n">
        <f aca="false">C!B57</f>
        <v>46</v>
      </c>
      <c r="C61" s="22" t="n">
        <f aca="false">D!B57</f>
        <v>46</v>
      </c>
      <c r="D61" s="22" t="n">
        <f aca="false">E!B57</f>
        <v>41</v>
      </c>
      <c r="E61" s="22" t="n">
        <f aca="false">F!B57</f>
        <v>32</v>
      </c>
      <c r="F61" s="22" t="n">
        <f aca="false">G!B57</f>
        <v>50</v>
      </c>
      <c r="G61" s="22" t="n">
        <f aca="false">H!B57</f>
        <v>26</v>
      </c>
      <c r="H61" s="22" t="n">
        <f aca="false">I!B57</f>
        <v>0</v>
      </c>
      <c r="I61" s="22" t="n">
        <f aca="false">J!B57</f>
        <v>0</v>
      </c>
      <c r="J61" s="22" t="n">
        <f aca="false">K!B57</f>
        <v>0</v>
      </c>
      <c r="K61" s="22" t="n">
        <f aca="false">L!B57</f>
        <v>0</v>
      </c>
      <c r="L61" s="22" t="n">
        <f aca="false">M!B57</f>
        <v>0</v>
      </c>
      <c r="M61" s="22" t="n">
        <f aca="false">N!B57</f>
        <v>0</v>
      </c>
      <c r="N61" s="22" t="n">
        <f aca="false">O!B57</f>
        <v>0</v>
      </c>
      <c r="O61" s="22" t="n">
        <f aca="false">P!B57</f>
        <v>0</v>
      </c>
      <c r="P61" s="22" t="n">
        <f aca="false">Q!B57</f>
        <v>0</v>
      </c>
      <c r="Q61" s="22" t="n">
        <f aca="false">R!B57</f>
        <v>0</v>
      </c>
      <c r="R61" s="22" t="n">
        <f aca="false">S!B57</f>
        <v>0</v>
      </c>
      <c r="S61" s="22" t="n">
        <f aca="false">T!B57</f>
        <v>0</v>
      </c>
      <c r="T61" s="22" t="n">
        <f aca="false">U!B57</f>
        <v>0</v>
      </c>
      <c r="U61" s="22" t="n">
        <f aca="false">V!B57</f>
        <v>0</v>
      </c>
      <c r="V61" s="22" t="n">
        <f aca="false">W!B57</f>
        <v>0</v>
      </c>
      <c r="W61" s="22" t="n">
        <f aca="false">X!B57</f>
        <v>0</v>
      </c>
      <c r="X61" s="23" t="n">
        <f aca="false">SUM(B61:W61)</f>
        <v>241</v>
      </c>
      <c r="Y61" s="24" t="n">
        <f aca="false">IF(AW61=0,0,X61/AW61)</f>
        <v>40.1666666666667</v>
      </c>
      <c r="Z61" s="25" t="str">
        <f aca="false">A61</f>
        <v>MIKE</v>
      </c>
      <c r="AA61" s="16" t="n">
        <f aca="false">IF(B61=0,0,1)</f>
        <v>1</v>
      </c>
      <c r="AB61" s="0" t="n">
        <f aca="false">IF(C61=0,0,1)</f>
        <v>1</v>
      </c>
      <c r="AC61" s="0" t="n">
        <f aca="false">IF(D61=0,0,1)</f>
        <v>1</v>
      </c>
      <c r="AD61" s="0" t="n">
        <f aca="false">IF(E61=0,0,1)</f>
        <v>1</v>
      </c>
      <c r="AE61" s="0" t="n">
        <f aca="false">IF(F61=0,0,1)</f>
        <v>1</v>
      </c>
      <c r="AF61" s="0" t="n">
        <f aca="false">IF(G61=0,0,1)</f>
        <v>1</v>
      </c>
      <c r="AG61" s="0" t="n">
        <f aca="false">IF(H61=0,0,1)</f>
        <v>0</v>
      </c>
      <c r="AH61" s="0" t="n">
        <f aca="false">IF(I61=0,0,1)</f>
        <v>0</v>
      </c>
      <c r="AI61" s="0" t="n">
        <f aca="false">IF(J61=0,0,1)</f>
        <v>0</v>
      </c>
      <c r="AJ61" s="0" t="n">
        <f aca="false">IF(K61=0,0,1)</f>
        <v>0</v>
      </c>
      <c r="AK61" s="0" t="n">
        <f aca="false">IF(L61=0,0,1)</f>
        <v>0</v>
      </c>
      <c r="AL61" s="0" t="n">
        <f aca="false">IF(M61=0,0,1)</f>
        <v>0</v>
      </c>
      <c r="AM61" s="0" t="n">
        <f aca="false">IF(N61=0,0,1)</f>
        <v>0</v>
      </c>
      <c r="AN61" s="0" t="n">
        <f aca="false">IF(O61=0,0,1)</f>
        <v>0</v>
      </c>
      <c r="AO61" s="0" t="n">
        <f aca="false">IF(P61=0,0,1)</f>
        <v>0</v>
      </c>
      <c r="AP61" s="0" t="n">
        <f aca="false">IF(Q61=0,0,1)</f>
        <v>0</v>
      </c>
      <c r="AQ61" s="0" t="n">
        <f aca="false">IF(R61=0,0,1)</f>
        <v>0</v>
      </c>
      <c r="AR61" s="0" t="n">
        <f aca="false">IF(S61=0,0,1)</f>
        <v>0</v>
      </c>
      <c r="AS61" s="0" t="n">
        <f aca="false">IF(T61=0,0,1)</f>
        <v>0</v>
      </c>
      <c r="AT61" s="0" t="n">
        <f aca="false">IF(U61=0,0,1)</f>
        <v>0</v>
      </c>
      <c r="AU61" s="0" t="n">
        <f aca="false">IF(V61=0,0,1)</f>
        <v>0</v>
      </c>
      <c r="AV61" s="0" t="n">
        <f aca="false">IF(W61=0,0,1)</f>
        <v>0</v>
      </c>
      <c r="AW61" s="26" t="n">
        <f aca="false">SUM(AA61:AV61)</f>
        <v>6</v>
      </c>
      <c r="AX61" s="27" t="n">
        <f aca="false">IF(X61=0,0,X61)</f>
        <v>241</v>
      </c>
      <c r="AY61" s="1" t="str">
        <f aca="false">IF(X61=0,0,A61)</f>
        <v>MIKE</v>
      </c>
      <c r="AZ61" s="28" t="str">
        <f aca="false">IF(AX61=0,0,A$60)</f>
        <v>HABOOBS</v>
      </c>
      <c r="BA61" s="29" t="n">
        <v>5</v>
      </c>
      <c r="BB61" s="30" t="n">
        <v>1</v>
      </c>
      <c r="BC61" s="31" t="s">
        <v>73</v>
      </c>
      <c r="BD61" s="27"/>
      <c r="BE61" s="26"/>
      <c r="BF61" s="32"/>
      <c r="BG61" s="33"/>
    </row>
    <row r="62" customFormat="false" ht="15" hidden="false" customHeight="false" outlineLevel="0" collapsed="false">
      <c r="A62" s="21" t="str">
        <f aca="false">B!B195</f>
        <v>OLGA</v>
      </c>
      <c r="B62" s="22" t="n">
        <f aca="false">C!B58</f>
        <v>33</v>
      </c>
      <c r="C62" s="22" t="n">
        <f aca="false">D!B58</f>
        <v>41</v>
      </c>
      <c r="D62" s="22" t="n">
        <f aca="false">E!B58</f>
        <v>42</v>
      </c>
      <c r="E62" s="22" t="n">
        <f aca="false">F!B58</f>
        <v>40</v>
      </c>
      <c r="F62" s="22" t="n">
        <f aca="false">G!B58</f>
        <v>35</v>
      </c>
      <c r="G62" s="22" t="n">
        <f aca="false">H!B58</f>
        <v>34</v>
      </c>
      <c r="H62" s="22" t="n">
        <f aca="false">I!B58</f>
        <v>0</v>
      </c>
      <c r="I62" s="22" t="n">
        <f aca="false">J!B58</f>
        <v>0</v>
      </c>
      <c r="J62" s="22" t="n">
        <f aca="false">K!B58</f>
        <v>0</v>
      </c>
      <c r="K62" s="22" t="n">
        <f aca="false">L!B58</f>
        <v>0</v>
      </c>
      <c r="L62" s="22" t="n">
        <f aca="false">M!B58</f>
        <v>0</v>
      </c>
      <c r="M62" s="22" t="n">
        <f aca="false">N!B58</f>
        <v>0</v>
      </c>
      <c r="N62" s="22" t="n">
        <f aca="false">O!B58</f>
        <v>0</v>
      </c>
      <c r="O62" s="22" t="n">
        <f aca="false">P!B58</f>
        <v>0</v>
      </c>
      <c r="P62" s="22" t="n">
        <f aca="false">Q!B58</f>
        <v>0</v>
      </c>
      <c r="Q62" s="22" t="n">
        <f aca="false">R!B58</f>
        <v>0</v>
      </c>
      <c r="R62" s="22" t="n">
        <f aca="false">S!B58</f>
        <v>0</v>
      </c>
      <c r="S62" s="22" t="n">
        <f aca="false">T!B58</f>
        <v>0</v>
      </c>
      <c r="T62" s="22" t="n">
        <f aca="false">U!B58</f>
        <v>0</v>
      </c>
      <c r="U62" s="22" t="n">
        <f aca="false">V!B58</f>
        <v>0</v>
      </c>
      <c r="V62" s="22" t="n">
        <f aca="false">W!B58</f>
        <v>0</v>
      </c>
      <c r="W62" s="22" t="n">
        <f aca="false">X!B58</f>
        <v>0</v>
      </c>
      <c r="X62" s="23" t="n">
        <f aca="false">SUM(B62:W62)</f>
        <v>225</v>
      </c>
      <c r="Y62" s="24" t="n">
        <f aca="false">IF(AW62=0,0,X62/AW62)</f>
        <v>37.5</v>
      </c>
      <c r="Z62" s="25" t="str">
        <f aca="false">A62</f>
        <v>OLGA</v>
      </c>
      <c r="AA62" s="16" t="n">
        <f aca="false">IF(B62=0,0,1)</f>
        <v>1</v>
      </c>
      <c r="AB62" s="0" t="n">
        <f aca="false">IF(C62=0,0,1)</f>
        <v>1</v>
      </c>
      <c r="AC62" s="0" t="n">
        <f aca="false">IF(D62=0,0,1)</f>
        <v>1</v>
      </c>
      <c r="AD62" s="0" t="n">
        <f aca="false">IF(E62=0,0,1)</f>
        <v>1</v>
      </c>
      <c r="AE62" s="0" t="n">
        <f aca="false">IF(F62=0,0,1)</f>
        <v>1</v>
      </c>
      <c r="AF62" s="0" t="n">
        <f aca="false">IF(G62=0,0,1)</f>
        <v>1</v>
      </c>
      <c r="AG62" s="0" t="n">
        <f aca="false">IF(H62=0,0,1)</f>
        <v>0</v>
      </c>
      <c r="AH62" s="0" t="n">
        <f aca="false">IF(I62=0,0,1)</f>
        <v>0</v>
      </c>
      <c r="AI62" s="0" t="n">
        <f aca="false">IF(J62=0,0,1)</f>
        <v>0</v>
      </c>
      <c r="AJ62" s="0" t="n">
        <f aca="false">IF(K62=0,0,1)</f>
        <v>0</v>
      </c>
      <c r="AK62" s="0" t="n">
        <f aca="false">IF(L62=0,0,1)</f>
        <v>0</v>
      </c>
      <c r="AL62" s="0" t="n">
        <f aca="false">IF(M62=0,0,1)</f>
        <v>0</v>
      </c>
      <c r="AM62" s="0" t="n">
        <f aca="false">IF(N62=0,0,1)</f>
        <v>0</v>
      </c>
      <c r="AN62" s="0" t="n">
        <f aca="false">IF(O62=0,0,1)</f>
        <v>0</v>
      </c>
      <c r="AO62" s="0" t="n">
        <f aca="false">IF(P62=0,0,1)</f>
        <v>0</v>
      </c>
      <c r="AP62" s="0" t="n">
        <f aca="false">IF(Q62=0,0,1)</f>
        <v>0</v>
      </c>
      <c r="AQ62" s="0" t="n">
        <f aca="false">IF(R62=0,0,1)</f>
        <v>0</v>
      </c>
      <c r="AR62" s="0" t="n">
        <f aca="false">IF(S62=0,0,1)</f>
        <v>0</v>
      </c>
      <c r="AS62" s="0" t="n">
        <f aca="false">IF(T62=0,0,1)</f>
        <v>0</v>
      </c>
      <c r="AT62" s="0" t="n">
        <f aca="false">IF(U62=0,0,1)</f>
        <v>0</v>
      </c>
      <c r="AU62" s="0" t="n">
        <f aca="false">IF(V62=0,0,1)</f>
        <v>0</v>
      </c>
      <c r="AV62" s="0" t="n">
        <f aca="false">IF(W62=0,0,1)</f>
        <v>0</v>
      </c>
      <c r="AW62" s="26" t="n">
        <f aca="false">SUM(AA62:AV62)</f>
        <v>6</v>
      </c>
      <c r="AX62" s="27" t="n">
        <f aca="false">IF(X62=0,0,X62)</f>
        <v>225</v>
      </c>
      <c r="AY62" s="1" t="str">
        <f aca="false">IF(X62=0,0,A62)</f>
        <v>OLGA</v>
      </c>
      <c r="AZ62" s="28" t="str">
        <f aca="false">IF(AX62=0,0,A$60)</f>
        <v>HABOOBS</v>
      </c>
      <c r="BA62" s="29" t="n">
        <v>5</v>
      </c>
      <c r="BB62" s="30" t="n">
        <v>2</v>
      </c>
      <c r="BC62" s="31" t="s">
        <v>73</v>
      </c>
      <c r="BD62" s="27"/>
      <c r="BE62" s="26"/>
      <c r="BF62" s="32"/>
      <c r="BG62" s="33"/>
    </row>
    <row r="63" customFormat="false" ht="15" hidden="false" customHeight="false" outlineLevel="0" collapsed="false">
      <c r="A63" s="21" t="str">
        <f aca="false">B!B200</f>
        <v>DAN</v>
      </c>
      <c r="B63" s="22" t="n">
        <f aca="false">C!B59</f>
        <v>43</v>
      </c>
      <c r="C63" s="22" t="n">
        <f aca="false">D!B59</f>
        <v>45</v>
      </c>
      <c r="D63" s="22" t="n">
        <f aca="false">E!B59</f>
        <v>47</v>
      </c>
      <c r="E63" s="22" t="n">
        <f aca="false">F!B59</f>
        <v>47</v>
      </c>
      <c r="F63" s="22" t="n">
        <f aca="false">G!B59</f>
        <v>41</v>
      </c>
      <c r="G63" s="22" t="n">
        <f aca="false">H!B59</f>
        <v>25</v>
      </c>
      <c r="H63" s="22" t="n">
        <f aca="false">I!B59</f>
        <v>0</v>
      </c>
      <c r="I63" s="22" t="n">
        <f aca="false">J!B59</f>
        <v>0</v>
      </c>
      <c r="J63" s="22" t="n">
        <f aca="false">K!B59</f>
        <v>0</v>
      </c>
      <c r="K63" s="22" t="n">
        <f aca="false">L!B59</f>
        <v>0</v>
      </c>
      <c r="L63" s="22" t="n">
        <f aca="false">M!B59</f>
        <v>0</v>
      </c>
      <c r="M63" s="22" t="n">
        <f aca="false">N!B59</f>
        <v>0</v>
      </c>
      <c r="N63" s="22" t="n">
        <f aca="false">O!B59</f>
        <v>0</v>
      </c>
      <c r="O63" s="22" t="n">
        <f aca="false">P!B59</f>
        <v>0</v>
      </c>
      <c r="P63" s="22" t="n">
        <f aca="false">Q!B59</f>
        <v>0</v>
      </c>
      <c r="Q63" s="22" t="n">
        <f aca="false">R!B59</f>
        <v>0</v>
      </c>
      <c r="R63" s="22" t="n">
        <f aca="false">S!B59</f>
        <v>0</v>
      </c>
      <c r="S63" s="22" t="n">
        <f aca="false">T!B59</f>
        <v>0</v>
      </c>
      <c r="T63" s="22" t="n">
        <f aca="false">U!B59</f>
        <v>0</v>
      </c>
      <c r="U63" s="22" t="n">
        <f aca="false">V!B59</f>
        <v>0</v>
      </c>
      <c r="V63" s="22" t="n">
        <f aca="false">W!B59</f>
        <v>0</v>
      </c>
      <c r="W63" s="22" t="n">
        <f aca="false">X!B59</f>
        <v>0</v>
      </c>
      <c r="X63" s="23" t="n">
        <f aca="false">SUM(B63:W63)</f>
        <v>248</v>
      </c>
      <c r="Y63" s="24" t="n">
        <f aca="false">IF(AW63=0,0,X63/AW63)</f>
        <v>41.3333333333333</v>
      </c>
      <c r="Z63" s="25" t="str">
        <f aca="false">A63</f>
        <v>DAN</v>
      </c>
      <c r="AA63" s="16" t="n">
        <f aca="false">IF(B63=0,0,1)</f>
        <v>1</v>
      </c>
      <c r="AB63" s="0" t="n">
        <f aca="false">IF(C63=0,0,1)</f>
        <v>1</v>
      </c>
      <c r="AC63" s="0" t="n">
        <f aca="false">IF(D63=0,0,1)</f>
        <v>1</v>
      </c>
      <c r="AD63" s="0" t="n">
        <f aca="false">IF(E63=0,0,1)</f>
        <v>1</v>
      </c>
      <c r="AE63" s="0" t="n">
        <f aca="false">IF(F63=0,0,1)</f>
        <v>1</v>
      </c>
      <c r="AF63" s="0" t="n">
        <f aca="false">IF(G63=0,0,1)</f>
        <v>1</v>
      </c>
      <c r="AG63" s="0" t="n">
        <f aca="false">IF(H63=0,0,1)</f>
        <v>0</v>
      </c>
      <c r="AH63" s="0" t="n">
        <f aca="false">IF(I63=0,0,1)</f>
        <v>0</v>
      </c>
      <c r="AI63" s="0" t="n">
        <f aca="false">IF(J63=0,0,1)</f>
        <v>0</v>
      </c>
      <c r="AJ63" s="0" t="n">
        <f aca="false">IF(K63=0,0,1)</f>
        <v>0</v>
      </c>
      <c r="AK63" s="0" t="n">
        <f aca="false">IF(L63=0,0,1)</f>
        <v>0</v>
      </c>
      <c r="AL63" s="0" t="n">
        <f aca="false">IF(M63=0,0,1)</f>
        <v>0</v>
      </c>
      <c r="AM63" s="0" t="n">
        <f aca="false">IF(N63=0,0,1)</f>
        <v>0</v>
      </c>
      <c r="AN63" s="0" t="n">
        <f aca="false">IF(O63=0,0,1)</f>
        <v>0</v>
      </c>
      <c r="AO63" s="0" t="n">
        <f aca="false">IF(P63=0,0,1)</f>
        <v>0</v>
      </c>
      <c r="AP63" s="0" t="n">
        <f aca="false">IF(Q63=0,0,1)</f>
        <v>0</v>
      </c>
      <c r="AQ63" s="0" t="n">
        <f aca="false">IF(R63=0,0,1)</f>
        <v>0</v>
      </c>
      <c r="AR63" s="0" t="n">
        <f aca="false">IF(S63=0,0,1)</f>
        <v>0</v>
      </c>
      <c r="AS63" s="0" t="n">
        <f aca="false">IF(T63=0,0,1)</f>
        <v>0</v>
      </c>
      <c r="AT63" s="0" t="n">
        <f aca="false">IF(U63=0,0,1)</f>
        <v>0</v>
      </c>
      <c r="AU63" s="0" t="n">
        <f aca="false">IF(V63=0,0,1)</f>
        <v>0</v>
      </c>
      <c r="AV63" s="0" t="n">
        <f aca="false">IF(W63=0,0,1)</f>
        <v>0</v>
      </c>
      <c r="AW63" s="26" t="n">
        <f aca="false">SUM(AA63:AV63)</f>
        <v>6</v>
      </c>
      <c r="AX63" s="27" t="n">
        <f aca="false">IF(X63=0,0,X63)</f>
        <v>248</v>
      </c>
      <c r="AY63" s="1" t="str">
        <f aca="false">IF(X63=0,0,A63)</f>
        <v>DAN</v>
      </c>
      <c r="AZ63" s="28" t="str">
        <f aca="false">IF(AX63=0,0,A$60)</f>
        <v>HABOOBS</v>
      </c>
      <c r="BA63" s="29" t="n">
        <v>5</v>
      </c>
      <c r="BB63" s="30" t="n">
        <v>3</v>
      </c>
      <c r="BC63" s="31" t="s">
        <v>73</v>
      </c>
      <c r="BD63" s="27"/>
      <c r="BE63" s="26"/>
      <c r="BF63" s="32"/>
      <c r="BG63" s="33"/>
    </row>
    <row r="64" customFormat="false" ht="15" hidden="false" customHeight="false" outlineLevel="0" collapsed="false">
      <c r="A64" s="21" t="str">
        <f aca="false">B!B205</f>
        <v>MIKE MO</v>
      </c>
      <c r="B64" s="22" t="n">
        <f aca="false">C!B60</f>
        <v>35</v>
      </c>
      <c r="C64" s="22" t="n">
        <f aca="false">D!B60</f>
        <v>42</v>
      </c>
      <c r="D64" s="22" t="n">
        <f aca="false">E!B60</f>
        <v>42</v>
      </c>
      <c r="E64" s="22" t="n">
        <f aca="false">F!B60</f>
        <v>33</v>
      </c>
      <c r="F64" s="22" t="n">
        <f aca="false">G!B60</f>
        <v>38</v>
      </c>
      <c r="G64" s="22" t="n">
        <f aca="false">H!B60</f>
        <v>34</v>
      </c>
      <c r="H64" s="22" t="n">
        <f aca="false">I!B60</f>
        <v>0</v>
      </c>
      <c r="I64" s="22" t="n">
        <f aca="false">J!B60</f>
        <v>0</v>
      </c>
      <c r="J64" s="22" t="n">
        <f aca="false">K!B60</f>
        <v>0</v>
      </c>
      <c r="K64" s="22" t="n">
        <f aca="false">L!B60</f>
        <v>0</v>
      </c>
      <c r="L64" s="22" t="n">
        <f aca="false">M!B60</f>
        <v>0</v>
      </c>
      <c r="M64" s="22" t="n">
        <f aca="false">N!B60</f>
        <v>0</v>
      </c>
      <c r="N64" s="22" t="n">
        <f aca="false">O!B60</f>
        <v>0</v>
      </c>
      <c r="O64" s="22" t="n">
        <f aca="false">P!B60</f>
        <v>0</v>
      </c>
      <c r="P64" s="22" t="n">
        <f aca="false">Q!B60</f>
        <v>0</v>
      </c>
      <c r="Q64" s="22" t="n">
        <f aca="false">R!B60</f>
        <v>0</v>
      </c>
      <c r="R64" s="22" t="n">
        <f aca="false">S!B60</f>
        <v>0</v>
      </c>
      <c r="S64" s="22" t="n">
        <f aca="false">T!B60</f>
        <v>0</v>
      </c>
      <c r="T64" s="22" t="n">
        <f aca="false">U!B60</f>
        <v>0</v>
      </c>
      <c r="U64" s="22" t="n">
        <f aca="false">V!B60</f>
        <v>0</v>
      </c>
      <c r="V64" s="22" t="n">
        <f aca="false">W!B60</f>
        <v>0</v>
      </c>
      <c r="W64" s="22" t="n">
        <f aca="false">X!B60</f>
        <v>0</v>
      </c>
      <c r="X64" s="23" t="n">
        <f aca="false">SUM(B64:W64)</f>
        <v>224</v>
      </c>
      <c r="Y64" s="24" t="n">
        <f aca="false">IF(AW64=0,0,X64/AW64)</f>
        <v>37.3333333333333</v>
      </c>
      <c r="Z64" s="25" t="str">
        <f aca="false">A64</f>
        <v>MIKE MO</v>
      </c>
      <c r="AA64" s="16" t="n">
        <f aca="false">IF(B64=0,0,1)</f>
        <v>1</v>
      </c>
      <c r="AB64" s="0" t="n">
        <f aca="false">IF(C64=0,0,1)</f>
        <v>1</v>
      </c>
      <c r="AC64" s="0" t="n">
        <f aca="false">IF(D64=0,0,1)</f>
        <v>1</v>
      </c>
      <c r="AD64" s="0" t="n">
        <f aca="false">IF(E64=0,0,1)</f>
        <v>1</v>
      </c>
      <c r="AE64" s="0" t="n">
        <f aca="false">IF(F64=0,0,1)</f>
        <v>1</v>
      </c>
      <c r="AF64" s="0" t="n">
        <f aca="false">IF(G64=0,0,1)</f>
        <v>1</v>
      </c>
      <c r="AG64" s="0" t="n">
        <f aca="false">IF(H64=0,0,1)</f>
        <v>0</v>
      </c>
      <c r="AH64" s="0" t="n">
        <f aca="false">IF(I64=0,0,1)</f>
        <v>0</v>
      </c>
      <c r="AI64" s="0" t="n">
        <f aca="false">IF(J64=0,0,1)</f>
        <v>0</v>
      </c>
      <c r="AJ64" s="0" t="n">
        <f aca="false">IF(K64=0,0,1)</f>
        <v>0</v>
      </c>
      <c r="AK64" s="0" t="n">
        <f aca="false">IF(L64=0,0,1)</f>
        <v>0</v>
      </c>
      <c r="AL64" s="0" t="n">
        <f aca="false">IF(M64=0,0,1)</f>
        <v>0</v>
      </c>
      <c r="AM64" s="0" t="n">
        <f aca="false">IF(N64=0,0,1)</f>
        <v>0</v>
      </c>
      <c r="AN64" s="0" t="n">
        <f aca="false">IF(O64=0,0,1)</f>
        <v>0</v>
      </c>
      <c r="AO64" s="0" t="n">
        <f aca="false">IF(P64=0,0,1)</f>
        <v>0</v>
      </c>
      <c r="AP64" s="0" t="n">
        <f aca="false">IF(Q64=0,0,1)</f>
        <v>0</v>
      </c>
      <c r="AQ64" s="0" t="n">
        <f aca="false">IF(R64=0,0,1)</f>
        <v>0</v>
      </c>
      <c r="AR64" s="0" t="n">
        <f aca="false">IF(S64=0,0,1)</f>
        <v>0</v>
      </c>
      <c r="AS64" s="0" t="n">
        <f aca="false">IF(T64=0,0,1)</f>
        <v>0</v>
      </c>
      <c r="AT64" s="0" t="n">
        <f aca="false">IF(U64=0,0,1)</f>
        <v>0</v>
      </c>
      <c r="AU64" s="0" t="n">
        <f aca="false">IF(V64=0,0,1)</f>
        <v>0</v>
      </c>
      <c r="AV64" s="0" t="n">
        <f aca="false">IF(W64=0,0,1)</f>
        <v>0</v>
      </c>
      <c r="AW64" s="26" t="n">
        <f aca="false">SUM(AA64:AV64)</f>
        <v>6</v>
      </c>
      <c r="AX64" s="27" t="n">
        <f aca="false">IF(X64=0,0,X64)</f>
        <v>224</v>
      </c>
      <c r="AY64" s="1" t="str">
        <f aca="false">IF(X64=0,0,A64)</f>
        <v>MIKE MO</v>
      </c>
      <c r="AZ64" s="28" t="str">
        <f aca="false">IF(AX64=0,0,A$60)</f>
        <v>HABOOBS</v>
      </c>
      <c r="BA64" s="29" t="n">
        <v>5</v>
      </c>
      <c r="BB64" s="30" t="n">
        <v>4</v>
      </c>
      <c r="BC64" s="31" t="s">
        <v>73</v>
      </c>
      <c r="BD64" s="27"/>
      <c r="BE64" s="26"/>
      <c r="BF64" s="32"/>
      <c r="BG64" s="33"/>
    </row>
    <row r="65" customFormat="false" ht="15" hidden="false" customHeight="false" outlineLevel="0" collapsed="false">
      <c r="A65" s="21" t="str">
        <f aca="false">B!B210</f>
        <v>VICKIE</v>
      </c>
      <c r="B65" s="22" t="n">
        <f aca="false">C!B61</f>
        <v>37</v>
      </c>
      <c r="C65" s="22" t="n">
        <f aca="false">D!B61</f>
        <v>31</v>
      </c>
      <c r="D65" s="22" t="n">
        <f aca="false">E!B61</f>
        <v>39</v>
      </c>
      <c r="E65" s="22" t="n">
        <f aca="false">F!B61</f>
        <v>20</v>
      </c>
      <c r="F65" s="22" t="n">
        <f aca="false">G!B61</f>
        <v>34</v>
      </c>
      <c r="G65" s="22" t="n">
        <f aca="false">H!B61</f>
        <v>30</v>
      </c>
      <c r="H65" s="22" t="n">
        <f aca="false">I!B61</f>
        <v>0</v>
      </c>
      <c r="I65" s="22" t="n">
        <f aca="false">J!B61</f>
        <v>0</v>
      </c>
      <c r="J65" s="22" t="n">
        <f aca="false">K!B61</f>
        <v>0</v>
      </c>
      <c r="K65" s="22" t="n">
        <f aca="false">L!B61</f>
        <v>0</v>
      </c>
      <c r="L65" s="22" t="n">
        <f aca="false">M!B61</f>
        <v>0</v>
      </c>
      <c r="M65" s="22" t="n">
        <f aca="false">N!B61</f>
        <v>0</v>
      </c>
      <c r="N65" s="22" t="n">
        <f aca="false">O!B61</f>
        <v>0</v>
      </c>
      <c r="O65" s="22" t="n">
        <f aca="false">P!B61</f>
        <v>0</v>
      </c>
      <c r="P65" s="22" t="n">
        <f aca="false">Q!B61</f>
        <v>0</v>
      </c>
      <c r="Q65" s="22" t="n">
        <f aca="false">R!B61</f>
        <v>0</v>
      </c>
      <c r="R65" s="22" t="n">
        <f aca="false">S!B61</f>
        <v>0</v>
      </c>
      <c r="S65" s="22" t="n">
        <f aca="false">T!B61</f>
        <v>0</v>
      </c>
      <c r="T65" s="22" t="n">
        <f aca="false">U!B61</f>
        <v>0</v>
      </c>
      <c r="U65" s="22" t="n">
        <f aca="false">V!B61</f>
        <v>0</v>
      </c>
      <c r="V65" s="22" t="n">
        <f aca="false">W!B61</f>
        <v>0</v>
      </c>
      <c r="W65" s="22" t="n">
        <f aca="false">X!B61</f>
        <v>0</v>
      </c>
      <c r="X65" s="23" t="n">
        <f aca="false">SUM(B65:W65)</f>
        <v>191</v>
      </c>
      <c r="Y65" s="24" t="n">
        <f aca="false">IF(AW65=0,0,X65/AW65)</f>
        <v>31.8333333333333</v>
      </c>
      <c r="Z65" s="25" t="str">
        <f aca="false">A65</f>
        <v>VICKIE</v>
      </c>
      <c r="AA65" s="16" t="n">
        <f aca="false">IF(B65=0,0,1)</f>
        <v>1</v>
      </c>
      <c r="AB65" s="0" t="n">
        <f aca="false">IF(C65=0,0,1)</f>
        <v>1</v>
      </c>
      <c r="AC65" s="0" t="n">
        <f aca="false">IF(D65=0,0,1)</f>
        <v>1</v>
      </c>
      <c r="AD65" s="0" t="n">
        <f aca="false">IF(E65=0,0,1)</f>
        <v>1</v>
      </c>
      <c r="AE65" s="0" t="n">
        <f aca="false">IF(F65=0,0,1)</f>
        <v>1</v>
      </c>
      <c r="AF65" s="0" t="n">
        <f aca="false">IF(G65=0,0,1)</f>
        <v>1</v>
      </c>
      <c r="AG65" s="0" t="n">
        <f aca="false">IF(H65=0,0,1)</f>
        <v>0</v>
      </c>
      <c r="AH65" s="0" t="n">
        <f aca="false">IF(I65=0,0,1)</f>
        <v>0</v>
      </c>
      <c r="AI65" s="0" t="n">
        <f aca="false">IF(J65=0,0,1)</f>
        <v>0</v>
      </c>
      <c r="AJ65" s="0" t="n">
        <f aca="false">IF(K65=0,0,1)</f>
        <v>0</v>
      </c>
      <c r="AK65" s="0" t="n">
        <f aca="false">IF(L65=0,0,1)</f>
        <v>0</v>
      </c>
      <c r="AL65" s="0" t="n">
        <f aca="false">IF(M65=0,0,1)</f>
        <v>0</v>
      </c>
      <c r="AM65" s="0" t="n">
        <f aca="false">IF(N65=0,0,1)</f>
        <v>0</v>
      </c>
      <c r="AN65" s="0" t="n">
        <f aca="false">IF(O65=0,0,1)</f>
        <v>0</v>
      </c>
      <c r="AO65" s="0" t="n">
        <f aca="false">IF(P65=0,0,1)</f>
        <v>0</v>
      </c>
      <c r="AP65" s="0" t="n">
        <f aca="false">IF(Q65=0,0,1)</f>
        <v>0</v>
      </c>
      <c r="AQ65" s="0" t="n">
        <f aca="false">IF(R65=0,0,1)</f>
        <v>0</v>
      </c>
      <c r="AR65" s="0" t="n">
        <f aca="false">IF(S65=0,0,1)</f>
        <v>0</v>
      </c>
      <c r="AS65" s="0" t="n">
        <f aca="false">IF(T65=0,0,1)</f>
        <v>0</v>
      </c>
      <c r="AT65" s="0" t="n">
        <f aca="false">IF(U65=0,0,1)</f>
        <v>0</v>
      </c>
      <c r="AU65" s="0" t="n">
        <f aca="false">IF(V65=0,0,1)</f>
        <v>0</v>
      </c>
      <c r="AV65" s="0" t="n">
        <f aca="false">IF(W65=0,0,1)</f>
        <v>0</v>
      </c>
      <c r="AW65" s="26" t="n">
        <f aca="false">SUM(AA65:AV65)</f>
        <v>6</v>
      </c>
      <c r="AX65" s="27" t="n">
        <f aca="false">IF(X65=0,0,X65)</f>
        <v>191</v>
      </c>
      <c r="AY65" s="1" t="str">
        <f aca="false">IF(X65=0,0,A65)</f>
        <v>VICKIE</v>
      </c>
      <c r="AZ65" s="28" t="str">
        <f aca="false">IF(AX65=0,0,A$60)</f>
        <v>HABOOBS</v>
      </c>
      <c r="BA65" s="29" t="n">
        <v>5</v>
      </c>
      <c r="BB65" s="30" t="n">
        <v>5</v>
      </c>
      <c r="BC65" s="31" t="s">
        <v>73</v>
      </c>
      <c r="BD65" s="27"/>
      <c r="BE65" s="26"/>
      <c r="BF65" s="32"/>
      <c r="BG65" s="33"/>
    </row>
    <row r="66" customFormat="false" ht="15" hidden="false" customHeight="false" outlineLevel="0" collapsed="false">
      <c r="A66" s="21" t="n">
        <f aca="false">B!B215</f>
        <v>0</v>
      </c>
      <c r="B66" s="22" t="n">
        <f aca="false">C!B62</f>
        <v>0</v>
      </c>
      <c r="C66" s="22" t="n">
        <f aca="false">D!B62</f>
        <v>0</v>
      </c>
      <c r="D66" s="22" t="n">
        <f aca="false">E!B62</f>
        <v>0</v>
      </c>
      <c r="E66" s="22" t="n">
        <f aca="false">F!B62</f>
        <v>0</v>
      </c>
      <c r="F66" s="22" t="n">
        <f aca="false">G!B62</f>
        <v>0</v>
      </c>
      <c r="G66" s="22" t="n">
        <f aca="false">H!B62</f>
        <v>0</v>
      </c>
      <c r="H66" s="22" t="n">
        <f aca="false">I!B62</f>
        <v>0</v>
      </c>
      <c r="I66" s="22" t="n">
        <f aca="false">J!B62</f>
        <v>0</v>
      </c>
      <c r="J66" s="22" t="n">
        <f aca="false">K!B62</f>
        <v>0</v>
      </c>
      <c r="K66" s="22" t="n">
        <f aca="false">L!B62</f>
        <v>0</v>
      </c>
      <c r="L66" s="22" t="n">
        <f aca="false">M!B62</f>
        <v>0</v>
      </c>
      <c r="M66" s="22" t="n">
        <f aca="false">N!B62</f>
        <v>0</v>
      </c>
      <c r="N66" s="22" t="n">
        <f aca="false">O!B62</f>
        <v>0</v>
      </c>
      <c r="O66" s="22" t="n">
        <f aca="false">P!B62</f>
        <v>0</v>
      </c>
      <c r="P66" s="22" t="n">
        <f aca="false">Q!B62</f>
        <v>0</v>
      </c>
      <c r="Q66" s="22" t="n">
        <f aca="false">R!B62</f>
        <v>0</v>
      </c>
      <c r="R66" s="22" t="n">
        <f aca="false">S!B62</f>
        <v>0</v>
      </c>
      <c r="S66" s="22" t="n">
        <f aca="false">T!B62</f>
        <v>0</v>
      </c>
      <c r="T66" s="22" t="n">
        <f aca="false">U!B62</f>
        <v>0</v>
      </c>
      <c r="U66" s="22" t="n">
        <f aca="false">V!B62</f>
        <v>0</v>
      </c>
      <c r="V66" s="22" t="n">
        <f aca="false">W!B62</f>
        <v>0</v>
      </c>
      <c r="W66" s="22" t="n">
        <f aca="false">X!B62</f>
        <v>0</v>
      </c>
      <c r="X66" s="23" t="n">
        <f aca="false">SUM(B66:W66)</f>
        <v>0</v>
      </c>
      <c r="Y66" s="24" t="n">
        <f aca="false">IF(AW66=0,0,X66/AW66)</f>
        <v>0</v>
      </c>
      <c r="Z66" s="25" t="n">
        <f aca="false">A66</f>
        <v>0</v>
      </c>
      <c r="AA66" s="16" t="n">
        <f aca="false">IF(B66=0,0,1)</f>
        <v>0</v>
      </c>
      <c r="AB66" s="0" t="n">
        <f aca="false">IF(C66=0,0,1)</f>
        <v>0</v>
      </c>
      <c r="AC66" s="0" t="n">
        <f aca="false">IF(D66=0,0,1)</f>
        <v>0</v>
      </c>
      <c r="AD66" s="0" t="n">
        <f aca="false">IF(E66=0,0,1)</f>
        <v>0</v>
      </c>
      <c r="AE66" s="0" t="n">
        <f aca="false">IF(F66=0,0,1)</f>
        <v>0</v>
      </c>
      <c r="AF66" s="0" t="n">
        <f aca="false">IF(G66=0,0,1)</f>
        <v>0</v>
      </c>
      <c r="AG66" s="0" t="n">
        <f aca="false">IF(H66=0,0,1)</f>
        <v>0</v>
      </c>
      <c r="AH66" s="0" t="n">
        <f aca="false">IF(I66=0,0,1)</f>
        <v>0</v>
      </c>
      <c r="AI66" s="0" t="n">
        <f aca="false">IF(J66=0,0,1)</f>
        <v>0</v>
      </c>
      <c r="AJ66" s="0" t="n">
        <f aca="false">IF(K66=0,0,1)</f>
        <v>0</v>
      </c>
      <c r="AK66" s="0" t="n">
        <f aca="false">IF(L66=0,0,1)</f>
        <v>0</v>
      </c>
      <c r="AL66" s="0" t="n">
        <f aca="false">IF(M66=0,0,1)</f>
        <v>0</v>
      </c>
      <c r="AM66" s="0" t="n">
        <f aca="false">IF(N66=0,0,1)</f>
        <v>0</v>
      </c>
      <c r="AN66" s="0" t="n">
        <f aca="false">IF(O66=0,0,1)</f>
        <v>0</v>
      </c>
      <c r="AO66" s="0" t="n">
        <f aca="false">IF(P66=0,0,1)</f>
        <v>0</v>
      </c>
      <c r="AP66" s="0" t="n">
        <f aca="false">IF(Q66=0,0,1)</f>
        <v>0</v>
      </c>
      <c r="AQ66" s="0" t="n">
        <f aca="false">IF(R66=0,0,1)</f>
        <v>0</v>
      </c>
      <c r="AR66" s="0" t="n">
        <f aca="false">IF(S66=0,0,1)</f>
        <v>0</v>
      </c>
      <c r="AS66" s="0" t="n">
        <f aca="false">IF(T66=0,0,1)</f>
        <v>0</v>
      </c>
      <c r="AT66" s="0" t="n">
        <f aca="false">IF(U66=0,0,1)</f>
        <v>0</v>
      </c>
      <c r="AU66" s="0" t="n">
        <f aca="false">IF(V66=0,0,1)</f>
        <v>0</v>
      </c>
      <c r="AV66" s="0" t="n">
        <f aca="false">IF(W66=0,0,1)</f>
        <v>0</v>
      </c>
      <c r="AW66" s="26" t="n">
        <f aca="false">SUM(AA66:AV66)</f>
        <v>0</v>
      </c>
      <c r="AX66" s="27" t="n">
        <f aca="false">IF(X66=0,0,X66)</f>
        <v>0</v>
      </c>
      <c r="AY66" s="1" t="n">
        <f aca="false">IF(X66=0,0,A66)</f>
        <v>0</v>
      </c>
      <c r="AZ66" s="28" t="n">
        <f aca="false">IF(AX66=0,0,A$60)</f>
        <v>0</v>
      </c>
      <c r="BA66" s="53" t="n">
        <v>0</v>
      </c>
      <c r="BB66" s="30" t="n">
        <v>0</v>
      </c>
      <c r="BC66" s="30" t="n">
        <v>0</v>
      </c>
      <c r="BD66" s="27"/>
      <c r="BE66" s="26"/>
      <c r="BF66" s="32"/>
      <c r="BG66" s="33"/>
    </row>
    <row r="67" customFormat="false" ht="15" hidden="false" customHeight="false" outlineLevel="0" collapsed="false">
      <c r="A67" s="21" t="n">
        <f aca="false">B!B220</f>
        <v>0</v>
      </c>
      <c r="B67" s="22" t="n">
        <f aca="false">C!B63</f>
        <v>0</v>
      </c>
      <c r="C67" s="22" t="n">
        <f aca="false">D!B63</f>
        <v>0</v>
      </c>
      <c r="D67" s="22" t="n">
        <f aca="false">E!B63</f>
        <v>0</v>
      </c>
      <c r="E67" s="22" t="n">
        <f aca="false">F!B63</f>
        <v>0</v>
      </c>
      <c r="F67" s="22" t="n">
        <f aca="false">G!B63</f>
        <v>0</v>
      </c>
      <c r="G67" s="22" t="n">
        <f aca="false">H!B63</f>
        <v>0</v>
      </c>
      <c r="H67" s="22" t="n">
        <f aca="false">I!B63</f>
        <v>0</v>
      </c>
      <c r="I67" s="22" t="n">
        <f aca="false">J!B63</f>
        <v>0</v>
      </c>
      <c r="J67" s="22" t="n">
        <f aca="false">K!B63</f>
        <v>0</v>
      </c>
      <c r="K67" s="22" t="n">
        <f aca="false">L!B63</f>
        <v>0</v>
      </c>
      <c r="L67" s="22" t="n">
        <f aca="false">M!B63</f>
        <v>0</v>
      </c>
      <c r="M67" s="22" t="n">
        <f aca="false">N!B63</f>
        <v>0</v>
      </c>
      <c r="N67" s="22" t="n">
        <f aca="false">O!B63</f>
        <v>0</v>
      </c>
      <c r="O67" s="22" t="n">
        <f aca="false">P!B63</f>
        <v>0</v>
      </c>
      <c r="P67" s="22" t="n">
        <f aca="false">Q!B63</f>
        <v>0</v>
      </c>
      <c r="Q67" s="22" t="n">
        <f aca="false">R!B63</f>
        <v>0</v>
      </c>
      <c r="R67" s="22" t="n">
        <f aca="false">S!B63</f>
        <v>0</v>
      </c>
      <c r="S67" s="22" t="n">
        <f aca="false">T!B63</f>
        <v>0</v>
      </c>
      <c r="T67" s="22" t="n">
        <f aca="false">U!B63</f>
        <v>0</v>
      </c>
      <c r="U67" s="22" t="n">
        <f aca="false">V!B63</f>
        <v>0</v>
      </c>
      <c r="V67" s="22" t="n">
        <f aca="false">W!B63</f>
        <v>0</v>
      </c>
      <c r="W67" s="22" t="n">
        <f aca="false">X!B63</f>
        <v>0</v>
      </c>
      <c r="X67" s="23" t="n">
        <f aca="false">SUM(B67:W67)</f>
        <v>0</v>
      </c>
      <c r="Y67" s="24" t="n">
        <f aca="false">IF(AW67=0,0,X67/AW67)</f>
        <v>0</v>
      </c>
      <c r="Z67" s="25" t="n">
        <f aca="false">A67</f>
        <v>0</v>
      </c>
      <c r="AA67" s="16" t="n">
        <f aca="false">IF(B67=0,0,1)</f>
        <v>0</v>
      </c>
      <c r="AB67" s="0" t="n">
        <f aca="false">IF(C67=0,0,1)</f>
        <v>0</v>
      </c>
      <c r="AC67" s="0" t="n">
        <f aca="false">IF(D67=0,0,1)</f>
        <v>0</v>
      </c>
      <c r="AD67" s="0" t="n">
        <f aca="false">IF(E67=0,0,1)</f>
        <v>0</v>
      </c>
      <c r="AE67" s="0" t="n">
        <f aca="false">IF(F67=0,0,1)</f>
        <v>0</v>
      </c>
      <c r="AF67" s="0" t="n">
        <f aca="false">IF(G67=0,0,1)</f>
        <v>0</v>
      </c>
      <c r="AG67" s="0" t="n">
        <f aca="false">IF(H67=0,0,1)</f>
        <v>0</v>
      </c>
      <c r="AH67" s="0" t="n">
        <f aca="false">IF(I67=0,0,1)</f>
        <v>0</v>
      </c>
      <c r="AI67" s="0" t="n">
        <f aca="false">IF(J67=0,0,1)</f>
        <v>0</v>
      </c>
      <c r="AJ67" s="0" t="n">
        <f aca="false">IF(K67=0,0,1)</f>
        <v>0</v>
      </c>
      <c r="AK67" s="0" t="n">
        <f aca="false">IF(L67=0,0,1)</f>
        <v>0</v>
      </c>
      <c r="AL67" s="0" t="n">
        <f aca="false">IF(M67=0,0,1)</f>
        <v>0</v>
      </c>
      <c r="AM67" s="0" t="n">
        <f aca="false">IF(N67=0,0,1)</f>
        <v>0</v>
      </c>
      <c r="AN67" s="0" t="n">
        <f aca="false">IF(O67=0,0,1)</f>
        <v>0</v>
      </c>
      <c r="AO67" s="0" t="n">
        <f aca="false">IF(P67=0,0,1)</f>
        <v>0</v>
      </c>
      <c r="AP67" s="0" t="n">
        <f aca="false">IF(Q67=0,0,1)</f>
        <v>0</v>
      </c>
      <c r="AQ67" s="0" t="n">
        <f aca="false">IF(R67=0,0,1)</f>
        <v>0</v>
      </c>
      <c r="AR67" s="0" t="n">
        <f aca="false">IF(S67=0,0,1)</f>
        <v>0</v>
      </c>
      <c r="AS67" s="0" t="n">
        <f aca="false">IF(T67=0,0,1)</f>
        <v>0</v>
      </c>
      <c r="AT67" s="0" t="n">
        <f aca="false">IF(U67=0,0,1)</f>
        <v>0</v>
      </c>
      <c r="AU67" s="0" t="n">
        <f aca="false">IF(V67=0,0,1)</f>
        <v>0</v>
      </c>
      <c r="AV67" s="0" t="n">
        <f aca="false">IF(W67=0,0,1)</f>
        <v>0</v>
      </c>
      <c r="AW67" s="26" t="n">
        <f aca="false">SUM(AA67:AV67)</f>
        <v>0</v>
      </c>
      <c r="AX67" s="27" t="n">
        <f aca="false">IF(X67=0,0,X67)</f>
        <v>0</v>
      </c>
      <c r="AY67" s="1" t="n">
        <f aca="false">IF(X67=0,0,A67)</f>
        <v>0</v>
      </c>
      <c r="AZ67" s="28" t="n">
        <f aca="false">IF(AX67=0,0,A$60)</f>
        <v>0</v>
      </c>
      <c r="BA67" s="53" t="n">
        <v>0</v>
      </c>
      <c r="BB67" s="30" t="n">
        <v>0</v>
      </c>
      <c r="BC67" s="30" t="n">
        <v>0</v>
      </c>
      <c r="BD67" s="27"/>
      <c r="BE67" s="26"/>
      <c r="BF67" s="32"/>
      <c r="BG67" s="33"/>
    </row>
    <row r="68" customFormat="false" ht="15" hidden="false" customHeight="false" outlineLevel="0" collapsed="false">
      <c r="A68" s="16" t="n">
        <f aca="false">B!B225</f>
        <v>0</v>
      </c>
      <c r="B68" s="22" t="n">
        <f aca="false">C!B64</f>
        <v>0</v>
      </c>
      <c r="C68" s="22" t="n">
        <f aca="false">D!B64</f>
        <v>0</v>
      </c>
      <c r="D68" s="22" t="n">
        <f aca="false">E!B64</f>
        <v>0</v>
      </c>
      <c r="E68" s="22" t="n">
        <f aca="false">F!B64</f>
        <v>0</v>
      </c>
      <c r="F68" s="22" t="n">
        <f aca="false">G!B64</f>
        <v>0</v>
      </c>
      <c r="G68" s="22" t="n">
        <f aca="false">H!B64</f>
        <v>0</v>
      </c>
      <c r="H68" s="22" t="n">
        <f aca="false">I!B64</f>
        <v>0</v>
      </c>
      <c r="I68" s="22" t="n">
        <f aca="false">J!B64</f>
        <v>0</v>
      </c>
      <c r="J68" s="22" t="n">
        <f aca="false">K!B64</f>
        <v>0</v>
      </c>
      <c r="K68" s="22" t="n">
        <f aca="false">L!B64</f>
        <v>0</v>
      </c>
      <c r="L68" s="22" t="n">
        <f aca="false">M!B64</f>
        <v>0</v>
      </c>
      <c r="M68" s="22" t="n">
        <f aca="false">N!B64</f>
        <v>0</v>
      </c>
      <c r="N68" s="22" t="n">
        <f aca="false">O!B64</f>
        <v>0</v>
      </c>
      <c r="O68" s="22" t="n">
        <f aca="false">P!B64</f>
        <v>0</v>
      </c>
      <c r="P68" s="22" t="n">
        <f aca="false">Q!B64</f>
        <v>0</v>
      </c>
      <c r="Q68" s="22" t="n">
        <f aca="false">R!B64</f>
        <v>0</v>
      </c>
      <c r="R68" s="22" t="n">
        <f aca="false">S!B64</f>
        <v>0</v>
      </c>
      <c r="S68" s="22" t="n">
        <f aca="false">T!B64</f>
        <v>0</v>
      </c>
      <c r="T68" s="22" t="n">
        <f aca="false">U!B64</f>
        <v>0</v>
      </c>
      <c r="U68" s="22" t="n">
        <f aca="false">V!B64</f>
        <v>0</v>
      </c>
      <c r="V68" s="22" t="n">
        <f aca="false">W!B64</f>
        <v>0</v>
      </c>
      <c r="W68" s="22" t="n">
        <f aca="false">X!B64</f>
        <v>0</v>
      </c>
      <c r="X68" s="23" t="n">
        <f aca="false">SUM(B68:W68)</f>
        <v>0</v>
      </c>
      <c r="Y68" s="24" t="n">
        <f aca="false">IF(AW68=0,0,X68/AW68)</f>
        <v>0</v>
      </c>
      <c r="Z68" s="25" t="n">
        <f aca="false">A68</f>
        <v>0</v>
      </c>
      <c r="AA68" s="16" t="n">
        <f aca="false">IF(B68=0,0,1)</f>
        <v>0</v>
      </c>
      <c r="AB68" s="0" t="n">
        <f aca="false">IF(C68=0,0,1)</f>
        <v>0</v>
      </c>
      <c r="AC68" s="0" t="n">
        <f aca="false">IF(D68=0,0,1)</f>
        <v>0</v>
      </c>
      <c r="AD68" s="0" t="n">
        <f aca="false">IF(E68=0,0,1)</f>
        <v>0</v>
      </c>
      <c r="AE68" s="0" t="n">
        <f aca="false">IF(F68=0,0,1)</f>
        <v>0</v>
      </c>
      <c r="AF68" s="0" t="n">
        <f aca="false">IF(G68=0,0,1)</f>
        <v>0</v>
      </c>
      <c r="AG68" s="0" t="n">
        <f aca="false">IF(H68=0,0,1)</f>
        <v>0</v>
      </c>
      <c r="AH68" s="0" t="n">
        <f aca="false">IF(I68=0,0,1)</f>
        <v>0</v>
      </c>
      <c r="AI68" s="0" t="n">
        <f aca="false">IF(J68=0,0,1)</f>
        <v>0</v>
      </c>
      <c r="AJ68" s="0" t="n">
        <f aca="false">IF(K68=0,0,1)</f>
        <v>0</v>
      </c>
      <c r="AK68" s="0" t="n">
        <f aca="false">IF(L68=0,0,1)</f>
        <v>0</v>
      </c>
      <c r="AL68" s="0" t="n">
        <f aca="false">IF(M68=0,0,1)</f>
        <v>0</v>
      </c>
      <c r="AM68" s="0" t="n">
        <f aca="false">IF(N68=0,0,1)</f>
        <v>0</v>
      </c>
      <c r="AN68" s="0" t="n">
        <f aca="false">IF(O68=0,0,1)</f>
        <v>0</v>
      </c>
      <c r="AO68" s="0" t="n">
        <f aca="false">IF(P68=0,0,1)</f>
        <v>0</v>
      </c>
      <c r="AP68" s="0" t="n">
        <f aca="false">IF(Q68=0,0,1)</f>
        <v>0</v>
      </c>
      <c r="AQ68" s="0" t="n">
        <f aca="false">IF(R68=0,0,1)</f>
        <v>0</v>
      </c>
      <c r="AR68" s="0" t="n">
        <f aca="false">IF(S68=0,0,1)</f>
        <v>0</v>
      </c>
      <c r="AS68" s="0" t="n">
        <f aca="false">IF(T68=0,0,1)</f>
        <v>0</v>
      </c>
      <c r="AT68" s="0" t="n">
        <f aca="false">IF(U68=0,0,1)</f>
        <v>0</v>
      </c>
      <c r="AU68" s="0" t="n">
        <f aca="false">IF(V68=0,0,1)</f>
        <v>0</v>
      </c>
      <c r="AV68" s="0" t="n">
        <f aca="false">IF(W68=0,0,1)</f>
        <v>0</v>
      </c>
      <c r="AW68" s="26" t="n">
        <f aca="false">SUM(AA68:AV68)</f>
        <v>0</v>
      </c>
      <c r="AX68" s="27" t="n">
        <f aca="false">IF(X68=0,0,X68)</f>
        <v>0</v>
      </c>
      <c r="AY68" s="1" t="n">
        <f aca="false">IF(X68=0,0,A68)</f>
        <v>0</v>
      </c>
      <c r="AZ68" s="28" t="n">
        <f aca="false">IF(AX68=0,0,A$60)</f>
        <v>0</v>
      </c>
      <c r="BA68" s="29" t="n">
        <v>0</v>
      </c>
      <c r="BB68" s="30" t="n">
        <v>0</v>
      </c>
      <c r="BC68" s="31" t="n">
        <v>0</v>
      </c>
      <c r="BD68" s="27"/>
      <c r="BE68" s="26"/>
      <c r="BF68" s="32"/>
      <c r="BG68" s="33"/>
    </row>
    <row r="69" customFormat="false" ht="15" hidden="false" customHeight="false" outlineLevel="0" collapsed="false">
      <c r="A69" s="38" t="s">
        <v>60</v>
      </c>
      <c r="B69" s="39" t="n">
        <f aca="false">SUM(B61:B68)</f>
        <v>194</v>
      </c>
      <c r="C69" s="39" t="n">
        <f aca="false">SUM(C61:C68)</f>
        <v>205</v>
      </c>
      <c r="D69" s="39" t="n">
        <f aca="false">SUM(D61:D68)</f>
        <v>211</v>
      </c>
      <c r="E69" s="39" t="n">
        <f aca="false">SUM(E61:E68)</f>
        <v>172</v>
      </c>
      <c r="F69" s="39" t="n">
        <f aca="false">SUM(F61:F68)</f>
        <v>198</v>
      </c>
      <c r="G69" s="39" t="n">
        <f aca="false">SUM(G61:G68)</f>
        <v>149</v>
      </c>
      <c r="H69" s="39" t="n">
        <f aca="false">SUM(H61:H68)</f>
        <v>0</v>
      </c>
      <c r="I69" s="39" t="n">
        <f aca="false">SUM(I61:I68)</f>
        <v>0</v>
      </c>
      <c r="J69" s="39" t="n">
        <f aca="false">SUM(J61:J68)</f>
        <v>0</v>
      </c>
      <c r="K69" s="39" t="n">
        <f aca="false">SUM(K61:K68)</f>
        <v>0</v>
      </c>
      <c r="L69" s="39" t="n">
        <f aca="false">SUM(L61:L68)</f>
        <v>0</v>
      </c>
      <c r="M69" s="39" t="n">
        <f aca="false">SUM(M61:M68)</f>
        <v>0</v>
      </c>
      <c r="N69" s="39" t="n">
        <f aca="false">SUM(N61:N68)</f>
        <v>0</v>
      </c>
      <c r="O69" s="39" t="n">
        <f aca="false">SUM(O61:O68)</f>
        <v>0</v>
      </c>
      <c r="P69" s="39" t="n">
        <f aca="false">SUM(P61:P68)</f>
        <v>0</v>
      </c>
      <c r="Q69" s="39" t="n">
        <f aca="false">SUM(Q61:Q68)</f>
        <v>0</v>
      </c>
      <c r="R69" s="39" t="n">
        <f aca="false">SUM(R61:R68)</f>
        <v>0</v>
      </c>
      <c r="S69" s="39" t="n">
        <f aca="false">SUM(S61:S68)</f>
        <v>0</v>
      </c>
      <c r="T69" s="39" t="n">
        <f aca="false">SUM(T61:T68)</f>
        <v>0</v>
      </c>
      <c r="U69" s="39" t="n">
        <f aca="false">SUM(U61:U68)</f>
        <v>0</v>
      </c>
      <c r="V69" s="39" t="n">
        <f aca="false">SUM(V61:V68)</f>
        <v>0</v>
      </c>
      <c r="W69" s="39" t="n">
        <f aca="false">SUM(W61:W68)</f>
        <v>0</v>
      </c>
      <c r="X69" s="40" t="n">
        <f aca="false">SUM(B69:W69)</f>
        <v>1129</v>
      </c>
      <c r="Y69" s="41" t="n">
        <f aca="false">IF(X69=0,0,X69/AW69)</f>
        <v>188.166666666667</v>
      </c>
      <c r="Z69" s="25"/>
      <c r="AA69" s="42" t="n">
        <f aca="false">SUM(AA61:AA68)</f>
        <v>5</v>
      </c>
      <c r="AB69" s="43" t="n">
        <f aca="false">SUM(AB61:AB68)</f>
        <v>5</v>
      </c>
      <c r="AC69" s="43" t="n">
        <f aca="false">SUM(AC61:AC68)</f>
        <v>5</v>
      </c>
      <c r="AD69" s="43" t="n">
        <f aca="false">SUM(AD61:AD68)</f>
        <v>5</v>
      </c>
      <c r="AE69" s="43" t="n">
        <f aca="false">SUM(AE61:AE68)</f>
        <v>5</v>
      </c>
      <c r="AF69" s="43" t="n">
        <f aca="false">SUM(AF61:AF68)</f>
        <v>5</v>
      </c>
      <c r="AG69" s="43" t="n">
        <f aca="false">SUM(AG61:AG68)</f>
        <v>0</v>
      </c>
      <c r="AH69" s="43" t="n">
        <f aca="false">SUM(AH61:AH68)</f>
        <v>0</v>
      </c>
      <c r="AI69" s="43" t="n">
        <f aca="false">SUM(AI61:AI68)</f>
        <v>0</v>
      </c>
      <c r="AJ69" s="43" t="n">
        <f aca="false">SUM(AJ61:AJ68)</f>
        <v>0</v>
      </c>
      <c r="AK69" s="43" t="n">
        <f aca="false">SUM(AK61:AK68)</f>
        <v>0</v>
      </c>
      <c r="AL69" s="43" t="n">
        <f aca="false">SUM(AL61:AL68)</f>
        <v>0</v>
      </c>
      <c r="AM69" s="43" t="n">
        <f aca="false">SUM(AM61:AM68)</f>
        <v>0</v>
      </c>
      <c r="AN69" s="43" t="n">
        <f aca="false">SUM(AN61:AN68)</f>
        <v>0</v>
      </c>
      <c r="AO69" s="43" t="n">
        <f aca="false">SUM(AO61:AO68)</f>
        <v>0</v>
      </c>
      <c r="AP69" s="43" t="n">
        <f aca="false">SUM(AP61:AP68)</f>
        <v>0</v>
      </c>
      <c r="AQ69" s="43" t="n">
        <f aca="false">SUM(AQ61:AQ68)</f>
        <v>0</v>
      </c>
      <c r="AR69" s="43" t="n">
        <f aca="false">SUM(AR61:AR68)</f>
        <v>0</v>
      </c>
      <c r="AS69" s="43" t="n">
        <f aca="false">SUM(AS61:AS68)</f>
        <v>0</v>
      </c>
      <c r="AT69" s="43" t="n">
        <f aca="false">SUM(AT61:AT68)</f>
        <v>0</v>
      </c>
      <c r="AU69" s="43" t="n">
        <f aca="false">SUM(AU61:AU68)</f>
        <v>0</v>
      </c>
      <c r="AV69" s="43" t="n">
        <f aca="false">SUM(AV61:AV68)</f>
        <v>0</v>
      </c>
      <c r="AW69" s="44" t="n">
        <f aca="false">MAXA(AW61:AW68)</f>
        <v>6</v>
      </c>
      <c r="AX69" s="27"/>
      <c r="AZ69" s="28"/>
      <c r="BA69" s="53" t="n">
        <v>0</v>
      </c>
      <c r="BB69" s="30" t="n">
        <v>0</v>
      </c>
      <c r="BC69" s="30" t="n">
        <v>0</v>
      </c>
      <c r="BD69" s="27"/>
      <c r="BE69" s="26"/>
      <c r="BF69" s="32"/>
      <c r="BG69" s="33"/>
    </row>
    <row r="70" customFormat="false" ht="15" hidden="false" customHeight="false" outlineLevel="0" collapsed="false">
      <c r="A70" s="54" t="s">
        <v>64</v>
      </c>
      <c r="B70" s="22" t="n">
        <f aca="false">C!B65</f>
        <v>0</v>
      </c>
      <c r="C70" s="22" t="n">
        <f aca="false">D!B65</f>
        <v>7.2</v>
      </c>
      <c r="D70" s="22" t="n">
        <f aca="false">E!B65</f>
        <v>0</v>
      </c>
      <c r="E70" s="22" t="n">
        <f aca="false">F!B65</f>
        <v>0</v>
      </c>
      <c r="F70" s="22" t="n">
        <f aca="false">G!B65</f>
        <v>1.35</v>
      </c>
      <c r="G70" s="22" t="n">
        <f aca="false">H!B65</f>
        <v>0</v>
      </c>
      <c r="H70" s="22" t="n">
        <f aca="false">I!B65</f>
        <v>0</v>
      </c>
      <c r="I70" s="22" t="n">
        <f aca="false">J!B65</f>
        <v>0</v>
      </c>
      <c r="J70" s="22" t="n">
        <f aca="false">K!B65</f>
        <v>0</v>
      </c>
      <c r="K70" s="22" t="n">
        <f aca="false">L!B65</f>
        <v>0</v>
      </c>
      <c r="L70" s="22" t="n">
        <f aca="false">M!B65</f>
        <v>0</v>
      </c>
      <c r="M70" s="22" t="n">
        <f aca="false">N!B65</f>
        <v>0</v>
      </c>
      <c r="N70" s="22" t="n">
        <f aca="false">O!B65</f>
        <v>0</v>
      </c>
      <c r="O70" s="22" t="n">
        <f aca="false">P!B65</f>
        <v>0</v>
      </c>
      <c r="P70" s="22" t="n">
        <f aca="false">Q!B65</f>
        <v>0</v>
      </c>
      <c r="Q70" s="22" t="n">
        <f aca="false">R!B65</f>
        <v>0</v>
      </c>
      <c r="R70" s="22" t="n">
        <f aca="false">S!B65</f>
        <v>0</v>
      </c>
      <c r="S70" s="22" t="n">
        <f aca="false">T!B65</f>
        <v>0</v>
      </c>
      <c r="T70" s="22" t="n">
        <f aca="false">U!B65</f>
        <v>0</v>
      </c>
      <c r="U70" s="22" t="n">
        <f aca="false">V!B65</f>
        <v>0</v>
      </c>
      <c r="V70" s="22" t="n">
        <f aca="false">W!B65</f>
        <v>0</v>
      </c>
      <c r="W70" s="22" t="n">
        <f aca="false">X!B65</f>
        <v>0</v>
      </c>
      <c r="X70" s="23" t="n">
        <f aca="false">SUM(B70:W70)</f>
        <v>8.55</v>
      </c>
      <c r="Y70" s="47"/>
      <c r="Z70" s="25"/>
      <c r="AA70" s="16"/>
      <c r="AW70" s="26"/>
      <c r="AX70" s="27"/>
      <c r="AZ70" s="28"/>
      <c r="BA70" s="29" t="n">
        <v>0</v>
      </c>
      <c r="BB70" s="30" t="n">
        <v>0</v>
      </c>
      <c r="BC70" s="31" t="n">
        <v>0</v>
      </c>
      <c r="BD70" s="27"/>
      <c r="BE70" s="26"/>
      <c r="BF70" s="32"/>
      <c r="BG70" s="33"/>
    </row>
    <row r="71" customFormat="false" ht="15" hidden="false" customHeight="false" outlineLevel="0" collapsed="false">
      <c r="A71" s="48" t="s">
        <v>68</v>
      </c>
      <c r="B71" s="49" t="n">
        <f aca="false">SUM(B69:B70)</f>
        <v>194</v>
      </c>
      <c r="C71" s="49" t="n">
        <f aca="false">SUM(C69:C70)</f>
        <v>212.2</v>
      </c>
      <c r="D71" s="49" t="n">
        <f aca="false">SUM(D69:D70)</f>
        <v>211</v>
      </c>
      <c r="E71" s="49" t="n">
        <f aca="false">SUM(E69:E70)</f>
        <v>172</v>
      </c>
      <c r="F71" s="49" t="n">
        <f aca="false">SUM(F69:F70)</f>
        <v>199.35</v>
      </c>
      <c r="G71" s="49" t="n">
        <f aca="false">SUM(G69:G70)</f>
        <v>149</v>
      </c>
      <c r="H71" s="49" t="n">
        <f aca="false">SUM(H69:H70)</f>
        <v>0</v>
      </c>
      <c r="I71" s="49" t="n">
        <f aca="false">SUM(I69:I70)</f>
        <v>0</v>
      </c>
      <c r="J71" s="49" t="n">
        <f aca="false">SUM(J69:J70)</f>
        <v>0</v>
      </c>
      <c r="K71" s="49" t="n">
        <f aca="false">SUM(K69:K70)</f>
        <v>0</v>
      </c>
      <c r="L71" s="49" t="n">
        <f aca="false">SUM(L69:L70)</f>
        <v>0</v>
      </c>
      <c r="M71" s="49" t="n">
        <f aca="false">SUM(M69:M70)</f>
        <v>0</v>
      </c>
      <c r="N71" s="49" t="n">
        <f aca="false">SUM(N69:N70)</f>
        <v>0</v>
      </c>
      <c r="O71" s="49" t="n">
        <f aca="false">SUM(O69:O70)</f>
        <v>0</v>
      </c>
      <c r="P71" s="49" t="n">
        <f aca="false">SUM(P69:P70)</f>
        <v>0</v>
      </c>
      <c r="Q71" s="49" t="n">
        <f aca="false">SUM(Q69:Q70)</f>
        <v>0</v>
      </c>
      <c r="R71" s="49" t="n">
        <f aca="false">SUM(R69:R70)</f>
        <v>0</v>
      </c>
      <c r="S71" s="49" t="n">
        <f aca="false">SUM(S69:S70)</f>
        <v>0</v>
      </c>
      <c r="T71" s="49" t="n">
        <f aca="false">SUM(T69:T70)</f>
        <v>0</v>
      </c>
      <c r="U71" s="49" t="n">
        <f aca="false">SUM(U69:U70)</f>
        <v>0</v>
      </c>
      <c r="V71" s="49" t="n">
        <f aca="false">SUM(V69:V70)</f>
        <v>0</v>
      </c>
      <c r="W71" s="49" t="n">
        <f aca="false">SUM(W69:W70)</f>
        <v>0</v>
      </c>
      <c r="X71" s="50" t="n">
        <f aca="false">SUM(B71:W71)</f>
        <v>1137.55</v>
      </c>
      <c r="Y71" s="51"/>
      <c r="Z71" s="25"/>
      <c r="AA71" s="16"/>
      <c r="AW71" s="26"/>
      <c r="AX71" s="27"/>
      <c r="AZ71" s="28"/>
      <c r="BA71" s="53" t="n">
        <v>0</v>
      </c>
      <c r="BB71" s="30" t="n">
        <v>0</v>
      </c>
      <c r="BC71" s="30" t="n">
        <v>0</v>
      </c>
      <c r="BD71" s="27" t="n">
        <f aca="false">X71</f>
        <v>1137.55</v>
      </c>
      <c r="BE71" s="26" t="str">
        <f aca="false">A60</f>
        <v>HABOOBS</v>
      </c>
      <c r="BF71" s="32"/>
      <c r="BG71" s="33"/>
    </row>
    <row r="72" customFormat="false" ht="15" hidden="false" customHeight="false" outlineLevel="0" collapsed="false"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25"/>
      <c r="AA72" s="16"/>
      <c r="AW72" s="26"/>
      <c r="AX72" s="27"/>
      <c r="AZ72" s="28"/>
      <c r="BA72" s="53" t="n">
        <v>0</v>
      </c>
      <c r="BB72" s="30" t="n">
        <v>0</v>
      </c>
      <c r="BC72" s="30" t="n">
        <v>0</v>
      </c>
      <c r="BD72" s="27"/>
      <c r="BE72" s="26"/>
      <c r="BF72" s="32"/>
      <c r="BG72" s="33"/>
    </row>
    <row r="73" customFormat="false" ht="15" hidden="false" customHeight="false" outlineLevel="0" collapsed="false">
      <c r="A73" s="5" t="s">
        <v>128</v>
      </c>
      <c r="B73" s="6" t="s">
        <v>1</v>
      </c>
      <c r="C73" s="6" t="s">
        <v>2</v>
      </c>
      <c r="D73" s="6" t="s">
        <v>3</v>
      </c>
      <c r="E73" s="6" t="s">
        <v>4</v>
      </c>
      <c r="F73" s="6" t="s">
        <v>5</v>
      </c>
      <c r="G73" s="6" t="s">
        <v>6</v>
      </c>
      <c r="H73" s="6" t="s">
        <v>7</v>
      </c>
      <c r="I73" s="6" t="s">
        <v>8</v>
      </c>
      <c r="J73" s="6" t="s">
        <v>9</v>
      </c>
      <c r="K73" s="6" t="s">
        <v>10</v>
      </c>
      <c r="L73" s="6" t="s">
        <v>11</v>
      </c>
      <c r="M73" s="6" t="s">
        <v>12</v>
      </c>
      <c r="N73" s="6" t="s">
        <v>13</v>
      </c>
      <c r="O73" s="6" t="s">
        <v>14</v>
      </c>
      <c r="P73" s="6" t="s">
        <v>15</v>
      </c>
      <c r="Q73" s="6" t="s">
        <v>16</v>
      </c>
      <c r="R73" s="6" t="s">
        <v>17</v>
      </c>
      <c r="S73" s="6" t="s">
        <v>18</v>
      </c>
      <c r="T73" s="6" t="s">
        <v>19</v>
      </c>
      <c r="U73" s="6" t="s">
        <v>20</v>
      </c>
      <c r="V73" s="6" t="s">
        <v>21</v>
      </c>
      <c r="W73" s="6" t="s">
        <v>22</v>
      </c>
      <c r="X73" s="34"/>
      <c r="Y73" s="34"/>
      <c r="Z73" s="4" t="str">
        <f aca="false">A73</f>
        <v>Team #6 Name:</v>
      </c>
      <c r="AA73" s="16"/>
      <c r="AW73" s="26"/>
      <c r="AX73" s="27"/>
      <c r="AZ73" s="28"/>
      <c r="BA73" s="53" t="n">
        <v>0</v>
      </c>
      <c r="BB73" s="30" t="n">
        <v>0</v>
      </c>
      <c r="BC73" s="30" t="n">
        <v>0</v>
      </c>
      <c r="BD73" s="27"/>
      <c r="BE73" s="26"/>
      <c r="BF73" s="32"/>
      <c r="BG73" s="33"/>
    </row>
    <row r="74" customFormat="false" ht="15" hidden="false" customHeight="false" outlineLevel="0" collapsed="false">
      <c r="A74" s="11" t="str">
        <f aca="false">B!B231</f>
        <v>FFFFF&lt;sup&gt;10&lt;/sup&gt;</v>
      </c>
      <c r="B74" s="52" t="s">
        <v>28</v>
      </c>
      <c r="C74" s="52" t="s">
        <v>28</v>
      </c>
      <c r="D74" s="52" t="s">
        <v>28</v>
      </c>
      <c r="E74" s="52" t="s">
        <v>28</v>
      </c>
      <c r="F74" s="52" t="s">
        <v>28</v>
      </c>
      <c r="G74" s="52" t="s">
        <v>28</v>
      </c>
      <c r="H74" s="52" t="s">
        <v>28</v>
      </c>
      <c r="I74" s="52" t="s">
        <v>28</v>
      </c>
      <c r="J74" s="52" t="s">
        <v>28</v>
      </c>
      <c r="K74" s="52" t="s">
        <v>28</v>
      </c>
      <c r="L74" s="52" t="s">
        <v>28</v>
      </c>
      <c r="M74" s="52" t="s">
        <v>28</v>
      </c>
      <c r="N74" s="52" t="s">
        <v>28</v>
      </c>
      <c r="O74" s="52" t="s">
        <v>28</v>
      </c>
      <c r="P74" s="52" t="s">
        <v>28</v>
      </c>
      <c r="Q74" s="52" t="s">
        <v>28</v>
      </c>
      <c r="R74" s="52" t="s">
        <v>28</v>
      </c>
      <c r="S74" s="52" t="s">
        <v>28</v>
      </c>
      <c r="T74" s="52" t="s">
        <v>28</v>
      </c>
      <c r="U74" s="52" t="s">
        <v>28</v>
      </c>
      <c r="V74" s="52" t="s">
        <v>28</v>
      </c>
      <c r="W74" s="52" t="s">
        <v>28</v>
      </c>
      <c r="X74" s="13" t="s">
        <v>29</v>
      </c>
      <c r="Y74" s="14" t="s">
        <v>30</v>
      </c>
      <c r="Z74" s="15" t="str">
        <f aca="false">A74</f>
        <v>FFFFF&lt;sup&gt;10&lt;/sup&gt;</v>
      </c>
      <c r="AA74" s="16"/>
      <c r="AW74" s="17" t="s">
        <v>31</v>
      </c>
      <c r="AX74" s="27"/>
      <c r="AZ74" s="28"/>
      <c r="BA74" s="53" t="n">
        <v>0</v>
      </c>
      <c r="BB74" s="30" t="n">
        <v>0</v>
      </c>
      <c r="BC74" s="30" t="n">
        <v>0</v>
      </c>
      <c r="BD74" s="27"/>
      <c r="BE74" s="26"/>
      <c r="BF74" s="32"/>
      <c r="BG74" s="33"/>
    </row>
    <row r="75" customFormat="false" ht="15" hidden="false" customHeight="false" outlineLevel="0" collapsed="false">
      <c r="A75" s="21" t="str">
        <f aca="false">B!B233</f>
        <v>RICHARD</v>
      </c>
      <c r="B75" s="22" t="n">
        <f aca="false">C!B70</f>
        <v>34</v>
      </c>
      <c r="C75" s="22" t="n">
        <f aca="false">D!B70</f>
        <v>43</v>
      </c>
      <c r="D75" s="22" t="n">
        <f aca="false">E!B70</f>
        <v>37</v>
      </c>
      <c r="E75" s="22" t="n">
        <f aca="false">F!B70</f>
        <v>35</v>
      </c>
      <c r="F75" s="22" t="n">
        <f aca="false">G!B70</f>
        <v>35</v>
      </c>
      <c r="G75" s="22" t="n">
        <f aca="false">H!B70</f>
        <v>38</v>
      </c>
      <c r="H75" s="22" t="n">
        <f aca="false">I!B70</f>
        <v>0</v>
      </c>
      <c r="I75" s="22" t="n">
        <f aca="false">J!B70</f>
        <v>0</v>
      </c>
      <c r="J75" s="22" t="n">
        <f aca="false">K!B70</f>
        <v>0</v>
      </c>
      <c r="K75" s="22" t="n">
        <f aca="false">L!B70</f>
        <v>0</v>
      </c>
      <c r="L75" s="22" t="n">
        <f aca="false">M!B70</f>
        <v>0</v>
      </c>
      <c r="M75" s="22" t="n">
        <f aca="false">N!B70</f>
        <v>0</v>
      </c>
      <c r="N75" s="22" t="n">
        <f aca="false">O!B70</f>
        <v>0</v>
      </c>
      <c r="O75" s="22" t="n">
        <f aca="false">P!B70</f>
        <v>0</v>
      </c>
      <c r="P75" s="22" t="n">
        <f aca="false">Q!B70</f>
        <v>0</v>
      </c>
      <c r="Q75" s="22" t="n">
        <f aca="false">R!B70</f>
        <v>0</v>
      </c>
      <c r="R75" s="22" t="n">
        <f aca="false">S!B70</f>
        <v>0</v>
      </c>
      <c r="S75" s="22" t="n">
        <f aca="false">T!B70</f>
        <v>0</v>
      </c>
      <c r="T75" s="22" t="n">
        <f aca="false">U!B70</f>
        <v>0</v>
      </c>
      <c r="U75" s="22" t="n">
        <f aca="false">V!B70</f>
        <v>0</v>
      </c>
      <c r="V75" s="22" t="n">
        <f aca="false">W!B70</f>
        <v>0</v>
      </c>
      <c r="W75" s="22" t="n">
        <f aca="false">X!B70</f>
        <v>0</v>
      </c>
      <c r="X75" s="23" t="n">
        <f aca="false">SUM(B75:W75)</f>
        <v>222</v>
      </c>
      <c r="Y75" s="24" t="n">
        <f aca="false">IF(AW75=0,0,X75/AW75)</f>
        <v>37</v>
      </c>
      <c r="Z75" s="25" t="str">
        <f aca="false">A75</f>
        <v>RICHARD</v>
      </c>
      <c r="AA75" s="16" t="n">
        <f aca="false">IF(B75=0,0,1)</f>
        <v>1</v>
      </c>
      <c r="AB75" s="0" t="n">
        <f aca="false">IF(C75=0,0,1)</f>
        <v>1</v>
      </c>
      <c r="AC75" s="0" t="n">
        <f aca="false">IF(D75=0,0,1)</f>
        <v>1</v>
      </c>
      <c r="AD75" s="0" t="n">
        <f aca="false">IF(E75=0,0,1)</f>
        <v>1</v>
      </c>
      <c r="AE75" s="0" t="n">
        <f aca="false">IF(F75=0,0,1)</f>
        <v>1</v>
      </c>
      <c r="AF75" s="0" t="n">
        <f aca="false">IF(G75=0,0,1)</f>
        <v>1</v>
      </c>
      <c r="AG75" s="0" t="n">
        <f aca="false">IF(H75=0,0,1)</f>
        <v>0</v>
      </c>
      <c r="AH75" s="0" t="n">
        <f aca="false">IF(I75=0,0,1)</f>
        <v>0</v>
      </c>
      <c r="AI75" s="0" t="n">
        <f aca="false">IF(J75=0,0,1)</f>
        <v>0</v>
      </c>
      <c r="AJ75" s="0" t="n">
        <f aca="false">IF(K75=0,0,1)</f>
        <v>0</v>
      </c>
      <c r="AK75" s="0" t="n">
        <f aca="false">IF(L75=0,0,1)</f>
        <v>0</v>
      </c>
      <c r="AL75" s="0" t="n">
        <f aca="false">IF(M75=0,0,1)</f>
        <v>0</v>
      </c>
      <c r="AM75" s="0" t="n">
        <f aca="false">IF(N75=0,0,1)</f>
        <v>0</v>
      </c>
      <c r="AN75" s="0" t="n">
        <f aca="false">IF(O75=0,0,1)</f>
        <v>0</v>
      </c>
      <c r="AO75" s="0" t="n">
        <f aca="false">IF(P75=0,0,1)</f>
        <v>0</v>
      </c>
      <c r="AP75" s="0" t="n">
        <f aca="false">IF(Q75=0,0,1)</f>
        <v>0</v>
      </c>
      <c r="AQ75" s="0" t="n">
        <f aca="false">IF(R75=0,0,1)</f>
        <v>0</v>
      </c>
      <c r="AR75" s="0" t="n">
        <f aca="false">IF(S75=0,0,1)</f>
        <v>0</v>
      </c>
      <c r="AS75" s="0" t="n">
        <f aca="false">IF(T75=0,0,1)</f>
        <v>0</v>
      </c>
      <c r="AT75" s="0" t="n">
        <f aca="false">IF(U75=0,0,1)</f>
        <v>0</v>
      </c>
      <c r="AU75" s="0" t="n">
        <f aca="false">IF(V75=0,0,1)</f>
        <v>0</v>
      </c>
      <c r="AV75" s="0" t="n">
        <f aca="false">IF(W75=0,0,1)</f>
        <v>0</v>
      </c>
      <c r="AW75" s="26" t="n">
        <f aca="false">SUM(AA75:AV75)</f>
        <v>6</v>
      </c>
      <c r="AX75" s="27" t="n">
        <f aca="false">IF(X75=0,0,X75)</f>
        <v>222</v>
      </c>
      <c r="AY75" s="1" t="str">
        <f aca="false">IF(X75=0,0,A75)</f>
        <v>RICHARD</v>
      </c>
      <c r="AZ75" s="28" t="str">
        <f aca="false">IF(AX75=0,0,A$74)</f>
        <v>FFFFF&lt;sup&gt;10&lt;/sup&gt;</v>
      </c>
      <c r="BA75" s="29" t="n">
        <v>0</v>
      </c>
      <c r="BB75" s="30" t="n">
        <v>0</v>
      </c>
      <c r="BC75" s="31" t="n">
        <v>0</v>
      </c>
      <c r="BD75" s="27"/>
      <c r="BE75" s="26"/>
      <c r="BF75" s="32"/>
      <c r="BG75" s="33"/>
    </row>
    <row r="76" customFormat="false" ht="15" hidden="false" customHeight="false" outlineLevel="0" collapsed="false">
      <c r="A76" s="21" t="str">
        <f aca="false">B!B238</f>
        <v>JUSTIN</v>
      </c>
      <c r="B76" s="22" t="n">
        <f aca="false">C!B71</f>
        <v>39</v>
      </c>
      <c r="C76" s="22" t="n">
        <f aca="false">D!B71</f>
        <v>50</v>
      </c>
      <c r="D76" s="22" t="n">
        <f aca="false">E!B71</f>
        <v>35</v>
      </c>
      <c r="E76" s="22" t="n">
        <f aca="false">F!B71</f>
        <v>37</v>
      </c>
      <c r="F76" s="22" t="n">
        <f aca="false">G!B71</f>
        <v>36</v>
      </c>
      <c r="G76" s="22" t="n">
        <f aca="false">H!B71</f>
        <v>43</v>
      </c>
      <c r="H76" s="22" t="n">
        <f aca="false">I!B71</f>
        <v>0</v>
      </c>
      <c r="I76" s="22" t="n">
        <f aca="false">J!B71</f>
        <v>0</v>
      </c>
      <c r="J76" s="22" t="n">
        <f aca="false">K!B71</f>
        <v>0</v>
      </c>
      <c r="K76" s="22" t="n">
        <f aca="false">L!B71</f>
        <v>0</v>
      </c>
      <c r="L76" s="22" t="n">
        <f aca="false">M!B71</f>
        <v>0</v>
      </c>
      <c r="M76" s="22" t="n">
        <f aca="false">N!B71</f>
        <v>0</v>
      </c>
      <c r="N76" s="22" t="n">
        <f aca="false">O!B71</f>
        <v>0</v>
      </c>
      <c r="O76" s="22" t="n">
        <f aca="false">P!B71</f>
        <v>0</v>
      </c>
      <c r="P76" s="22" t="n">
        <f aca="false">Q!B71</f>
        <v>0</v>
      </c>
      <c r="Q76" s="22" t="n">
        <f aca="false">R!B71</f>
        <v>0</v>
      </c>
      <c r="R76" s="22" t="n">
        <f aca="false">S!B71</f>
        <v>0</v>
      </c>
      <c r="S76" s="22" t="n">
        <f aca="false">T!B71</f>
        <v>0</v>
      </c>
      <c r="T76" s="22" t="n">
        <f aca="false">U!B71</f>
        <v>0</v>
      </c>
      <c r="U76" s="22" t="n">
        <f aca="false">V!B71</f>
        <v>0</v>
      </c>
      <c r="V76" s="22" t="n">
        <f aca="false">W!B71</f>
        <v>0</v>
      </c>
      <c r="W76" s="22" t="n">
        <f aca="false">X!B71</f>
        <v>0</v>
      </c>
      <c r="X76" s="23" t="n">
        <f aca="false">SUM(B76:W76)</f>
        <v>240</v>
      </c>
      <c r="Y76" s="24" t="n">
        <f aca="false">IF(AW76=0,0,X76/AW76)</f>
        <v>40</v>
      </c>
      <c r="Z76" s="25" t="str">
        <f aca="false">A76</f>
        <v>JUSTIN</v>
      </c>
      <c r="AA76" s="16" t="n">
        <f aca="false">IF(B76=0,0,1)</f>
        <v>1</v>
      </c>
      <c r="AB76" s="0" t="n">
        <f aca="false">IF(C76=0,0,1)</f>
        <v>1</v>
      </c>
      <c r="AC76" s="0" t="n">
        <f aca="false">IF(D76=0,0,1)</f>
        <v>1</v>
      </c>
      <c r="AD76" s="0" t="n">
        <f aca="false">IF(E76=0,0,1)</f>
        <v>1</v>
      </c>
      <c r="AE76" s="0" t="n">
        <f aca="false">IF(F76=0,0,1)</f>
        <v>1</v>
      </c>
      <c r="AF76" s="0" t="n">
        <f aca="false">IF(G76=0,0,1)</f>
        <v>1</v>
      </c>
      <c r="AG76" s="0" t="n">
        <f aca="false">IF(H76=0,0,1)</f>
        <v>0</v>
      </c>
      <c r="AH76" s="0" t="n">
        <f aca="false">IF(I76=0,0,1)</f>
        <v>0</v>
      </c>
      <c r="AI76" s="0" t="n">
        <f aca="false">IF(J76=0,0,1)</f>
        <v>0</v>
      </c>
      <c r="AJ76" s="0" t="n">
        <f aca="false">IF(K76=0,0,1)</f>
        <v>0</v>
      </c>
      <c r="AK76" s="0" t="n">
        <f aca="false">IF(L76=0,0,1)</f>
        <v>0</v>
      </c>
      <c r="AL76" s="0" t="n">
        <f aca="false">IF(M76=0,0,1)</f>
        <v>0</v>
      </c>
      <c r="AM76" s="0" t="n">
        <f aca="false">IF(N76=0,0,1)</f>
        <v>0</v>
      </c>
      <c r="AN76" s="0" t="n">
        <f aca="false">IF(O76=0,0,1)</f>
        <v>0</v>
      </c>
      <c r="AO76" s="0" t="n">
        <f aca="false">IF(P76=0,0,1)</f>
        <v>0</v>
      </c>
      <c r="AP76" s="0" t="n">
        <f aca="false">IF(Q76=0,0,1)</f>
        <v>0</v>
      </c>
      <c r="AQ76" s="0" t="n">
        <f aca="false">IF(R76=0,0,1)</f>
        <v>0</v>
      </c>
      <c r="AR76" s="0" t="n">
        <f aca="false">IF(S76=0,0,1)</f>
        <v>0</v>
      </c>
      <c r="AS76" s="0" t="n">
        <f aca="false">IF(T76=0,0,1)</f>
        <v>0</v>
      </c>
      <c r="AT76" s="0" t="n">
        <f aca="false">IF(U76=0,0,1)</f>
        <v>0</v>
      </c>
      <c r="AU76" s="0" t="n">
        <f aca="false">IF(V76=0,0,1)</f>
        <v>0</v>
      </c>
      <c r="AV76" s="0" t="n">
        <f aca="false">IF(W76=0,0,1)</f>
        <v>0</v>
      </c>
      <c r="AW76" s="26" t="n">
        <f aca="false">SUM(AA76:AV76)</f>
        <v>6</v>
      </c>
      <c r="AX76" s="27" t="n">
        <f aca="false">IF(X76=0,0,X76)</f>
        <v>240</v>
      </c>
      <c r="AY76" s="1" t="str">
        <f aca="false">IF(X76=0,0,A76)</f>
        <v>JUSTIN</v>
      </c>
      <c r="AZ76" s="28" t="str">
        <f aca="false">IF(AX76=0,0,A$74)</f>
        <v>FFFFF&lt;sup&gt;10&lt;/sup&gt;</v>
      </c>
      <c r="BA76" s="53" t="n">
        <v>0</v>
      </c>
      <c r="BB76" s="30" t="n">
        <v>0</v>
      </c>
      <c r="BC76" s="30" t="n">
        <v>0</v>
      </c>
      <c r="BD76" s="27"/>
      <c r="BE76" s="26"/>
      <c r="BF76" s="32"/>
      <c r="BG76" s="33"/>
    </row>
    <row r="77" customFormat="false" ht="15" hidden="false" customHeight="false" outlineLevel="0" collapsed="false">
      <c r="A77" s="21" t="str">
        <f aca="false">B!B243</f>
        <v>SANDY</v>
      </c>
      <c r="B77" s="22" t="n">
        <f aca="false">C!B72</f>
        <v>22</v>
      </c>
      <c r="C77" s="22" t="n">
        <f aca="false">D!B72</f>
        <v>23</v>
      </c>
      <c r="D77" s="22" t="n">
        <f aca="false">E!B72</f>
        <v>39</v>
      </c>
      <c r="E77" s="22" t="n">
        <f aca="false">F!B72</f>
        <v>27</v>
      </c>
      <c r="F77" s="22" t="n">
        <f aca="false">G!B72</f>
        <v>31</v>
      </c>
      <c r="G77" s="22" t="n">
        <f aca="false">H!B72</f>
        <v>41</v>
      </c>
      <c r="H77" s="22" t="n">
        <f aca="false">I!B72</f>
        <v>0</v>
      </c>
      <c r="I77" s="22" t="n">
        <f aca="false">J!B72</f>
        <v>0</v>
      </c>
      <c r="J77" s="22" t="n">
        <f aca="false">K!B72</f>
        <v>0</v>
      </c>
      <c r="K77" s="22" t="n">
        <f aca="false">L!B72</f>
        <v>0</v>
      </c>
      <c r="L77" s="22" t="n">
        <f aca="false">M!B72</f>
        <v>0</v>
      </c>
      <c r="M77" s="22" t="n">
        <f aca="false">N!B72</f>
        <v>0</v>
      </c>
      <c r="N77" s="22" t="n">
        <f aca="false">O!B72</f>
        <v>0</v>
      </c>
      <c r="O77" s="22" t="n">
        <f aca="false">P!B72</f>
        <v>0</v>
      </c>
      <c r="P77" s="22" t="n">
        <f aca="false">Q!B72</f>
        <v>0</v>
      </c>
      <c r="Q77" s="22" t="n">
        <f aca="false">R!B72</f>
        <v>0</v>
      </c>
      <c r="R77" s="22" t="n">
        <f aca="false">S!B72</f>
        <v>0</v>
      </c>
      <c r="S77" s="22" t="n">
        <f aca="false">T!B72</f>
        <v>0</v>
      </c>
      <c r="T77" s="22" t="n">
        <f aca="false">U!B72</f>
        <v>0</v>
      </c>
      <c r="U77" s="22" t="n">
        <f aca="false">V!B72</f>
        <v>0</v>
      </c>
      <c r="V77" s="22" t="n">
        <f aca="false">W!B72</f>
        <v>0</v>
      </c>
      <c r="W77" s="22" t="n">
        <f aca="false">X!B72</f>
        <v>0</v>
      </c>
      <c r="X77" s="23" t="n">
        <f aca="false">SUM(B77:W77)</f>
        <v>183</v>
      </c>
      <c r="Y77" s="24" t="n">
        <f aca="false">IF(AW77=0,0,X77/AW77)</f>
        <v>30.5</v>
      </c>
      <c r="Z77" s="25" t="str">
        <f aca="false">A77</f>
        <v>SANDY</v>
      </c>
      <c r="AA77" s="16" t="n">
        <f aca="false">IF(B77=0,0,1)</f>
        <v>1</v>
      </c>
      <c r="AB77" s="0" t="n">
        <f aca="false">IF(C77=0,0,1)</f>
        <v>1</v>
      </c>
      <c r="AC77" s="0" t="n">
        <f aca="false">IF(D77=0,0,1)</f>
        <v>1</v>
      </c>
      <c r="AD77" s="0" t="n">
        <f aca="false">IF(E77=0,0,1)</f>
        <v>1</v>
      </c>
      <c r="AE77" s="0" t="n">
        <f aca="false">IF(F77=0,0,1)</f>
        <v>1</v>
      </c>
      <c r="AF77" s="0" t="n">
        <f aca="false">IF(G77=0,0,1)</f>
        <v>1</v>
      </c>
      <c r="AG77" s="0" t="n">
        <f aca="false">IF(H77=0,0,1)</f>
        <v>0</v>
      </c>
      <c r="AH77" s="0" t="n">
        <f aca="false">IF(I77=0,0,1)</f>
        <v>0</v>
      </c>
      <c r="AI77" s="0" t="n">
        <f aca="false">IF(J77=0,0,1)</f>
        <v>0</v>
      </c>
      <c r="AJ77" s="0" t="n">
        <f aca="false">IF(K77=0,0,1)</f>
        <v>0</v>
      </c>
      <c r="AK77" s="0" t="n">
        <f aca="false">IF(L77=0,0,1)</f>
        <v>0</v>
      </c>
      <c r="AL77" s="0" t="n">
        <f aca="false">IF(M77=0,0,1)</f>
        <v>0</v>
      </c>
      <c r="AM77" s="0" t="n">
        <f aca="false">IF(N77=0,0,1)</f>
        <v>0</v>
      </c>
      <c r="AN77" s="0" t="n">
        <f aca="false">IF(O77=0,0,1)</f>
        <v>0</v>
      </c>
      <c r="AO77" s="0" t="n">
        <f aca="false">IF(P77=0,0,1)</f>
        <v>0</v>
      </c>
      <c r="AP77" s="0" t="n">
        <f aca="false">IF(Q77=0,0,1)</f>
        <v>0</v>
      </c>
      <c r="AQ77" s="0" t="n">
        <f aca="false">IF(R77=0,0,1)</f>
        <v>0</v>
      </c>
      <c r="AR77" s="0" t="n">
        <f aca="false">IF(S77=0,0,1)</f>
        <v>0</v>
      </c>
      <c r="AS77" s="0" t="n">
        <f aca="false">IF(T77=0,0,1)</f>
        <v>0</v>
      </c>
      <c r="AT77" s="0" t="n">
        <f aca="false">IF(U77=0,0,1)</f>
        <v>0</v>
      </c>
      <c r="AU77" s="0" t="n">
        <f aca="false">IF(V77=0,0,1)</f>
        <v>0</v>
      </c>
      <c r="AV77" s="0" t="n">
        <f aca="false">IF(W77=0,0,1)</f>
        <v>0</v>
      </c>
      <c r="AW77" s="26" t="n">
        <f aca="false">SUM(AA77:AV77)</f>
        <v>6</v>
      </c>
      <c r="AX77" s="27" t="n">
        <f aca="false">IF(X77=0,0,X77)</f>
        <v>183</v>
      </c>
      <c r="AY77" s="1" t="str">
        <f aca="false">IF(X77=0,0,A77)</f>
        <v>SANDY</v>
      </c>
      <c r="AZ77" s="28" t="str">
        <f aca="false">IF(AX77=0,0,A$74)</f>
        <v>FFFFF&lt;sup&gt;10&lt;/sup&gt;</v>
      </c>
      <c r="BA77" s="53" t="n">
        <v>0</v>
      </c>
      <c r="BB77" s="30" t="n">
        <v>0</v>
      </c>
      <c r="BC77" s="30" t="n">
        <v>0</v>
      </c>
      <c r="BD77" s="27"/>
      <c r="BE77" s="26"/>
      <c r="BF77" s="32"/>
      <c r="BG77" s="33"/>
    </row>
    <row r="78" customFormat="false" ht="15" hidden="false" customHeight="false" outlineLevel="0" collapsed="false">
      <c r="A78" s="21" t="str">
        <f aca="false">B!B248</f>
        <v>DENNIS</v>
      </c>
      <c r="B78" s="22" t="n">
        <f aca="false">C!B73</f>
        <v>43</v>
      </c>
      <c r="C78" s="22" t="n">
        <f aca="false">D!B73</f>
        <v>41</v>
      </c>
      <c r="D78" s="22" t="n">
        <f aca="false">E!B73</f>
        <v>47</v>
      </c>
      <c r="E78" s="22" t="n">
        <f aca="false">F!B73</f>
        <v>34</v>
      </c>
      <c r="F78" s="22" t="n">
        <f aca="false">G!B73</f>
        <v>40</v>
      </c>
      <c r="G78" s="22" t="n">
        <f aca="false">H!B73</f>
        <v>34</v>
      </c>
      <c r="H78" s="22" t="n">
        <f aca="false">I!B73</f>
        <v>0</v>
      </c>
      <c r="I78" s="22" t="n">
        <f aca="false">J!B73</f>
        <v>0</v>
      </c>
      <c r="J78" s="22" t="n">
        <f aca="false">K!B73</f>
        <v>0</v>
      </c>
      <c r="K78" s="22" t="n">
        <f aca="false">L!B73</f>
        <v>0</v>
      </c>
      <c r="L78" s="22" t="n">
        <f aca="false">M!B73</f>
        <v>0</v>
      </c>
      <c r="M78" s="22" t="n">
        <f aca="false">N!B73</f>
        <v>0</v>
      </c>
      <c r="N78" s="22" t="n">
        <f aca="false">O!B73</f>
        <v>0</v>
      </c>
      <c r="O78" s="22" t="n">
        <f aca="false">P!B73</f>
        <v>0</v>
      </c>
      <c r="P78" s="22" t="n">
        <f aca="false">Q!B73</f>
        <v>0</v>
      </c>
      <c r="Q78" s="22" t="n">
        <f aca="false">R!B73</f>
        <v>0</v>
      </c>
      <c r="R78" s="22" t="n">
        <f aca="false">S!B73</f>
        <v>0</v>
      </c>
      <c r="S78" s="22" t="n">
        <f aca="false">T!B73</f>
        <v>0</v>
      </c>
      <c r="T78" s="22" t="n">
        <f aca="false">U!B73</f>
        <v>0</v>
      </c>
      <c r="U78" s="22" t="n">
        <f aca="false">V!B73</f>
        <v>0</v>
      </c>
      <c r="V78" s="22" t="n">
        <f aca="false">W!B73</f>
        <v>0</v>
      </c>
      <c r="W78" s="22" t="n">
        <f aca="false">X!B73</f>
        <v>0</v>
      </c>
      <c r="X78" s="23" t="n">
        <f aca="false">SUM(B78:W78)</f>
        <v>239</v>
      </c>
      <c r="Y78" s="24" t="n">
        <f aca="false">IF(AW78=0,0,X78/AW78)</f>
        <v>39.8333333333333</v>
      </c>
      <c r="Z78" s="25" t="str">
        <f aca="false">A78</f>
        <v>DENNIS</v>
      </c>
      <c r="AA78" s="16" t="n">
        <f aca="false">IF(B78=0,0,1)</f>
        <v>1</v>
      </c>
      <c r="AB78" s="0" t="n">
        <f aca="false">IF(C78=0,0,1)</f>
        <v>1</v>
      </c>
      <c r="AC78" s="0" t="n">
        <f aca="false">IF(D78=0,0,1)</f>
        <v>1</v>
      </c>
      <c r="AD78" s="0" t="n">
        <f aca="false">IF(E78=0,0,1)</f>
        <v>1</v>
      </c>
      <c r="AE78" s="0" t="n">
        <f aca="false">IF(F78=0,0,1)</f>
        <v>1</v>
      </c>
      <c r="AF78" s="0" t="n">
        <f aca="false">IF(G78=0,0,1)</f>
        <v>1</v>
      </c>
      <c r="AG78" s="0" t="n">
        <f aca="false">IF(H78=0,0,1)</f>
        <v>0</v>
      </c>
      <c r="AH78" s="0" t="n">
        <f aca="false">IF(I78=0,0,1)</f>
        <v>0</v>
      </c>
      <c r="AI78" s="0" t="n">
        <f aca="false">IF(J78=0,0,1)</f>
        <v>0</v>
      </c>
      <c r="AJ78" s="0" t="n">
        <f aca="false">IF(K78=0,0,1)</f>
        <v>0</v>
      </c>
      <c r="AK78" s="0" t="n">
        <f aca="false">IF(L78=0,0,1)</f>
        <v>0</v>
      </c>
      <c r="AL78" s="0" t="n">
        <f aca="false">IF(M78=0,0,1)</f>
        <v>0</v>
      </c>
      <c r="AM78" s="0" t="n">
        <f aca="false">IF(N78=0,0,1)</f>
        <v>0</v>
      </c>
      <c r="AN78" s="0" t="n">
        <f aca="false">IF(O78=0,0,1)</f>
        <v>0</v>
      </c>
      <c r="AO78" s="0" t="n">
        <f aca="false">IF(P78=0,0,1)</f>
        <v>0</v>
      </c>
      <c r="AP78" s="0" t="n">
        <f aca="false">IF(Q78=0,0,1)</f>
        <v>0</v>
      </c>
      <c r="AQ78" s="0" t="n">
        <f aca="false">IF(R78=0,0,1)</f>
        <v>0</v>
      </c>
      <c r="AR78" s="0" t="n">
        <f aca="false">IF(S78=0,0,1)</f>
        <v>0</v>
      </c>
      <c r="AS78" s="0" t="n">
        <f aca="false">IF(T78=0,0,1)</f>
        <v>0</v>
      </c>
      <c r="AT78" s="0" t="n">
        <f aca="false">IF(U78=0,0,1)</f>
        <v>0</v>
      </c>
      <c r="AU78" s="0" t="n">
        <f aca="false">IF(V78=0,0,1)</f>
        <v>0</v>
      </c>
      <c r="AV78" s="0" t="n">
        <f aca="false">IF(W78=0,0,1)</f>
        <v>0</v>
      </c>
      <c r="AW78" s="26" t="n">
        <f aca="false">SUM(AA78:AV78)</f>
        <v>6</v>
      </c>
      <c r="AX78" s="27" t="n">
        <f aca="false">IF(X78=0,0,X78)</f>
        <v>239</v>
      </c>
      <c r="AY78" s="1" t="str">
        <f aca="false">IF(X78=0,0,A78)</f>
        <v>DENNIS</v>
      </c>
      <c r="AZ78" s="28" t="str">
        <f aca="false">IF(AX78=0,0,A$74)</f>
        <v>FFFFF&lt;sup&gt;10&lt;/sup&gt;</v>
      </c>
      <c r="BA78" s="53" t="n">
        <v>0</v>
      </c>
      <c r="BB78" s="30" t="n">
        <v>0</v>
      </c>
      <c r="BC78" s="30" t="n">
        <v>0</v>
      </c>
      <c r="BD78" s="27"/>
      <c r="BE78" s="26"/>
      <c r="BF78" s="32"/>
      <c r="BG78" s="33"/>
    </row>
    <row r="79" customFormat="false" ht="15" hidden="false" customHeight="false" outlineLevel="0" collapsed="false">
      <c r="A79" s="21" t="str">
        <f aca="false">B!B253</f>
        <v>VE</v>
      </c>
      <c r="B79" s="22" t="n">
        <f aca="false">C!B74</f>
        <v>38</v>
      </c>
      <c r="C79" s="22" t="n">
        <f aca="false">D!B74</f>
        <v>39</v>
      </c>
      <c r="D79" s="22" t="n">
        <f aca="false">E!B74</f>
        <v>38</v>
      </c>
      <c r="E79" s="22" t="n">
        <f aca="false">F!B74</f>
        <v>35</v>
      </c>
      <c r="F79" s="22" t="n">
        <f aca="false">G!B74</f>
        <v>39</v>
      </c>
      <c r="G79" s="22" t="n">
        <f aca="false">H!B74</f>
        <v>38</v>
      </c>
      <c r="H79" s="22" t="n">
        <f aca="false">I!B74</f>
        <v>0</v>
      </c>
      <c r="I79" s="22" t="n">
        <f aca="false">J!B74</f>
        <v>0</v>
      </c>
      <c r="J79" s="22" t="n">
        <f aca="false">K!B74</f>
        <v>0</v>
      </c>
      <c r="K79" s="22" t="n">
        <f aca="false">L!B74</f>
        <v>0</v>
      </c>
      <c r="L79" s="22" t="n">
        <f aca="false">M!B74</f>
        <v>0</v>
      </c>
      <c r="M79" s="22" t="n">
        <f aca="false">N!B74</f>
        <v>0</v>
      </c>
      <c r="N79" s="22" t="n">
        <f aca="false">O!B74</f>
        <v>0</v>
      </c>
      <c r="O79" s="22" t="n">
        <f aca="false">P!B74</f>
        <v>0</v>
      </c>
      <c r="P79" s="22" t="n">
        <f aca="false">Q!B74</f>
        <v>0</v>
      </c>
      <c r="Q79" s="22" t="n">
        <f aca="false">R!B74</f>
        <v>0</v>
      </c>
      <c r="R79" s="22" t="n">
        <f aca="false">S!B74</f>
        <v>0</v>
      </c>
      <c r="S79" s="22" t="n">
        <f aca="false">T!B74</f>
        <v>0</v>
      </c>
      <c r="T79" s="22" t="n">
        <f aca="false">U!B74</f>
        <v>0</v>
      </c>
      <c r="U79" s="22" t="n">
        <f aca="false">V!B74</f>
        <v>0</v>
      </c>
      <c r="V79" s="22" t="n">
        <f aca="false">W!B74</f>
        <v>0</v>
      </c>
      <c r="W79" s="22" t="n">
        <f aca="false">X!B74</f>
        <v>0</v>
      </c>
      <c r="X79" s="23" t="n">
        <f aca="false">SUM(B79:W79)</f>
        <v>227</v>
      </c>
      <c r="Y79" s="24" t="n">
        <f aca="false">IF(AW79=0,0,X79/AW79)</f>
        <v>37.8333333333333</v>
      </c>
      <c r="Z79" s="25" t="str">
        <f aca="false">A79</f>
        <v>VE</v>
      </c>
      <c r="AA79" s="16" t="n">
        <f aca="false">IF(B79=0,0,1)</f>
        <v>1</v>
      </c>
      <c r="AB79" s="0" t="n">
        <f aca="false">IF(C79=0,0,1)</f>
        <v>1</v>
      </c>
      <c r="AC79" s="0" t="n">
        <f aca="false">IF(D79=0,0,1)</f>
        <v>1</v>
      </c>
      <c r="AD79" s="0" t="n">
        <f aca="false">IF(E79=0,0,1)</f>
        <v>1</v>
      </c>
      <c r="AE79" s="0" t="n">
        <f aca="false">IF(F79=0,0,1)</f>
        <v>1</v>
      </c>
      <c r="AF79" s="0" t="n">
        <f aca="false">IF(G79=0,0,1)</f>
        <v>1</v>
      </c>
      <c r="AG79" s="0" t="n">
        <f aca="false">IF(H79=0,0,1)</f>
        <v>0</v>
      </c>
      <c r="AH79" s="0" t="n">
        <f aca="false">IF(I79=0,0,1)</f>
        <v>0</v>
      </c>
      <c r="AI79" s="0" t="n">
        <f aca="false">IF(J79=0,0,1)</f>
        <v>0</v>
      </c>
      <c r="AJ79" s="0" t="n">
        <f aca="false">IF(K79=0,0,1)</f>
        <v>0</v>
      </c>
      <c r="AK79" s="0" t="n">
        <f aca="false">IF(L79=0,0,1)</f>
        <v>0</v>
      </c>
      <c r="AL79" s="0" t="n">
        <f aca="false">IF(M79=0,0,1)</f>
        <v>0</v>
      </c>
      <c r="AM79" s="0" t="n">
        <f aca="false">IF(N79=0,0,1)</f>
        <v>0</v>
      </c>
      <c r="AN79" s="0" t="n">
        <f aca="false">IF(O79=0,0,1)</f>
        <v>0</v>
      </c>
      <c r="AO79" s="0" t="n">
        <f aca="false">IF(P79=0,0,1)</f>
        <v>0</v>
      </c>
      <c r="AP79" s="0" t="n">
        <f aca="false">IF(Q79=0,0,1)</f>
        <v>0</v>
      </c>
      <c r="AQ79" s="0" t="n">
        <f aca="false">IF(R79=0,0,1)</f>
        <v>0</v>
      </c>
      <c r="AR79" s="0" t="n">
        <f aca="false">IF(S79=0,0,1)</f>
        <v>0</v>
      </c>
      <c r="AS79" s="0" t="n">
        <f aca="false">IF(T79=0,0,1)</f>
        <v>0</v>
      </c>
      <c r="AT79" s="0" t="n">
        <f aca="false">IF(U79=0,0,1)</f>
        <v>0</v>
      </c>
      <c r="AU79" s="0" t="n">
        <f aca="false">IF(V79=0,0,1)</f>
        <v>0</v>
      </c>
      <c r="AV79" s="0" t="n">
        <f aca="false">IF(W79=0,0,1)</f>
        <v>0</v>
      </c>
      <c r="AW79" s="26" t="n">
        <f aca="false">SUM(AA79:AV79)</f>
        <v>6</v>
      </c>
      <c r="AX79" s="27" t="n">
        <f aca="false">IF(X79=0,0,X79)</f>
        <v>227</v>
      </c>
      <c r="AY79" s="1" t="str">
        <f aca="false">IF(X79=0,0,A79)</f>
        <v>VE</v>
      </c>
      <c r="AZ79" s="28" t="str">
        <f aca="false">IF(AX79=0,0,A$74)</f>
        <v>FFFFF&lt;sup&gt;10&lt;/sup&gt;</v>
      </c>
      <c r="BA79" s="53" t="n">
        <v>0</v>
      </c>
      <c r="BB79" s="30" t="n">
        <v>0</v>
      </c>
      <c r="BC79" s="30" t="n">
        <v>0</v>
      </c>
      <c r="BD79" s="27"/>
      <c r="BE79" s="26"/>
      <c r="BF79" s="32"/>
      <c r="BG79" s="33"/>
    </row>
    <row r="80" customFormat="false" ht="15" hidden="false" customHeight="false" outlineLevel="0" collapsed="false">
      <c r="A80" s="21" t="n">
        <f aca="false">B!B258</f>
        <v>0</v>
      </c>
      <c r="B80" s="22" t="n">
        <f aca="false">C!B75</f>
        <v>0</v>
      </c>
      <c r="C80" s="22" t="n">
        <f aca="false">D!B75</f>
        <v>0</v>
      </c>
      <c r="D80" s="22" t="n">
        <f aca="false">E!B75</f>
        <v>0</v>
      </c>
      <c r="E80" s="22" t="n">
        <f aca="false">F!B75</f>
        <v>0</v>
      </c>
      <c r="F80" s="22" t="n">
        <f aca="false">G!B75</f>
        <v>0</v>
      </c>
      <c r="G80" s="22" t="n">
        <f aca="false">H!B75</f>
        <v>0</v>
      </c>
      <c r="H80" s="22" t="n">
        <f aca="false">I!B75</f>
        <v>0</v>
      </c>
      <c r="I80" s="22" t="n">
        <f aca="false">J!B75</f>
        <v>0</v>
      </c>
      <c r="J80" s="22" t="n">
        <f aca="false">K!B75</f>
        <v>0</v>
      </c>
      <c r="K80" s="22" t="n">
        <f aca="false">L!B75</f>
        <v>0</v>
      </c>
      <c r="L80" s="22" t="n">
        <f aca="false">M!B75</f>
        <v>0</v>
      </c>
      <c r="M80" s="22" t="n">
        <f aca="false">N!B75</f>
        <v>0</v>
      </c>
      <c r="N80" s="22" t="n">
        <f aca="false">O!B75</f>
        <v>0</v>
      </c>
      <c r="O80" s="22" t="n">
        <f aca="false">P!B75</f>
        <v>0</v>
      </c>
      <c r="P80" s="22" t="n">
        <f aca="false">Q!B75</f>
        <v>0</v>
      </c>
      <c r="Q80" s="22" t="n">
        <f aca="false">R!B75</f>
        <v>0</v>
      </c>
      <c r="R80" s="22" t="n">
        <f aca="false">S!B75</f>
        <v>0</v>
      </c>
      <c r="S80" s="22" t="n">
        <f aca="false">T!B75</f>
        <v>0</v>
      </c>
      <c r="T80" s="22" t="n">
        <f aca="false">U!B75</f>
        <v>0</v>
      </c>
      <c r="U80" s="22" t="n">
        <f aca="false">V!B75</f>
        <v>0</v>
      </c>
      <c r="V80" s="22" t="n">
        <f aca="false">W!B75</f>
        <v>0</v>
      </c>
      <c r="W80" s="22" t="n">
        <f aca="false">X!B75</f>
        <v>0</v>
      </c>
      <c r="X80" s="23" t="n">
        <f aca="false">SUM(B80:W80)</f>
        <v>0</v>
      </c>
      <c r="Y80" s="24" t="n">
        <f aca="false">IF(AW80=0,0,X80/AW80)</f>
        <v>0</v>
      </c>
      <c r="Z80" s="25" t="n">
        <f aca="false">A80</f>
        <v>0</v>
      </c>
      <c r="AA80" s="16" t="n">
        <f aca="false">IF(B80=0,0,1)</f>
        <v>0</v>
      </c>
      <c r="AB80" s="0" t="n">
        <f aca="false">IF(C80=0,0,1)</f>
        <v>0</v>
      </c>
      <c r="AC80" s="0" t="n">
        <f aca="false">IF(D80=0,0,1)</f>
        <v>0</v>
      </c>
      <c r="AD80" s="0" t="n">
        <f aca="false">IF(E80=0,0,1)</f>
        <v>0</v>
      </c>
      <c r="AE80" s="0" t="n">
        <f aca="false">IF(F80=0,0,1)</f>
        <v>0</v>
      </c>
      <c r="AF80" s="0" t="n">
        <f aca="false">IF(G80=0,0,1)</f>
        <v>0</v>
      </c>
      <c r="AG80" s="0" t="n">
        <f aca="false">IF(H80=0,0,1)</f>
        <v>0</v>
      </c>
      <c r="AH80" s="0" t="n">
        <f aca="false">IF(I80=0,0,1)</f>
        <v>0</v>
      </c>
      <c r="AI80" s="0" t="n">
        <f aca="false">IF(J80=0,0,1)</f>
        <v>0</v>
      </c>
      <c r="AJ80" s="0" t="n">
        <f aca="false">IF(K80=0,0,1)</f>
        <v>0</v>
      </c>
      <c r="AK80" s="0" t="n">
        <f aca="false">IF(L80=0,0,1)</f>
        <v>0</v>
      </c>
      <c r="AL80" s="0" t="n">
        <f aca="false">IF(M80=0,0,1)</f>
        <v>0</v>
      </c>
      <c r="AM80" s="0" t="n">
        <f aca="false">IF(N80=0,0,1)</f>
        <v>0</v>
      </c>
      <c r="AN80" s="0" t="n">
        <f aca="false">IF(O80=0,0,1)</f>
        <v>0</v>
      </c>
      <c r="AO80" s="0" t="n">
        <f aca="false">IF(P80=0,0,1)</f>
        <v>0</v>
      </c>
      <c r="AP80" s="0" t="n">
        <f aca="false">IF(Q80=0,0,1)</f>
        <v>0</v>
      </c>
      <c r="AQ80" s="0" t="n">
        <f aca="false">IF(R80=0,0,1)</f>
        <v>0</v>
      </c>
      <c r="AR80" s="0" t="n">
        <f aca="false">IF(S80=0,0,1)</f>
        <v>0</v>
      </c>
      <c r="AS80" s="0" t="n">
        <f aca="false">IF(T80=0,0,1)</f>
        <v>0</v>
      </c>
      <c r="AT80" s="0" t="n">
        <f aca="false">IF(U80=0,0,1)</f>
        <v>0</v>
      </c>
      <c r="AU80" s="0" t="n">
        <f aca="false">IF(V80=0,0,1)</f>
        <v>0</v>
      </c>
      <c r="AV80" s="0" t="n">
        <f aca="false">IF(W80=0,0,1)</f>
        <v>0</v>
      </c>
      <c r="AW80" s="26" t="n">
        <f aca="false">SUM(AA80:AV80)</f>
        <v>0</v>
      </c>
      <c r="AX80" s="27" t="n">
        <f aca="false">IF(X80=0,0,X80)</f>
        <v>0</v>
      </c>
      <c r="AY80" s="1" t="n">
        <f aca="false">IF(X80=0,0,A80)</f>
        <v>0</v>
      </c>
      <c r="AZ80" s="28" t="n">
        <f aca="false">IF(AX80=0,0,A$74)</f>
        <v>0</v>
      </c>
      <c r="BA80" s="53" t="n">
        <v>0</v>
      </c>
      <c r="BB80" s="30" t="n">
        <v>0</v>
      </c>
      <c r="BC80" s="30" t="n">
        <v>0</v>
      </c>
      <c r="BD80" s="27"/>
      <c r="BE80" s="26"/>
      <c r="BF80" s="32"/>
      <c r="BG80" s="33"/>
    </row>
    <row r="81" customFormat="false" ht="15" hidden="false" customHeight="false" outlineLevel="0" collapsed="false">
      <c r="A81" s="21" t="n">
        <f aca="false">B!B263</f>
        <v>0</v>
      </c>
      <c r="B81" s="22" t="n">
        <f aca="false">C!B76</f>
        <v>0</v>
      </c>
      <c r="C81" s="22" t="n">
        <f aca="false">D!B76</f>
        <v>0</v>
      </c>
      <c r="D81" s="22" t="n">
        <f aca="false">E!B76</f>
        <v>0</v>
      </c>
      <c r="E81" s="22" t="n">
        <f aca="false">F!B76</f>
        <v>0</v>
      </c>
      <c r="F81" s="22" t="n">
        <f aca="false">G!B76</f>
        <v>0</v>
      </c>
      <c r="G81" s="22" t="n">
        <f aca="false">H!B76</f>
        <v>0</v>
      </c>
      <c r="H81" s="22" t="n">
        <f aca="false">I!B76</f>
        <v>0</v>
      </c>
      <c r="I81" s="22" t="n">
        <f aca="false">J!B76</f>
        <v>0</v>
      </c>
      <c r="J81" s="22" t="n">
        <f aca="false">K!B76</f>
        <v>0</v>
      </c>
      <c r="K81" s="22" t="n">
        <f aca="false">L!B76</f>
        <v>0</v>
      </c>
      <c r="L81" s="22" t="n">
        <f aca="false">M!B76</f>
        <v>0</v>
      </c>
      <c r="M81" s="22" t="n">
        <f aca="false">N!B76</f>
        <v>0</v>
      </c>
      <c r="N81" s="22" t="n">
        <f aca="false">O!B76</f>
        <v>0</v>
      </c>
      <c r="O81" s="22" t="n">
        <f aca="false">P!B76</f>
        <v>0</v>
      </c>
      <c r="P81" s="22" t="n">
        <f aca="false">Q!B76</f>
        <v>0</v>
      </c>
      <c r="Q81" s="22" t="n">
        <f aca="false">R!B76</f>
        <v>0</v>
      </c>
      <c r="R81" s="22" t="n">
        <f aca="false">S!B76</f>
        <v>0</v>
      </c>
      <c r="S81" s="22" t="n">
        <f aca="false">T!B76</f>
        <v>0</v>
      </c>
      <c r="T81" s="22" t="n">
        <f aca="false">U!B76</f>
        <v>0</v>
      </c>
      <c r="U81" s="22" t="n">
        <f aca="false">V!B76</f>
        <v>0</v>
      </c>
      <c r="V81" s="22" t="n">
        <f aca="false">W!B76</f>
        <v>0</v>
      </c>
      <c r="W81" s="22" t="n">
        <f aca="false">X!B76</f>
        <v>0</v>
      </c>
      <c r="X81" s="23" t="n">
        <f aca="false">SUM(B81:W81)</f>
        <v>0</v>
      </c>
      <c r="Y81" s="24" t="n">
        <f aca="false">IF(AW81=0,0,X81/AW81)</f>
        <v>0</v>
      </c>
      <c r="Z81" s="25" t="n">
        <f aca="false">A81</f>
        <v>0</v>
      </c>
      <c r="AA81" s="16" t="n">
        <f aca="false">IF(B81=0,0,1)</f>
        <v>0</v>
      </c>
      <c r="AB81" s="0" t="n">
        <f aca="false">IF(C81=0,0,1)</f>
        <v>0</v>
      </c>
      <c r="AC81" s="0" t="n">
        <f aca="false">IF(D81=0,0,1)</f>
        <v>0</v>
      </c>
      <c r="AD81" s="0" t="n">
        <f aca="false">IF(E81=0,0,1)</f>
        <v>0</v>
      </c>
      <c r="AE81" s="0" t="n">
        <f aca="false">IF(F81=0,0,1)</f>
        <v>0</v>
      </c>
      <c r="AF81" s="0" t="n">
        <f aca="false">IF(G81=0,0,1)</f>
        <v>0</v>
      </c>
      <c r="AG81" s="0" t="n">
        <f aca="false">IF(H81=0,0,1)</f>
        <v>0</v>
      </c>
      <c r="AH81" s="0" t="n">
        <f aca="false">IF(I81=0,0,1)</f>
        <v>0</v>
      </c>
      <c r="AI81" s="0" t="n">
        <f aca="false">IF(J81=0,0,1)</f>
        <v>0</v>
      </c>
      <c r="AJ81" s="0" t="n">
        <f aca="false">IF(K81=0,0,1)</f>
        <v>0</v>
      </c>
      <c r="AK81" s="0" t="n">
        <f aca="false">IF(L81=0,0,1)</f>
        <v>0</v>
      </c>
      <c r="AL81" s="0" t="n">
        <f aca="false">IF(M81=0,0,1)</f>
        <v>0</v>
      </c>
      <c r="AM81" s="0" t="n">
        <f aca="false">IF(N81=0,0,1)</f>
        <v>0</v>
      </c>
      <c r="AN81" s="0" t="n">
        <f aca="false">IF(O81=0,0,1)</f>
        <v>0</v>
      </c>
      <c r="AO81" s="0" t="n">
        <f aca="false">IF(P81=0,0,1)</f>
        <v>0</v>
      </c>
      <c r="AP81" s="0" t="n">
        <f aca="false">IF(Q81=0,0,1)</f>
        <v>0</v>
      </c>
      <c r="AQ81" s="0" t="n">
        <f aca="false">IF(R81=0,0,1)</f>
        <v>0</v>
      </c>
      <c r="AR81" s="0" t="n">
        <f aca="false">IF(S81=0,0,1)</f>
        <v>0</v>
      </c>
      <c r="AS81" s="0" t="n">
        <f aca="false">IF(T81=0,0,1)</f>
        <v>0</v>
      </c>
      <c r="AT81" s="0" t="n">
        <f aca="false">IF(U81=0,0,1)</f>
        <v>0</v>
      </c>
      <c r="AU81" s="0" t="n">
        <f aca="false">IF(V81=0,0,1)</f>
        <v>0</v>
      </c>
      <c r="AV81" s="0" t="n">
        <f aca="false">IF(W81=0,0,1)</f>
        <v>0</v>
      </c>
      <c r="AW81" s="26" t="n">
        <f aca="false">SUM(AA81:AV81)</f>
        <v>0</v>
      </c>
      <c r="AX81" s="27" t="n">
        <f aca="false">IF(X81=0,0,X81)</f>
        <v>0</v>
      </c>
      <c r="AY81" s="1" t="n">
        <f aca="false">IF(X81=0,0,A81)</f>
        <v>0</v>
      </c>
      <c r="AZ81" s="28" t="n">
        <f aca="false">IF(AX81=0,0,A$74)</f>
        <v>0</v>
      </c>
      <c r="BA81" s="53" t="n">
        <v>0</v>
      </c>
      <c r="BB81" s="30" t="n">
        <v>0</v>
      </c>
      <c r="BC81" s="30" t="n">
        <v>0</v>
      </c>
      <c r="BD81" s="27"/>
      <c r="BE81" s="26"/>
      <c r="BF81" s="32"/>
      <c r="BG81" s="33"/>
    </row>
    <row r="82" customFormat="false" ht="15" hidden="false" customHeight="false" outlineLevel="0" collapsed="false">
      <c r="A82" s="16" t="n">
        <f aca="false">B!B268</f>
        <v>0</v>
      </c>
      <c r="B82" s="22" t="n">
        <f aca="false">C!B77</f>
        <v>0</v>
      </c>
      <c r="C82" s="22" t="n">
        <f aca="false">D!B77</f>
        <v>0</v>
      </c>
      <c r="D82" s="22" t="n">
        <f aca="false">E!B77</f>
        <v>0</v>
      </c>
      <c r="E82" s="22" t="n">
        <f aca="false">F!B77</f>
        <v>0</v>
      </c>
      <c r="F82" s="22" t="n">
        <f aca="false">G!B77</f>
        <v>0</v>
      </c>
      <c r="G82" s="22" t="n">
        <f aca="false">H!B77</f>
        <v>0</v>
      </c>
      <c r="H82" s="22" t="n">
        <f aca="false">I!B77</f>
        <v>0</v>
      </c>
      <c r="I82" s="22" t="n">
        <f aca="false">J!B77</f>
        <v>0</v>
      </c>
      <c r="J82" s="22" t="n">
        <f aca="false">K!B77</f>
        <v>0</v>
      </c>
      <c r="K82" s="22" t="n">
        <f aca="false">L!B77</f>
        <v>0</v>
      </c>
      <c r="L82" s="22" t="n">
        <f aca="false">M!B77</f>
        <v>0</v>
      </c>
      <c r="M82" s="22" t="n">
        <f aca="false">N!B77</f>
        <v>0</v>
      </c>
      <c r="N82" s="22" t="n">
        <f aca="false">O!B77</f>
        <v>0</v>
      </c>
      <c r="O82" s="22" t="n">
        <f aca="false">P!B77</f>
        <v>0</v>
      </c>
      <c r="P82" s="22" t="n">
        <f aca="false">Q!B77</f>
        <v>0</v>
      </c>
      <c r="Q82" s="22" t="n">
        <f aca="false">R!B77</f>
        <v>0</v>
      </c>
      <c r="R82" s="22" t="n">
        <f aca="false">S!B77</f>
        <v>0</v>
      </c>
      <c r="S82" s="22" t="n">
        <f aca="false">T!B77</f>
        <v>0</v>
      </c>
      <c r="T82" s="22" t="n">
        <f aca="false">U!B77</f>
        <v>0</v>
      </c>
      <c r="U82" s="22" t="n">
        <f aca="false">V!B77</f>
        <v>0</v>
      </c>
      <c r="V82" s="22" t="n">
        <f aca="false">W!B77</f>
        <v>0</v>
      </c>
      <c r="W82" s="22" t="n">
        <f aca="false">X!B77</f>
        <v>0</v>
      </c>
      <c r="X82" s="23" t="n">
        <f aca="false">SUM(B82:W82)</f>
        <v>0</v>
      </c>
      <c r="Y82" s="24" t="n">
        <f aca="false">IF(AW82=0,0,X82/AW82)</f>
        <v>0</v>
      </c>
      <c r="Z82" s="25" t="n">
        <f aca="false">A82</f>
        <v>0</v>
      </c>
      <c r="AA82" s="16" t="n">
        <f aca="false">IF(B82=0,0,1)</f>
        <v>0</v>
      </c>
      <c r="AB82" s="0" t="n">
        <f aca="false">IF(C82=0,0,1)</f>
        <v>0</v>
      </c>
      <c r="AC82" s="0" t="n">
        <f aca="false">IF(D82=0,0,1)</f>
        <v>0</v>
      </c>
      <c r="AD82" s="0" t="n">
        <f aca="false">IF(E82=0,0,1)</f>
        <v>0</v>
      </c>
      <c r="AE82" s="0" t="n">
        <f aca="false">IF(F82=0,0,1)</f>
        <v>0</v>
      </c>
      <c r="AF82" s="0" t="n">
        <f aca="false">IF(G82=0,0,1)</f>
        <v>0</v>
      </c>
      <c r="AG82" s="0" t="n">
        <f aca="false">IF(H82=0,0,1)</f>
        <v>0</v>
      </c>
      <c r="AH82" s="0" t="n">
        <f aca="false">IF(I82=0,0,1)</f>
        <v>0</v>
      </c>
      <c r="AI82" s="0" t="n">
        <f aca="false">IF(J82=0,0,1)</f>
        <v>0</v>
      </c>
      <c r="AJ82" s="0" t="n">
        <f aca="false">IF(K82=0,0,1)</f>
        <v>0</v>
      </c>
      <c r="AK82" s="0" t="n">
        <f aca="false">IF(L82=0,0,1)</f>
        <v>0</v>
      </c>
      <c r="AL82" s="0" t="n">
        <f aca="false">IF(M82=0,0,1)</f>
        <v>0</v>
      </c>
      <c r="AM82" s="0" t="n">
        <f aca="false">IF(N82=0,0,1)</f>
        <v>0</v>
      </c>
      <c r="AN82" s="0" t="n">
        <f aca="false">IF(O82=0,0,1)</f>
        <v>0</v>
      </c>
      <c r="AO82" s="0" t="n">
        <f aca="false">IF(P82=0,0,1)</f>
        <v>0</v>
      </c>
      <c r="AP82" s="0" t="n">
        <f aca="false">IF(Q82=0,0,1)</f>
        <v>0</v>
      </c>
      <c r="AQ82" s="0" t="n">
        <f aca="false">IF(R82=0,0,1)</f>
        <v>0</v>
      </c>
      <c r="AR82" s="0" t="n">
        <f aca="false">IF(S82=0,0,1)</f>
        <v>0</v>
      </c>
      <c r="AS82" s="0" t="n">
        <f aca="false">IF(T82=0,0,1)</f>
        <v>0</v>
      </c>
      <c r="AT82" s="0" t="n">
        <f aca="false">IF(U82=0,0,1)</f>
        <v>0</v>
      </c>
      <c r="AU82" s="0" t="n">
        <f aca="false">IF(V82=0,0,1)</f>
        <v>0</v>
      </c>
      <c r="AV82" s="0" t="n">
        <f aca="false">IF(W82=0,0,1)</f>
        <v>0</v>
      </c>
      <c r="AW82" s="26" t="n">
        <f aca="false">SUM(AA82:AV82)</f>
        <v>0</v>
      </c>
      <c r="AX82" s="27" t="n">
        <f aca="false">IF(X82=0,0,X82)</f>
        <v>0</v>
      </c>
      <c r="AY82" s="1" t="n">
        <f aca="false">IF(X82=0,0,A82)</f>
        <v>0</v>
      </c>
      <c r="AZ82" s="28" t="n">
        <f aca="false">IF(AX82=0,0,A$74)</f>
        <v>0</v>
      </c>
      <c r="BA82" s="53" t="n">
        <v>0</v>
      </c>
      <c r="BB82" s="30" t="n">
        <v>0</v>
      </c>
      <c r="BC82" s="30" t="n">
        <v>0</v>
      </c>
      <c r="BD82" s="27"/>
      <c r="BE82" s="26"/>
      <c r="BF82" s="32"/>
      <c r="BG82" s="33"/>
    </row>
    <row r="83" customFormat="false" ht="15" hidden="false" customHeight="false" outlineLevel="0" collapsed="false">
      <c r="A83" s="38" t="s">
        <v>60</v>
      </c>
      <c r="B83" s="39" t="n">
        <f aca="false">SUM(B75:B82)</f>
        <v>176</v>
      </c>
      <c r="C83" s="39" t="n">
        <f aca="false">SUM(C75:C82)</f>
        <v>196</v>
      </c>
      <c r="D83" s="39" t="n">
        <f aca="false">SUM(D75:D82)</f>
        <v>196</v>
      </c>
      <c r="E83" s="39" t="n">
        <f aca="false">SUM(E75:E82)</f>
        <v>168</v>
      </c>
      <c r="F83" s="39" t="n">
        <f aca="false">SUM(F75:F82)</f>
        <v>181</v>
      </c>
      <c r="G83" s="39" t="n">
        <f aca="false">SUM(G75:G82)</f>
        <v>194</v>
      </c>
      <c r="H83" s="39" t="n">
        <f aca="false">SUM(H75:H82)</f>
        <v>0</v>
      </c>
      <c r="I83" s="39" t="n">
        <f aca="false">SUM(I75:I82)</f>
        <v>0</v>
      </c>
      <c r="J83" s="39" t="n">
        <f aca="false">SUM(J75:J82)</f>
        <v>0</v>
      </c>
      <c r="K83" s="39" t="n">
        <f aca="false">SUM(K75:K82)</f>
        <v>0</v>
      </c>
      <c r="L83" s="39" t="n">
        <f aca="false">SUM(L75:L82)</f>
        <v>0</v>
      </c>
      <c r="M83" s="39" t="n">
        <f aca="false">SUM(M75:M82)</f>
        <v>0</v>
      </c>
      <c r="N83" s="39" t="n">
        <f aca="false">SUM(N75:N82)</f>
        <v>0</v>
      </c>
      <c r="O83" s="39" t="n">
        <f aca="false">SUM(O75:O82)</f>
        <v>0</v>
      </c>
      <c r="P83" s="39" t="n">
        <f aca="false">SUM(P75:P82)</f>
        <v>0</v>
      </c>
      <c r="Q83" s="39" t="n">
        <f aca="false">SUM(Q75:Q82)</f>
        <v>0</v>
      </c>
      <c r="R83" s="39" t="n">
        <f aca="false">SUM(R75:R82)</f>
        <v>0</v>
      </c>
      <c r="S83" s="39" t="n">
        <f aca="false">SUM(S75:S82)</f>
        <v>0</v>
      </c>
      <c r="T83" s="39" t="n">
        <f aca="false">SUM(T75:T82)</f>
        <v>0</v>
      </c>
      <c r="U83" s="39" t="n">
        <f aca="false">SUM(U75:U82)</f>
        <v>0</v>
      </c>
      <c r="V83" s="39" t="n">
        <f aca="false">SUM(V75:V82)</f>
        <v>0</v>
      </c>
      <c r="W83" s="39" t="n">
        <f aca="false">SUM(W75:W82)</f>
        <v>0</v>
      </c>
      <c r="X83" s="40" t="n">
        <f aca="false">SUM(B83:W83)</f>
        <v>1111</v>
      </c>
      <c r="Y83" s="41" t="n">
        <f aca="false">IF(X83=0,0,X83/AW83)</f>
        <v>185.166666666667</v>
      </c>
      <c r="Z83" s="25"/>
      <c r="AA83" s="42" t="n">
        <f aca="false">SUM(AA75:AA82)</f>
        <v>5</v>
      </c>
      <c r="AB83" s="43" t="n">
        <f aca="false">SUM(AB75:AB82)</f>
        <v>5</v>
      </c>
      <c r="AC83" s="43" t="n">
        <f aca="false">SUM(AC75:AC82)</f>
        <v>5</v>
      </c>
      <c r="AD83" s="43" t="n">
        <f aca="false">SUM(AD75:AD82)</f>
        <v>5</v>
      </c>
      <c r="AE83" s="43" t="n">
        <f aca="false">SUM(AE75:AE82)</f>
        <v>5</v>
      </c>
      <c r="AF83" s="43" t="n">
        <f aca="false">SUM(AF75:AF82)</f>
        <v>5</v>
      </c>
      <c r="AG83" s="43" t="n">
        <f aca="false">SUM(AG75:AG82)</f>
        <v>0</v>
      </c>
      <c r="AH83" s="43" t="n">
        <f aca="false">SUM(AH75:AH82)</f>
        <v>0</v>
      </c>
      <c r="AI83" s="43" t="n">
        <f aca="false">SUM(AI75:AI82)</f>
        <v>0</v>
      </c>
      <c r="AJ83" s="43" t="n">
        <f aca="false">SUM(AJ75:AJ82)</f>
        <v>0</v>
      </c>
      <c r="AK83" s="43" t="n">
        <f aca="false">SUM(AK75:AK82)</f>
        <v>0</v>
      </c>
      <c r="AL83" s="43" t="n">
        <f aca="false">SUM(AL75:AL82)</f>
        <v>0</v>
      </c>
      <c r="AM83" s="43" t="n">
        <f aca="false">SUM(AM75:AM82)</f>
        <v>0</v>
      </c>
      <c r="AN83" s="43" t="n">
        <f aca="false">SUM(AN75:AN82)</f>
        <v>0</v>
      </c>
      <c r="AO83" s="43" t="n">
        <f aca="false">SUM(AO75:AO82)</f>
        <v>0</v>
      </c>
      <c r="AP83" s="43" t="n">
        <f aca="false">SUM(AP75:AP82)</f>
        <v>0</v>
      </c>
      <c r="AQ83" s="43" t="n">
        <f aca="false">SUM(AQ75:AQ82)</f>
        <v>0</v>
      </c>
      <c r="AR83" s="43" t="n">
        <f aca="false">SUM(AR75:AR82)</f>
        <v>0</v>
      </c>
      <c r="AS83" s="43" t="n">
        <f aca="false">SUM(AS75:AS82)</f>
        <v>0</v>
      </c>
      <c r="AT83" s="43" t="n">
        <f aca="false">SUM(AT75:AT82)</f>
        <v>0</v>
      </c>
      <c r="AU83" s="43" t="n">
        <f aca="false">SUM(AU75:AU82)</f>
        <v>0</v>
      </c>
      <c r="AV83" s="43" t="n">
        <f aca="false">SUM(AV75:AV82)</f>
        <v>0</v>
      </c>
      <c r="AW83" s="44" t="n">
        <f aca="false">MAXA(AW75:AW82)</f>
        <v>6</v>
      </c>
      <c r="AX83" s="27"/>
      <c r="AZ83" s="28"/>
      <c r="BA83" s="29" t="n">
        <v>0</v>
      </c>
      <c r="BB83" s="30" t="n">
        <v>0</v>
      </c>
      <c r="BC83" s="31" t="n">
        <v>0</v>
      </c>
      <c r="BD83" s="27"/>
      <c r="BE83" s="26"/>
      <c r="BF83" s="32"/>
      <c r="BG83" s="33"/>
    </row>
    <row r="84" customFormat="false" ht="15" hidden="false" customHeight="false" outlineLevel="0" collapsed="false">
      <c r="A84" s="54" t="s">
        <v>64</v>
      </c>
      <c r="B84" s="22" t="n">
        <f aca="false">C!B78</f>
        <v>0</v>
      </c>
      <c r="C84" s="22" t="n">
        <f aca="false">D!B78</f>
        <v>15.3</v>
      </c>
      <c r="D84" s="22" t="n">
        <f aca="false">E!B78</f>
        <v>4.05</v>
      </c>
      <c r="E84" s="22" t="n">
        <f aca="false">F!B78</f>
        <v>3.6</v>
      </c>
      <c r="F84" s="22" t="n">
        <f aca="false">G!B78</f>
        <v>10.35</v>
      </c>
      <c r="G84" s="22" t="n">
        <f aca="false">H!B78</f>
        <v>25.92</v>
      </c>
      <c r="H84" s="22" t="n">
        <f aca="false">I!B78</f>
        <v>0</v>
      </c>
      <c r="I84" s="22" t="n">
        <f aca="false">J!B78</f>
        <v>0</v>
      </c>
      <c r="J84" s="22" t="n">
        <f aca="false">K!B78</f>
        <v>0</v>
      </c>
      <c r="K84" s="22" t="n">
        <f aca="false">L!B78</f>
        <v>0</v>
      </c>
      <c r="L84" s="22" t="n">
        <f aca="false">M!B78</f>
        <v>0</v>
      </c>
      <c r="M84" s="22" t="n">
        <f aca="false">N!B78</f>
        <v>0</v>
      </c>
      <c r="N84" s="22" t="n">
        <f aca="false">O!B78</f>
        <v>0</v>
      </c>
      <c r="O84" s="22" t="n">
        <f aca="false">P!B78</f>
        <v>0</v>
      </c>
      <c r="P84" s="22" t="n">
        <f aca="false">Q!B78</f>
        <v>0</v>
      </c>
      <c r="Q84" s="22" t="n">
        <f aca="false">R!B78</f>
        <v>0</v>
      </c>
      <c r="R84" s="22" t="n">
        <f aca="false">S!B78</f>
        <v>0</v>
      </c>
      <c r="S84" s="22" t="n">
        <f aca="false">T!B78</f>
        <v>0</v>
      </c>
      <c r="T84" s="22" t="n">
        <f aca="false">U!B78</f>
        <v>0</v>
      </c>
      <c r="U84" s="22" t="n">
        <f aca="false">V!B78</f>
        <v>0</v>
      </c>
      <c r="V84" s="22" t="n">
        <f aca="false">W!B78</f>
        <v>0</v>
      </c>
      <c r="W84" s="22" t="n">
        <f aca="false">X!B78</f>
        <v>0</v>
      </c>
      <c r="X84" s="23" t="n">
        <f aca="false">SUM(B84:W84)</f>
        <v>59.22</v>
      </c>
      <c r="Y84" s="47"/>
      <c r="Z84" s="25"/>
      <c r="AA84" s="16"/>
      <c r="AW84" s="26"/>
      <c r="AX84" s="27"/>
      <c r="AZ84" s="28"/>
      <c r="BA84" s="29" t="n">
        <v>0</v>
      </c>
      <c r="BB84" s="30" t="n">
        <v>0</v>
      </c>
      <c r="BC84" s="31" t="n">
        <v>0</v>
      </c>
      <c r="BD84" s="27"/>
      <c r="BE84" s="26"/>
      <c r="BF84" s="32"/>
      <c r="BG84" s="33"/>
    </row>
    <row r="85" customFormat="false" ht="15" hidden="false" customHeight="false" outlineLevel="0" collapsed="false">
      <c r="A85" s="48" t="s">
        <v>68</v>
      </c>
      <c r="B85" s="49" t="n">
        <f aca="false">SUM(B83:B84)</f>
        <v>176</v>
      </c>
      <c r="C85" s="49" t="n">
        <f aca="false">SUM(C83:C84)</f>
        <v>211.3</v>
      </c>
      <c r="D85" s="49" t="n">
        <f aca="false">SUM(D83:D84)</f>
        <v>200.05</v>
      </c>
      <c r="E85" s="49" t="n">
        <f aca="false">SUM(E83:E84)</f>
        <v>171.6</v>
      </c>
      <c r="F85" s="49" t="n">
        <f aca="false">SUM(F83:F84)</f>
        <v>191.35</v>
      </c>
      <c r="G85" s="49" t="n">
        <f aca="false">SUM(G83:G84)</f>
        <v>219.92</v>
      </c>
      <c r="H85" s="49" t="n">
        <f aca="false">SUM(H83:H84)</f>
        <v>0</v>
      </c>
      <c r="I85" s="49" t="n">
        <f aca="false">SUM(I83:I84)</f>
        <v>0</v>
      </c>
      <c r="J85" s="49" t="n">
        <f aca="false">SUM(J83:J84)</f>
        <v>0</v>
      </c>
      <c r="K85" s="49" t="n">
        <f aca="false">SUM(K83:K84)</f>
        <v>0</v>
      </c>
      <c r="L85" s="49" t="n">
        <f aca="false">SUM(L83:L84)</f>
        <v>0</v>
      </c>
      <c r="M85" s="49" t="n">
        <f aca="false">SUM(M83:M84)</f>
        <v>0</v>
      </c>
      <c r="N85" s="49" t="n">
        <f aca="false">SUM(N83:N84)</f>
        <v>0</v>
      </c>
      <c r="O85" s="49" t="n">
        <f aca="false">SUM(O83:O84)</f>
        <v>0</v>
      </c>
      <c r="P85" s="49" t="n">
        <f aca="false">SUM(P83:P84)</f>
        <v>0</v>
      </c>
      <c r="Q85" s="49" t="n">
        <f aca="false">SUM(Q83:Q84)</f>
        <v>0</v>
      </c>
      <c r="R85" s="49" t="n">
        <f aca="false">SUM(R83:R84)</f>
        <v>0</v>
      </c>
      <c r="S85" s="49" t="n">
        <f aca="false">SUM(S83:S84)</f>
        <v>0</v>
      </c>
      <c r="T85" s="49" t="n">
        <f aca="false">SUM(T83:T84)</f>
        <v>0</v>
      </c>
      <c r="U85" s="49" t="n">
        <f aca="false">SUM(U83:U84)</f>
        <v>0</v>
      </c>
      <c r="V85" s="49" t="n">
        <f aca="false">SUM(V83:V84)</f>
        <v>0</v>
      </c>
      <c r="W85" s="49" t="n">
        <f aca="false">SUM(W83:W84)</f>
        <v>0</v>
      </c>
      <c r="X85" s="50" t="n">
        <f aca="false">SUM(B85:W85)</f>
        <v>1170.22</v>
      </c>
      <c r="Y85" s="51"/>
      <c r="Z85" s="25"/>
      <c r="AA85" s="16"/>
      <c r="AW85" s="26"/>
      <c r="AX85" s="27"/>
      <c r="AZ85" s="28"/>
      <c r="BA85" s="29" t="n">
        <v>0</v>
      </c>
      <c r="BB85" s="30" t="n">
        <v>0</v>
      </c>
      <c r="BC85" s="31" t="n">
        <v>0</v>
      </c>
      <c r="BD85" s="27" t="n">
        <f aca="false">X85</f>
        <v>1170.22</v>
      </c>
      <c r="BE85" s="26" t="str">
        <f aca="false">A74</f>
        <v>FFFFF&lt;sup&gt;10&lt;/sup&gt;</v>
      </c>
      <c r="BF85" s="32"/>
      <c r="BG85" s="33"/>
    </row>
    <row r="86" customFormat="false" ht="15" hidden="false" customHeight="false" outlineLevel="0" collapsed="false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25"/>
      <c r="AA86" s="16"/>
      <c r="AW86" s="26"/>
      <c r="AX86" s="27"/>
      <c r="AZ86" s="28"/>
      <c r="BA86" s="29" t="n">
        <v>0</v>
      </c>
      <c r="BB86" s="30" t="n">
        <v>0</v>
      </c>
      <c r="BC86" s="31" t="n">
        <v>0</v>
      </c>
      <c r="BD86" s="27"/>
      <c r="BE86" s="26"/>
      <c r="BF86" s="32"/>
      <c r="BG86" s="33"/>
    </row>
    <row r="87" customFormat="false" ht="15" hidden="false" customHeight="false" outlineLevel="0" collapsed="false">
      <c r="A87" s="5" t="s">
        <v>129</v>
      </c>
      <c r="B87" s="6" t="s">
        <v>1</v>
      </c>
      <c r="C87" s="6" t="s">
        <v>2</v>
      </c>
      <c r="D87" s="6" t="s">
        <v>3</v>
      </c>
      <c r="E87" s="6" t="s">
        <v>4</v>
      </c>
      <c r="F87" s="6" t="s">
        <v>5</v>
      </c>
      <c r="G87" s="6" t="s">
        <v>6</v>
      </c>
      <c r="H87" s="6" t="s">
        <v>7</v>
      </c>
      <c r="I87" s="6" t="s">
        <v>8</v>
      </c>
      <c r="J87" s="6" t="s">
        <v>9</v>
      </c>
      <c r="K87" s="6" t="s">
        <v>10</v>
      </c>
      <c r="L87" s="6" t="s">
        <v>11</v>
      </c>
      <c r="M87" s="6" t="s">
        <v>12</v>
      </c>
      <c r="N87" s="6" t="s">
        <v>13</v>
      </c>
      <c r="O87" s="6" t="s">
        <v>14</v>
      </c>
      <c r="P87" s="6" t="s">
        <v>15</v>
      </c>
      <c r="Q87" s="6" t="s">
        <v>16</v>
      </c>
      <c r="R87" s="6" t="s">
        <v>17</v>
      </c>
      <c r="S87" s="6" t="s">
        <v>18</v>
      </c>
      <c r="T87" s="6" t="s">
        <v>19</v>
      </c>
      <c r="U87" s="6" t="s">
        <v>20</v>
      </c>
      <c r="V87" s="6" t="s">
        <v>21</v>
      </c>
      <c r="W87" s="6" t="s">
        <v>22</v>
      </c>
      <c r="X87" s="34"/>
      <c r="Y87" s="34"/>
      <c r="Z87" s="4" t="str">
        <f aca="false">A87</f>
        <v>Team #7 Name:</v>
      </c>
      <c r="AA87" s="16"/>
      <c r="AW87" s="26"/>
      <c r="AX87" s="27"/>
      <c r="AZ87" s="28"/>
      <c r="BA87" s="29" t="n">
        <v>0</v>
      </c>
      <c r="BB87" s="30" t="n">
        <v>0</v>
      </c>
      <c r="BC87" s="31" t="n">
        <v>0</v>
      </c>
      <c r="BD87" s="27"/>
      <c r="BE87" s="26"/>
      <c r="BF87" s="32"/>
      <c r="BG87" s="33"/>
    </row>
    <row r="88" customFormat="false" ht="15" hidden="false" customHeight="false" outlineLevel="0" collapsed="false">
      <c r="A88" s="11" t="str">
        <f aca="false">B!B274</f>
        <v>YOUNG BLOODS</v>
      </c>
      <c r="B88" s="52" t="s">
        <v>28</v>
      </c>
      <c r="C88" s="52" t="s">
        <v>28</v>
      </c>
      <c r="D88" s="52" t="s">
        <v>28</v>
      </c>
      <c r="E88" s="52" t="s">
        <v>28</v>
      </c>
      <c r="F88" s="52" t="s">
        <v>28</v>
      </c>
      <c r="G88" s="52" t="s">
        <v>28</v>
      </c>
      <c r="H88" s="52" t="s">
        <v>28</v>
      </c>
      <c r="I88" s="52" t="s">
        <v>28</v>
      </c>
      <c r="J88" s="52" t="s">
        <v>28</v>
      </c>
      <c r="K88" s="52" t="s">
        <v>28</v>
      </c>
      <c r="L88" s="52" t="s">
        <v>28</v>
      </c>
      <c r="M88" s="52" t="s">
        <v>28</v>
      </c>
      <c r="N88" s="52" t="s">
        <v>28</v>
      </c>
      <c r="O88" s="52" t="s">
        <v>28</v>
      </c>
      <c r="P88" s="52" t="s">
        <v>28</v>
      </c>
      <c r="Q88" s="52" t="s">
        <v>28</v>
      </c>
      <c r="R88" s="52" t="s">
        <v>28</v>
      </c>
      <c r="S88" s="52" t="s">
        <v>28</v>
      </c>
      <c r="T88" s="52" t="s">
        <v>28</v>
      </c>
      <c r="U88" s="52" t="s">
        <v>28</v>
      </c>
      <c r="V88" s="52" t="s">
        <v>28</v>
      </c>
      <c r="W88" s="52" t="s">
        <v>28</v>
      </c>
      <c r="X88" s="13" t="s">
        <v>29</v>
      </c>
      <c r="Y88" s="14" t="s">
        <v>30</v>
      </c>
      <c r="Z88" s="15" t="str">
        <f aca="false">A88</f>
        <v>YOUNG BLOODS</v>
      </c>
      <c r="AA88" s="16"/>
      <c r="AW88" s="17" t="s">
        <v>31</v>
      </c>
      <c r="AX88" s="27"/>
      <c r="AZ88" s="28"/>
      <c r="BA88" s="29" t="n">
        <v>0</v>
      </c>
      <c r="BB88" s="30" t="n">
        <v>0</v>
      </c>
      <c r="BC88" s="31" t="n">
        <v>0</v>
      </c>
      <c r="BD88" s="27"/>
      <c r="BE88" s="26"/>
      <c r="BF88" s="32"/>
      <c r="BG88" s="33"/>
    </row>
    <row r="89" customFormat="false" ht="15" hidden="false" customHeight="false" outlineLevel="0" collapsed="false">
      <c r="A89" s="21" t="str">
        <f aca="false">B!B276</f>
        <v>GARY</v>
      </c>
      <c r="B89" s="22" t="n">
        <f aca="false">C!B83</f>
        <v>50</v>
      </c>
      <c r="C89" s="22" t="n">
        <f aca="false">D!B83</f>
        <v>42</v>
      </c>
      <c r="D89" s="22" t="n">
        <f aca="false">E!B83</f>
        <v>41</v>
      </c>
      <c r="E89" s="22" t="n">
        <f aca="false">F!B83</f>
        <v>43</v>
      </c>
      <c r="F89" s="22" t="n">
        <f aca="false">G!B83</f>
        <v>50</v>
      </c>
      <c r="G89" s="22" t="n">
        <f aca="false">H!B83</f>
        <v>40</v>
      </c>
      <c r="H89" s="22" t="n">
        <f aca="false">I!B83</f>
        <v>0</v>
      </c>
      <c r="I89" s="22" t="n">
        <f aca="false">J!B83</f>
        <v>0</v>
      </c>
      <c r="J89" s="22" t="n">
        <f aca="false">K!B83</f>
        <v>0</v>
      </c>
      <c r="K89" s="22" t="n">
        <f aca="false">L!B83</f>
        <v>0</v>
      </c>
      <c r="L89" s="22" t="n">
        <f aca="false">M!B83</f>
        <v>0</v>
      </c>
      <c r="M89" s="22" t="n">
        <f aca="false">N!B83</f>
        <v>0</v>
      </c>
      <c r="N89" s="22" t="n">
        <f aca="false">O!B83</f>
        <v>0</v>
      </c>
      <c r="O89" s="22" t="n">
        <f aca="false">P!B83</f>
        <v>0</v>
      </c>
      <c r="P89" s="22" t="n">
        <f aca="false">Q!B83</f>
        <v>0</v>
      </c>
      <c r="Q89" s="22" t="n">
        <f aca="false">R!B83</f>
        <v>0</v>
      </c>
      <c r="R89" s="22" t="n">
        <f aca="false">S!B83</f>
        <v>0</v>
      </c>
      <c r="S89" s="22" t="n">
        <f aca="false">T!B83</f>
        <v>0</v>
      </c>
      <c r="T89" s="22" t="n">
        <f aca="false">U!B83</f>
        <v>0</v>
      </c>
      <c r="U89" s="22" t="n">
        <f aca="false">V!B83</f>
        <v>0</v>
      </c>
      <c r="V89" s="22" t="n">
        <f aca="false">W!B83</f>
        <v>0</v>
      </c>
      <c r="W89" s="22" t="n">
        <f aca="false">X!B83</f>
        <v>0</v>
      </c>
      <c r="X89" s="23" t="n">
        <f aca="false">SUM(B89:W89)</f>
        <v>266</v>
      </c>
      <c r="Y89" s="24" t="n">
        <f aca="false">IF(AW89=0,0,X89/AW89)</f>
        <v>44.3333333333333</v>
      </c>
      <c r="Z89" s="25" t="str">
        <f aca="false">A89</f>
        <v>GARY</v>
      </c>
      <c r="AA89" s="16" t="n">
        <f aca="false">IF(B89=0,0,1)</f>
        <v>1</v>
      </c>
      <c r="AB89" s="0" t="n">
        <f aca="false">IF(C89=0,0,1)</f>
        <v>1</v>
      </c>
      <c r="AC89" s="0" t="n">
        <f aca="false">IF(D89=0,0,1)</f>
        <v>1</v>
      </c>
      <c r="AD89" s="0" t="n">
        <f aca="false">IF(E89=0,0,1)</f>
        <v>1</v>
      </c>
      <c r="AE89" s="0" t="n">
        <f aca="false">IF(F89=0,0,1)</f>
        <v>1</v>
      </c>
      <c r="AF89" s="0" t="n">
        <f aca="false">IF(G89=0,0,1)</f>
        <v>1</v>
      </c>
      <c r="AG89" s="0" t="n">
        <f aca="false">IF(H89=0,0,1)</f>
        <v>0</v>
      </c>
      <c r="AH89" s="0" t="n">
        <f aca="false">IF(I89=0,0,1)</f>
        <v>0</v>
      </c>
      <c r="AI89" s="0" t="n">
        <f aca="false">IF(J89=0,0,1)</f>
        <v>0</v>
      </c>
      <c r="AJ89" s="0" t="n">
        <f aca="false">IF(K89=0,0,1)</f>
        <v>0</v>
      </c>
      <c r="AK89" s="0" t="n">
        <f aca="false">IF(L89=0,0,1)</f>
        <v>0</v>
      </c>
      <c r="AL89" s="0" t="n">
        <f aca="false">IF(M89=0,0,1)</f>
        <v>0</v>
      </c>
      <c r="AM89" s="0" t="n">
        <f aca="false">IF(N89=0,0,1)</f>
        <v>0</v>
      </c>
      <c r="AN89" s="0" t="n">
        <f aca="false">IF(O89=0,0,1)</f>
        <v>0</v>
      </c>
      <c r="AO89" s="0" t="n">
        <f aca="false">IF(P89=0,0,1)</f>
        <v>0</v>
      </c>
      <c r="AP89" s="0" t="n">
        <f aca="false">IF(Q89=0,0,1)</f>
        <v>0</v>
      </c>
      <c r="AQ89" s="0" t="n">
        <f aca="false">IF(R89=0,0,1)</f>
        <v>0</v>
      </c>
      <c r="AR89" s="0" t="n">
        <f aca="false">IF(S89=0,0,1)</f>
        <v>0</v>
      </c>
      <c r="AS89" s="0" t="n">
        <f aca="false">IF(T89=0,0,1)</f>
        <v>0</v>
      </c>
      <c r="AT89" s="0" t="n">
        <f aca="false">IF(U89=0,0,1)</f>
        <v>0</v>
      </c>
      <c r="AU89" s="0" t="n">
        <f aca="false">IF(V89=0,0,1)</f>
        <v>0</v>
      </c>
      <c r="AV89" s="0" t="n">
        <f aca="false">IF(W89=0,0,1)</f>
        <v>0</v>
      </c>
      <c r="AW89" s="26" t="n">
        <f aca="false">SUM(AA89:AV89)</f>
        <v>6</v>
      </c>
      <c r="AX89" s="27" t="n">
        <f aca="false">IF(X89=0,0,X89)</f>
        <v>266</v>
      </c>
      <c r="AY89" s="1" t="str">
        <f aca="false">IF(X89=0,0,A89)</f>
        <v>GARY</v>
      </c>
      <c r="AZ89" s="28" t="str">
        <f aca="false">IF(AX89=0,0,A$88)</f>
        <v>YOUNG BLOODS</v>
      </c>
      <c r="BA89" s="29" t="n">
        <v>0</v>
      </c>
      <c r="BB89" s="30" t="n">
        <v>0</v>
      </c>
      <c r="BC89" s="31" t="n">
        <v>0</v>
      </c>
      <c r="BD89" s="27"/>
      <c r="BE89" s="26"/>
      <c r="BF89" s="32"/>
      <c r="BG89" s="33"/>
    </row>
    <row r="90" customFormat="false" ht="15" hidden="false" customHeight="false" outlineLevel="0" collapsed="false">
      <c r="A90" s="21" t="str">
        <f aca="false">B!B281</f>
        <v>RICH</v>
      </c>
      <c r="B90" s="22" t="n">
        <f aca="false">C!B84</f>
        <v>34</v>
      </c>
      <c r="C90" s="22" t="n">
        <f aca="false">D!B84</f>
        <v>19</v>
      </c>
      <c r="D90" s="22" t="n">
        <f aca="false">E!B84</f>
        <v>40</v>
      </c>
      <c r="E90" s="22" t="n">
        <f aca="false">F!B84</f>
        <v>35</v>
      </c>
      <c r="F90" s="22" t="n">
        <f aca="false">G!B84</f>
        <v>46</v>
      </c>
      <c r="G90" s="22" t="n">
        <f aca="false">H!B84</f>
        <v>40</v>
      </c>
      <c r="H90" s="22" t="n">
        <f aca="false">I!B84</f>
        <v>0</v>
      </c>
      <c r="I90" s="22" t="n">
        <f aca="false">J!B84</f>
        <v>0</v>
      </c>
      <c r="J90" s="22" t="n">
        <f aca="false">K!B84</f>
        <v>0</v>
      </c>
      <c r="K90" s="22" t="n">
        <f aca="false">L!B84</f>
        <v>0</v>
      </c>
      <c r="L90" s="22" t="n">
        <f aca="false">M!B84</f>
        <v>0</v>
      </c>
      <c r="M90" s="22" t="n">
        <f aca="false">N!B84</f>
        <v>0</v>
      </c>
      <c r="N90" s="22" t="n">
        <f aca="false">O!B84</f>
        <v>0</v>
      </c>
      <c r="O90" s="22" t="n">
        <f aca="false">P!B84</f>
        <v>0</v>
      </c>
      <c r="P90" s="22" t="n">
        <f aca="false">Q!B84</f>
        <v>0</v>
      </c>
      <c r="Q90" s="22" t="n">
        <f aca="false">R!B84</f>
        <v>0</v>
      </c>
      <c r="R90" s="22" t="n">
        <f aca="false">S!B84</f>
        <v>0</v>
      </c>
      <c r="S90" s="22" t="n">
        <f aca="false">T!B84</f>
        <v>0</v>
      </c>
      <c r="T90" s="22" t="n">
        <f aca="false">U!B84</f>
        <v>0</v>
      </c>
      <c r="U90" s="22" t="n">
        <f aca="false">V!B84</f>
        <v>0</v>
      </c>
      <c r="V90" s="22" t="n">
        <f aca="false">W!B84</f>
        <v>0</v>
      </c>
      <c r="W90" s="22" t="n">
        <f aca="false">X!B84</f>
        <v>0</v>
      </c>
      <c r="X90" s="23" t="n">
        <f aca="false">SUM(B90:W90)</f>
        <v>214</v>
      </c>
      <c r="Y90" s="24" t="n">
        <f aca="false">IF(AW90=0,0,X90/AW90)</f>
        <v>35.6666666666667</v>
      </c>
      <c r="Z90" s="25" t="str">
        <f aca="false">A90</f>
        <v>RICH</v>
      </c>
      <c r="AA90" s="16" t="n">
        <f aca="false">IF(B90=0,0,1)</f>
        <v>1</v>
      </c>
      <c r="AB90" s="0" t="n">
        <f aca="false">IF(C90=0,0,1)</f>
        <v>1</v>
      </c>
      <c r="AC90" s="0" t="n">
        <f aca="false">IF(D90=0,0,1)</f>
        <v>1</v>
      </c>
      <c r="AD90" s="0" t="n">
        <f aca="false">IF(E90=0,0,1)</f>
        <v>1</v>
      </c>
      <c r="AE90" s="0" t="n">
        <f aca="false">IF(F90=0,0,1)</f>
        <v>1</v>
      </c>
      <c r="AF90" s="0" t="n">
        <f aca="false">IF(G90=0,0,1)</f>
        <v>1</v>
      </c>
      <c r="AG90" s="0" t="n">
        <f aca="false">IF(H90=0,0,1)</f>
        <v>0</v>
      </c>
      <c r="AH90" s="0" t="n">
        <f aca="false">IF(I90=0,0,1)</f>
        <v>0</v>
      </c>
      <c r="AI90" s="0" t="n">
        <f aca="false">IF(J90=0,0,1)</f>
        <v>0</v>
      </c>
      <c r="AJ90" s="0" t="n">
        <f aca="false">IF(K90=0,0,1)</f>
        <v>0</v>
      </c>
      <c r="AK90" s="0" t="n">
        <f aca="false">IF(L90=0,0,1)</f>
        <v>0</v>
      </c>
      <c r="AL90" s="0" t="n">
        <f aca="false">IF(M90=0,0,1)</f>
        <v>0</v>
      </c>
      <c r="AM90" s="0" t="n">
        <f aca="false">IF(N90=0,0,1)</f>
        <v>0</v>
      </c>
      <c r="AN90" s="0" t="n">
        <f aca="false">IF(O90=0,0,1)</f>
        <v>0</v>
      </c>
      <c r="AO90" s="0" t="n">
        <f aca="false">IF(P90=0,0,1)</f>
        <v>0</v>
      </c>
      <c r="AP90" s="0" t="n">
        <f aca="false">IF(Q90=0,0,1)</f>
        <v>0</v>
      </c>
      <c r="AQ90" s="0" t="n">
        <f aca="false">IF(R90=0,0,1)</f>
        <v>0</v>
      </c>
      <c r="AR90" s="0" t="n">
        <f aca="false">IF(S90=0,0,1)</f>
        <v>0</v>
      </c>
      <c r="AS90" s="0" t="n">
        <f aca="false">IF(T90=0,0,1)</f>
        <v>0</v>
      </c>
      <c r="AT90" s="0" t="n">
        <f aca="false">IF(U90=0,0,1)</f>
        <v>0</v>
      </c>
      <c r="AU90" s="0" t="n">
        <f aca="false">IF(V90=0,0,1)</f>
        <v>0</v>
      </c>
      <c r="AV90" s="0" t="n">
        <f aca="false">IF(W90=0,0,1)</f>
        <v>0</v>
      </c>
      <c r="AW90" s="26" t="n">
        <f aca="false">SUM(AA90:AV90)</f>
        <v>6</v>
      </c>
      <c r="AX90" s="27" t="n">
        <f aca="false">IF(X90=0,0,X90)</f>
        <v>214</v>
      </c>
      <c r="AY90" s="1" t="str">
        <f aca="false">IF(X90=0,0,A90)</f>
        <v>RICH</v>
      </c>
      <c r="AZ90" s="28" t="str">
        <f aca="false">IF(AX90=0,0,A$88)</f>
        <v>YOUNG BLOODS</v>
      </c>
      <c r="BA90" s="29" t="n">
        <v>0</v>
      </c>
      <c r="BB90" s="30" t="n">
        <v>0</v>
      </c>
      <c r="BC90" s="31" t="n">
        <v>0</v>
      </c>
      <c r="BD90" s="27"/>
      <c r="BE90" s="26"/>
      <c r="BF90" s="32"/>
      <c r="BG90" s="33"/>
    </row>
    <row r="91" customFormat="false" ht="15" hidden="false" customHeight="false" outlineLevel="0" collapsed="false">
      <c r="A91" s="21" t="str">
        <f aca="false">B!B286</f>
        <v>VIC</v>
      </c>
      <c r="B91" s="22" t="n">
        <f aca="false">C!B85</f>
        <v>46</v>
      </c>
      <c r="C91" s="22" t="n">
        <f aca="false">D!B85</f>
        <v>36</v>
      </c>
      <c r="D91" s="22" t="n">
        <f aca="false">E!B85</f>
        <v>40</v>
      </c>
      <c r="E91" s="22" t="n">
        <f aca="false">F!B85</f>
        <v>47</v>
      </c>
      <c r="F91" s="22" t="n">
        <f aca="false">G!B85</f>
        <v>44</v>
      </c>
      <c r="G91" s="22" t="n">
        <f aca="false">H!B85</f>
        <v>40</v>
      </c>
      <c r="H91" s="22" t="n">
        <f aca="false">I!B85</f>
        <v>0</v>
      </c>
      <c r="I91" s="22" t="n">
        <f aca="false">J!B85</f>
        <v>0</v>
      </c>
      <c r="J91" s="22" t="n">
        <f aca="false">K!B85</f>
        <v>0</v>
      </c>
      <c r="K91" s="22" t="n">
        <f aca="false">L!B85</f>
        <v>0</v>
      </c>
      <c r="L91" s="22" t="n">
        <f aca="false">M!B85</f>
        <v>0</v>
      </c>
      <c r="M91" s="22" t="n">
        <f aca="false">N!B85</f>
        <v>0</v>
      </c>
      <c r="N91" s="22" t="n">
        <f aca="false">O!B85</f>
        <v>0</v>
      </c>
      <c r="O91" s="22" t="n">
        <f aca="false">P!B85</f>
        <v>0</v>
      </c>
      <c r="P91" s="22" t="n">
        <f aca="false">Q!B85</f>
        <v>0</v>
      </c>
      <c r="Q91" s="22" t="n">
        <f aca="false">R!B85</f>
        <v>0</v>
      </c>
      <c r="R91" s="22" t="n">
        <f aca="false">S!B85</f>
        <v>0</v>
      </c>
      <c r="S91" s="22" t="n">
        <f aca="false">T!B85</f>
        <v>0</v>
      </c>
      <c r="T91" s="22" t="n">
        <f aca="false">U!B85</f>
        <v>0</v>
      </c>
      <c r="U91" s="22" t="n">
        <f aca="false">V!B85</f>
        <v>0</v>
      </c>
      <c r="V91" s="22" t="n">
        <f aca="false">W!B85</f>
        <v>0</v>
      </c>
      <c r="W91" s="22" t="n">
        <f aca="false">X!B85</f>
        <v>0</v>
      </c>
      <c r="X91" s="23" t="n">
        <f aca="false">SUM(B91:W91)</f>
        <v>253</v>
      </c>
      <c r="Y91" s="24" t="n">
        <f aca="false">IF(AW91=0,0,X91/AW91)</f>
        <v>42.1666666666667</v>
      </c>
      <c r="Z91" s="25" t="str">
        <f aca="false">A91</f>
        <v>VIC</v>
      </c>
      <c r="AA91" s="16" t="n">
        <f aca="false">IF(B91=0,0,1)</f>
        <v>1</v>
      </c>
      <c r="AB91" s="0" t="n">
        <f aca="false">IF(C91=0,0,1)</f>
        <v>1</v>
      </c>
      <c r="AC91" s="0" t="n">
        <f aca="false">IF(D91=0,0,1)</f>
        <v>1</v>
      </c>
      <c r="AD91" s="0" t="n">
        <f aca="false">IF(E91=0,0,1)</f>
        <v>1</v>
      </c>
      <c r="AE91" s="0" t="n">
        <f aca="false">IF(F91=0,0,1)</f>
        <v>1</v>
      </c>
      <c r="AF91" s="0" t="n">
        <f aca="false">IF(G91=0,0,1)</f>
        <v>1</v>
      </c>
      <c r="AG91" s="0" t="n">
        <f aca="false">IF(H91=0,0,1)</f>
        <v>0</v>
      </c>
      <c r="AH91" s="0" t="n">
        <f aca="false">IF(I91=0,0,1)</f>
        <v>0</v>
      </c>
      <c r="AI91" s="0" t="n">
        <f aca="false">IF(J91=0,0,1)</f>
        <v>0</v>
      </c>
      <c r="AJ91" s="0" t="n">
        <f aca="false">IF(K91=0,0,1)</f>
        <v>0</v>
      </c>
      <c r="AK91" s="0" t="n">
        <f aca="false">IF(L91=0,0,1)</f>
        <v>0</v>
      </c>
      <c r="AL91" s="0" t="n">
        <f aca="false">IF(M91=0,0,1)</f>
        <v>0</v>
      </c>
      <c r="AM91" s="0" t="n">
        <f aca="false">IF(N91=0,0,1)</f>
        <v>0</v>
      </c>
      <c r="AN91" s="0" t="n">
        <f aca="false">IF(O91=0,0,1)</f>
        <v>0</v>
      </c>
      <c r="AO91" s="0" t="n">
        <f aca="false">IF(P91=0,0,1)</f>
        <v>0</v>
      </c>
      <c r="AP91" s="0" t="n">
        <f aca="false">IF(Q91=0,0,1)</f>
        <v>0</v>
      </c>
      <c r="AQ91" s="0" t="n">
        <f aca="false">IF(R91=0,0,1)</f>
        <v>0</v>
      </c>
      <c r="AR91" s="0" t="n">
        <f aca="false">IF(S91=0,0,1)</f>
        <v>0</v>
      </c>
      <c r="AS91" s="0" t="n">
        <f aca="false">IF(T91=0,0,1)</f>
        <v>0</v>
      </c>
      <c r="AT91" s="0" t="n">
        <f aca="false">IF(U91=0,0,1)</f>
        <v>0</v>
      </c>
      <c r="AU91" s="0" t="n">
        <f aca="false">IF(V91=0,0,1)</f>
        <v>0</v>
      </c>
      <c r="AV91" s="0" t="n">
        <f aca="false">IF(W91=0,0,1)</f>
        <v>0</v>
      </c>
      <c r="AW91" s="26" t="n">
        <f aca="false">SUM(AA91:AV91)</f>
        <v>6</v>
      </c>
      <c r="AX91" s="27" t="n">
        <f aca="false">IF(X91=0,0,X91)</f>
        <v>253</v>
      </c>
      <c r="AY91" s="1" t="str">
        <f aca="false">IF(X91=0,0,A91)</f>
        <v>VIC</v>
      </c>
      <c r="AZ91" s="28" t="str">
        <f aca="false">IF(AX91=0,0,A$88)</f>
        <v>YOUNG BLOODS</v>
      </c>
      <c r="BA91" s="29" t="n">
        <v>0</v>
      </c>
      <c r="BB91" s="30" t="n">
        <v>0</v>
      </c>
      <c r="BC91" s="31" t="n">
        <v>0</v>
      </c>
      <c r="BD91" s="27"/>
      <c r="BE91" s="26"/>
      <c r="BF91" s="32"/>
      <c r="BG91" s="33"/>
    </row>
    <row r="92" customFormat="false" ht="15" hidden="false" customHeight="false" outlineLevel="0" collapsed="false">
      <c r="A92" s="21" t="str">
        <f aca="false">B!B291</f>
        <v>JIM</v>
      </c>
      <c r="B92" s="22" t="n">
        <f aca="false">C!B86</f>
        <v>39</v>
      </c>
      <c r="C92" s="22" t="n">
        <f aca="false">D!B86</f>
        <v>41</v>
      </c>
      <c r="D92" s="22" t="n">
        <f aca="false">E!B86</f>
        <v>30</v>
      </c>
      <c r="E92" s="22" t="n">
        <f aca="false">F!B86</f>
        <v>40</v>
      </c>
      <c r="F92" s="22" t="n">
        <f aca="false">G!B86</f>
        <v>46</v>
      </c>
      <c r="G92" s="22" t="n">
        <f aca="false">H!B86</f>
        <v>40</v>
      </c>
      <c r="H92" s="22" t="n">
        <f aca="false">I!B86</f>
        <v>0</v>
      </c>
      <c r="I92" s="22" t="n">
        <f aca="false">J!B86</f>
        <v>0</v>
      </c>
      <c r="J92" s="22" t="n">
        <f aca="false">K!B86</f>
        <v>0</v>
      </c>
      <c r="K92" s="22" t="n">
        <f aca="false">L!B86</f>
        <v>0</v>
      </c>
      <c r="L92" s="22" t="n">
        <f aca="false">M!B86</f>
        <v>0</v>
      </c>
      <c r="M92" s="22" t="n">
        <f aca="false">N!B86</f>
        <v>0</v>
      </c>
      <c r="N92" s="22" t="n">
        <f aca="false">O!B86</f>
        <v>0</v>
      </c>
      <c r="O92" s="22" t="n">
        <f aca="false">P!B86</f>
        <v>0</v>
      </c>
      <c r="P92" s="22" t="n">
        <f aca="false">Q!B86</f>
        <v>0</v>
      </c>
      <c r="Q92" s="22" t="n">
        <f aca="false">R!B86</f>
        <v>0</v>
      </c>
      <c r="R92" s="22" t="n">
        <f aca="false">S!B86</f>
        <v>0</v>
      </c>
      <c r="S92" s="22" t="n">
        <f aca="false">T!B86</f>
        <v>0</v>
      </c>
      <c r="T92" s="22" t="n">
        <f aca="false">U!B86</f>
        <v>0</v>
      </c>
      <c r="U92" s="22" t="n">
        <f aca="false">V!B86</f>
        <v>0</v>
      </c>
      <c r="V92" s="22" t="n">
        <f aca="false">W!B86</f>
        <v>0</v>
      </c>
      <c r="W92" s="22" t="n">
        <f aca="false">X!B86</f>
        <v>0</v>
      </c>
      <c r="X92" s="23" t="n">
        <f aca="false">SUM(B92:W92)</f>
        <v>236</v>
      </c>
      <c r="Y92" s="24" t="n">
        <f aca="false">IF(AW92=0,0,X92/AW92)</f>
        <v>39.3333333333333</v>
      </c>
      <c r="Z92" s="25" t="str">
        <f aca="false">A92</f>
        <v>JIM</v>
      </c>
      <c r="AA92" s="16" t="n">
        <f aca="false">IF(B92=0,0,1)</f>
        <v>1</v>
      </c>
      <c r="AB92" s="0" t="n">
        <f aca="false">IF(C92=0,0,1)</f>
        <v>1</v>
      </c>
      <c r="AC92" s="0" t="n">
        <f aca="false">IF(D92=0,0,1)</f>
        <v>1</v>
      </c>
      <c r="AD92" s="0" t="n">
        <f aca="false">IF(E92=0,0,1)</f>
        <v>1</v>
      </c>
      <c r="AE92" s="0" t="n">
        <f aca="false">IF(F92=0,0,1)</f>
        <v>1</v>
      </c>
      <c r="AF92" s="0" t="n">
        <f aca="false">IF(G92=0,0,1)</f>
        <v>1</v>
      </c>
      <c r="AG92" s="0" t="n">
        <f aca="false">IF(H92=0,0,1)</f>
        <v>0</v>
      </c>
      <c r="AH92" s="0" t="n">
        <f aca="false">IF(I92=0,0,1)</f>
        <v>0</v>
      </c>
      <c r="AI92" s="0" t="n">
        <f aca="false">IF(J92=0,0,1)</f>
        <v>0</v>
      </c>
      <c r="AJ92" s="0" t="n">
        <f aca="false">IF(K92=0,0,1)</f>
        <v>0</v>
      </c>
      <c r="AK92" s="0" t="n">
        <f aca="false">IF(L92=0,0,1)</f>
        <v>0</v>
      </c>
      <c r="AL92" s="0" t="n">
        <f aca="false">IF(M92=0,0,1)</f>
        <v>0</v>
      </c>
      <c r="AM92" s="0" t="n">
        <f aca="false">IF(N92=0,0,1)</f>
        <v>0</v>
      </c>
      <c r="AN92" s="0" t="n">
        <f aca="false">IF(O92=0,0,1)</f>
        <v>0</v>
      </c>
      <c r="AO92" s="0" t="n">
        <f aca="false">IF(P92=0,0,1)</f>
        <v>0</v>
      </c>
      <c r="AP92" s="0" t="n">
        <f aca="false">IF(Q92=0,0,1)</f>
        <v>0</v>
      </c>
      <c r="AQ92" s="0" t="n">
        <f aca="false">IF(R92=0,0,1)</f>
        <v>0</v>
      </c>
      <c r="AR92" s="0" t="n">
        <f aca="false">IF(S92=0,0,1)</f>
        <v>0</v>
      </c>
      <c r="AS92" s="0" t="n">
        <f aca="false">IF(T92=0,0,1)</f>
        <v>0</v>
      </c>
      <c r="AT92" s="0" t="n">
        <f aca="false">IF(U92=0,0,1)</f>
        <v>0</v>
      </c>
      <c r="AU92" s="0" t="n">
        <f aca="false">IF(V92=0,0,1)</f>
        <v>0</v>
      </c>
      <c r="AV92" s="0" t="n">
        <f aca="false">IF(W92=0,0,1)</f>
        <v>0</v>
      </c>
      <c r="AW92" s="26" t="n">
        <f aca="false">SUM(AA92:AV92)</f>
        <v>6</v>
      </c>
      <c r="AX92" s="27" t="n">
        <f aca="false">IF(X92=0,0,X92)</f>
        <v>236</v>
      </c>
      <c r="AY92" s="1" t="str">
        <f aca="false">IF(X92=0,0,A92)</f>
        <v>JIM</v>
      </c>
      <c r="AZ92" s="28" t="str">
        <f aca="false">IF(AX92=0,0,A$88)</f>
        <v>YOUNG BLOODS</v>
      </c>
      <c r="BA92" s="29" t="n">
        <v>0</v>
      </c>
      <c r="BB92" s="30" t="n">
        <v>0</v>
      </c>
      <c r="BC92" s="31" t="n">
        <v>0</v>
      </c>
      <c r="BD92" s="27"/>
      <c r="BE92" s="26"/>
      <c r="BF92" s="32"/>
      <c r="BG92" s="33"/>
    </row>
    <row r="93" customFormat="false" ht="15" hidden="false" customHeight="false" outlineLevel="0" collapsed="false">
      <c r="A93" s="21" t="str">
        <f aca="false">B!B296</f>
        <v>PAM</v>
      </c>
      <c r="B93" s="22" t="n">
        <f aca="false">C!B87</f>
        <v>41</v>
      </c>
      <c r="C93" s="22" t="n">
        <f aca="false">D!B87</f>
        <v>38</v>
      </c>
      <c r="D93" s="22" t="n">
        <f aca="false">E!B87</f>
        <v>45</v>
      </c>
      <c r="E93" s="22" t="n">
        <f aca="false">F!B87</f>
        <v>42</v>
      </c>
      <c r="F93" s="22" t="n">
        <f aca="false">G!B87</f>
        <v>44</v>
      </c>
      <c r="G93" s="22" t="n">
        <f aca="false">H!B87</f>
        <v>40</v>
      </c>
      <c r="H93" s="22" t="n">
        <f aca="false">I!B87</f>
        <v>0</v>
      </c>
      <c r="I93" s="22" t="n">
        <f aca="false">J!B87</f>
        <v>0</v>
      </c>
      <c r="J93" s="22" t="n">
        <f aca="false">K!B87</f>
        <v>0</v>
      </c>
      <c r="K93" s="22" t="n">
        <f aca="false">L!B87</f>
        <v>0</v>
      </c>
      <c r="L93" s="22" t="n">
        <f aca="false">M!B87</f>
        <v>0</v>
      </c>
      <c r="M93" s="22" t="n">
        <f aca="false">N!B87</f>
        <v>0</v>
      </c>
      <c r="N93" s="22" t="n">
        <f aca="false">O!B87</f>
        <v>0</v>
      </c>
      <c r="O93" s="22" t="n">
        <f aca="false">P!B87</f>
        <v>0</v>
      </c>
      <c r="P93" s="22" t="n">
        <f aca="false">Q!B87</f>
        <v>0</v>
      </c>
      <c r="Q93" s="22" t="n">
        <f aca="false">R!B87</f>
        <v>0</v>
      </c>
      <c r="R93" s="22" t="n">
        <f aca="false">S!B87</f>
        <v>0</v>
      </c>
      <c r="S93" s="22" t="n">
        <f aca="false">T!B87</f>
        <v>0</v>
      </c>
      <c r="T93" s="22" t="n">
        <f aca="false">U!B87</f>
        <v>0</v>
      </c>
      <c r="U93" s="22" t="n">
        <f aca="false">V!B87</f>
        <v>0</v>
      </c>
      <c r="V93" s="22" t="n">
        <f aca="false">W!B87</f>
        <v>0</v>
      </c>
      <c r="W93" s="22" t="n">
        <f aca="false">X!B87</f>
        <v>0</v>
      </c>
      <c r="X93" s="23" t="n">
        <f aca="false">SUM(B93:W93)</f>
        <v>250</v>
      </c>
      <c r="Y93" s="24" t="n">
        <f aca="false">IF(AW93=0,0,X93/AW93)</f>
        <v>41.6666666666667</v>
      </c>
      <c r="Z93" s="25" t="str">
        <f aca="false">A93</f>
        <v>PAM</v>
      </c>
      <c r="AA93" s="16" t="n">
        <f aca="false">IF(B93=0,0,1)</f>
        <v>1</v>
      </c>
      <c r="AB93" s="0" t="n">
        <f aca="false">IF(C93=0,0,1)</f>
        <v>1</v>
      </c>
      <c r="AC93" s="0" t="n">
        <f aca="false">IF(D93=0,0,1)</f>
        <v>1</v>
      </c>
      <c r="AD93" s="0" t="n">
        <f aca="false">IF(E93=0,0,1)</f>
        <v>1</v>
      </c>
      <c r="AE93" s="0" t="n">
        <f aca="false">IF(F93=0,0,1)</f>
        <v>1</v>
      </c>
      <c r="AF93" s="0" t="n">
        <f aca="false">IF(G93=0,0,1)</f>
        <v>1</v>
      </c>
      <c r="AG93" s="0" t="n">
        <f aca="false">IF(H93=0,0,1)</f>
        <v>0</v>
      </c>
      <c r="AH93" s="0" t="n">
        <f aca="false">IF(I93=0,0,1)</f>
        <v>0</v>
      </c>
      <c r="AI93" s="0" t="n">
        <f aca="false">IF(J93=0,0,1)</f>
        <v>0</v>
      </c>
      <c r="AJ93" s="0" t="n">
        <f aca="false">IF(K93=0,0,1)</f>
        <v>0</v>
      </c>
      <c r="AK93" s="0" t="n">
        <f aca="false">IF(L93=0,0,1)</f>
        <v>0</v>
      </c>
      <c r="AL93" s="0" t="n">
        <f aca="false">IF(M93=0,0,1)</f>
        <v>0</v>
      </c>
      <c r="AM93" s="0" t="n">
        <f aca="false">IF(N93=0,0,1)</f>
        <v>0</v>
      </c>
      <c r="AN93" s="0" t="n">
        <f aca="false">IF(O93=0,0,1)</f>
        <v>0</v>
      </c>
      <c r="AO93" s="0" t="n">
        <f aca="false">IF(P93=0,0,1)</f>
        <v>0</v>
      </c>
      <c r="AP93" s="0" t="n">
        <f aca="false">IF(Q93=0,0,1)</f>
        <v>0</v>
      </c>
      <c r="AQ93" s="0" t="n">
        <f aca="false">IF(R93=0,0,1)</f>
        <v>0</v>
      </c>
      <c r="AR93" s="0" t="n">
        <f aca="false">IF(S93=0,0,1)</f>
        <v>0</v>
      </c>
      <c r="AS93" s="0" t="n">
        <f aca="false">IF(T93=0,0,1)</f>
        <v>0</v>
      </c>
      <c r="AT93" s="0" t="n">
        <f aca="false">IF(U93=0,0,1)</f>
        <v>0</v>
      </c>
      <c r="AU93" s="0" t="n">
        <f aca="false">IF(V93=0,0,1)</f>
        <v>0</v>
      </c>
      <c r="AV93" s="0" t="n">
        <f aca="false">IF(W93=0,0,1)</f>
        <v>0</v>
      </c>
      <c r="AW93" s="26" t="n">
        <f aca="false">SUM(AA93:AV93)</f>
        <v>6</v>
      </c>
      <c r="AX93" s="27" t="n">
        <f aca="false">IF(X93=0,0,X93)</f>
        <v>250</v>
      </c>
      <c r="AY93" s="1" t="str">
        <f aca="false">IF(X93=0,0,A93)</f>
        <v>PAM</v>
      </c>
      <c r="AZ93" s="28" t="str">
        <f aca="false">IF(AX93=0,0,A$88)</f>
        <v>YOUNG BLOODS</v>
      </c>
      <c r="BA93" s="29" t="n">
        <v>0</v>
      </c>
      <c r="BB93" s="30" t="n">
        <v>0</v>
      </c>
      <c r="BC93" s="31" t="n">
        <v>0</v>
      </c>
      <c r="BD93" s="27"/>
      <c r="BE93" s="26"/>
      <c r="BF93" s="32"/>
      <c r="BG93" s="33"/>
    </row>
    <row r="94" customFormat="false" ht="15" hidden="false" customHeight="false" outlineLevel="0" collapsed="false">
      <c r="A94" s="21" t="n">
        <f aca="false">B!B301</f>
        <v>0</v>
      </c>
      <c r="B94" s="22" t="n">
        <f aca="false">C!B88</f>
        <v>0</v>
      </c>
      <c r="C94" s="22" t="n">
        <f aca="false">D!B88</f>
        <v>0</v>
      </c>
      <c r="D94" s="22" t="n">
        <f aca="false">E!B88</f>
        <v>0</v>
      </c>
      <c r="E94" s="22" t="n">
        <f aca="false">F!B88</f>
        <v>0</v>
      </c>
      <c r="F94" s="22" t="n">
        <f aca="false">G!B88</f>
        <v>0</v>
      </c>
      <c r="G94" s="22" t="n">
        <f aca="false">H!B88</f>
        <v>0</v>
      </c>
      <c r="H94" s="22" t="n">
        <f aca="false">I!B88</f>
        <v>0</v>
      </c>
      <c r="I94" s="22" t="n">
        <f aca="false">J!B88</f>
        <v>0</v>
      </c>
      <c r="J94" s="22" t="n">
        <f aca="false">K!B88</f>
        <v>0</v>
      </c>
      <c r="K94" s="22" t="n">
        <f aca="false">L!B88</f>
        <v>0</v>
      </c>
      <c r="L94" s="22" t="n">
        <f aca="false">M!B88</f>
        <v>0</v>
      </c>
      <c r="M94" s="22" t="n">
        <f aca="false">N!B88</f>
        <v>0</v>
      </c>
      <c r="N94" s="22" t="n">
        <f aca="false">O!B88</f>
        <v>0</v>
      </c>
      <c r="O94" s="22" t="n">
        <f aca="false">P!B88</f>
        <v>0</v>
      </c>
      <c r="P94" s="22" t="n">
        <f aca="false">Q!B88</f>
        <v>0</v>
      </c>
      <c r="Q94" s="22" t="n">
        <f aca="false">R!B88</f>
        <v>0</v>
      </c>
      <c r="R94" s="22" t="n">
        <f aca="false">S!B88</f>
        <v>0</v>
      </c>
      <c r="S94" s="22" t="n">
        <f aca="false">T!B88</f>
        <v>0</v>
      </c>
      <c r="T94" s="22" t="n">
        <f aca="false">U!B88</f>
        <v>0</v>
      </c>
      <c r="U94" s="22" t="n">
        <f aca="false">V!B88</f>
        <v>0</v>
      </c>
      <c r="V94" s="22" t="n">
        <f aca="false">W!B88</f>
        <v>0</v>
      </c>
      <c r="W94" s="22" t="n">
        <f aca="false">X!B88</f>
        <v>0</v>
      </c>
      <c r="X94" s="23" t="n">
        <f aca="false">SUM(B94:W94)</f>
        <v>0</v>
      </c>
      <c r="Y94" s="24" t="n">
        <f aca="false">IF(AW94=0,0,X94/AW94)</f>
        <v>0</v>
      </c>
      <c r="Z94" s="25" t="n">
        <f aca="false">A94</f>
        <v>0</v>
      </c>
      <c r="AA94" s="16" t="n">
        <f aca="false">IF(B94=0,0,1)</f>
        <v>0</v>
      </c>
      <c r="AB94" s="0" t="n">
        <f aca="false">IF(C94=0,0,1)</f>
        <v>0</v>
      </c>
      <c r="AC94" s="0" t="n">
        <f aca="false">IF(D94=0,0,1)</f>
        <v>0</v>
      </c>
      <c r="AD94" s="0" t="n">
        <f aca="false">IF(E94=0,0,1)</f>
        <v>0</v>
      </c>
      <c r="AE94" s="0" t="n">
        <f aca="false">IF(F94=0,0,1)</f>
        <v>0</v>
      </c>
      <c r="AF94" s="0" t="n">
        <f aca="false">IF(G94=0,0,1)</f>
        <v>0</v>
      </c>
      <c r="AG94" s="0" t="n">
        <f aca="false">IF(H94=0,0,1)</f>
        <v>0</v>
      </c>
      <c r="AH94" s="0" t="n">
        <f aca="false">IF(I94=0,0,1)</f>
        <v>0</v>
      </c>
      <c r="AI94" s="0" t="n">
        <f aca="false">IF(J94=0,0,1)</f>
        <v>0</v>
      </c>
      <c r="AJ94" s="0" t="n">
        <f aca="false">IF(K94=0,0,1)</f>
        <v>0</v>
      </c>
      <c r="AK94" s="0" t="n">
        <f aca="false">IF(L94=0,0,1)</f>
        <v>0</v>
      </c>
      <c r="AL94" s="0" t="n">
        <f aca="false">IF(M94=0,0,1)</f>
        <v>0</v>
      </c>
      <c r="AM94" s="0" t="n">
        <f aca="false">IF(N94=0,0,1)</f>
        <v>0</v>
      </c>
      <c r="AN94" s="0" t="n">
        <f aca="false">IF(O94=0,0,1)</f>
        <v>0</v>
      </c>
      <c r="AO94" s="0" t="n">
        <f aca="false">IF(P94=0,0,1)</f>
        <v>0</v>
      </c>
      <c r="AP94" s="0" t="n">
        <f aca="false">IF(Q94=0,0,1)</f>
        <v>0</v>
      </c>
      <c r="AQ94" s="0" t="n">
        <f aca="false">IF(R94=0,0,1)</f>
        <v>0</v>
      </c>
      <c r="AR94" s="0" t="n">
        <f aca="false">IF(S94=0,0,1)</f>
        <v>0</v>
      </c>
      <c r="AS94" s="0" t="n">
        <f aca="false">IF(T94=0,0,1)</f>
        <v>0</v>
      </c>
      <c r="AT94" s="0" t="n">
        <f aca="false">IF(U94=0,0,1)</f>
        <v>0</v>
      </c>
      <c r="AU94" s="0" t="n">
        <f aca="false">IF(V94=0,0,1)</f>
        <v>0</v>
      </c>
      <c r="AV94" s="0" t="n">
        <f aca="false">IF(W94=0,0,1)</f>
        <v>0</v>
      </c>
      <c r="AW94" s="26" t="n">
        <f aca="false">SUM(AA94:AV94)</f>
        <v>0</v>
      </c>
      <c r="AX94" s="27" t="n">
        <f aca="false">IF(X94=0,0,X94)</f>
        <v>0</v>
      </c>
      <c r="AY94" s="1" t="n">
        <f aca="false">IF(X94=0,0,A94)</f>
        <v>0</v>
      </c>
      <c r="AZ94" s="28" t="n">
        <f aca="false">IF(AX94=0,0,A$88)</f>
        <v>0</v>
      </c>
      <c r="BA94" s="29" t="n">
        <v>0</v>
      </c>
      <c r="BB94" s="30" t="n">
        <v>0</v>
      </c>
      <c r="BC94" s="31" t="n">
        <v>0</v>
      </c>
      <c r="BD94" s="27"/>
      <c r="BE94" s="26"/>
      <c r="BF94" s="32"/>
      <c r="BG94" s="33"/>
    </row>
    <row r="95" customFormat="false" ht="15" hidden="false" customHeight="false" outlineLevel="0" collapsed="false">
      <c r="A95" s="21" t="n">
        <f aca="false">B!B306</f>
        <v>0</v>
      </c>
      <c r="B95" s="22" t="n">
        <f aca="false">C!B89</f>
        <v>0</v>
      </c>
      <c r="C95" s="22" t="n">
        <f aca="false">D!B89</f>
        <v>0</v>
      </c>
      <c r="D95" s="22" t="n">
        <f aca="false">E!B89</f>
        <v>0</v>
      </c>
      <c r="E95" s="22" t="n">
        <f aca="false">F!B89</f>
        <v>0</v>
      </c>
      <c r="F95" s="22" t="n">
        <f aca="false">G!B89</f>
        <v>0</v>
      </c>
      <c r="G95" s="22" t="n">
        <f aca="false">H!B89</f>
        <v>0</v>
      </c>
      <c r="H95" s="22" t="n">
        <f aca="false">I!B89</f>
        <v>0</v>
      </c>
      <c r="I95" s="22" t="n">
        <f aca="false">J!B89</f>
        <v>0</v>
      </c>
      <c r="J95" s="22" t="n">
        <f aca="false">K!B89</f>
        <v>0</v>
      </c>
      <c r="K95" s="22" t="n">
        <f aca="false">L!B89</f>
        <v>0</v>
      </c>
      <c r="L95" s="22" t="n">
        <f aca="false">M!B89</f>
        <v>0</v>
      </c>
      <c r="M95" s="22" t="n">
        <f aca="false">N!B89</f>
        <v>0</v>
      </c>
      <c r="N95" s="22" t="n">
        <f aca="false">O!B89</f>
        <v>0</v>
      </c>
      <c r="O95" s="22" t="n">
        <f aca="false">P!B89</f>
        <v>0</v>
      </c>
      <c r="P95" s="22" t="n">
        <f aca="false">Q!B89</f>
        <v>0</v>
      </c>
      <c r="Q95" s="22" t="n">
        <f aca="false">R!B89</f>
        <v>0</v>
      </c>
      <c r="R95" s="22" t="n">
        <f aca="false">S!B89</f>
        <v>0</v>
      </c>
      <c r="S95" s="22" t="n">
        <f aca="false">T!B89</f>
        <v>0</v>
      </c>
      <c r="T95" s="22" t="n">
        <f aca="false">U!B89</f>
        <v>0</v>
      </c>
      <c r="U95" s="22" t="n">
        <f aca="false">V!B89</f>
        <v>0</v>
      </c>
      <c r="V95" s="22" t="n">
        <f aca="false">W!B89</f>
        <v>0</v>
      </c>
      <c r="W95" s="22" t="n">
        <f aca="false">X!B89</f>
        <v>0</v>
      </c>
      <c r="X95" s="23" t="n">
        <f aca="false">SUM(B95:W95)</f>
        <v>0</v>
      </c>
      <c r="Y95" s="24" t="n">
        <f aca="false">IF(AW95=0,0,X95/AW95)</f>
        <v>0</v>
      </c>
      <c r="Z95" s="25" t="n">
        <f aca="false">A95</f>
        <v>0</v>
      </c>
      <c r="AA95" s="16" t="n">
        <f aca="false">IF(B95=0,0,1)</f>
        <v>0</v>
      </c>
      <c r="AB95" s="0" t="n">
        <f aca="false">IF(C95=0,0,1)</f>
        <v>0</v>
      </c>
      <c r="AC95" s="0" t="n">
        <f aca="false">IF(D95=0,0,1)</f>
        <v>0</v>
      </c>
      <c r="AD95" s="0" t="n">
        <f aca="false">IF(E95=0,0,1)</f>
        <v>0</v>
      </c>
      <c r="AE95" s="0" t="n">
        <f aca="false">IF(F95=0,0,1)</f>
        <v>0</v>
      </c>
      <c r="AF95" s="0" t="n">
        <f aca="false">IF(G95=0,0,1)</f>
        <v>0</v>
      </c>
      <c r="AG95" s="0" t="n">
        <f aca="false">IF(H95=0,0,1)</f>
        <v>0</v>
      </c>
      <c r="AH95" s="0" t="n">
        <f aca="false">IF(I95=0,0,1)</f>
        <v>0</v>
      </c>
      <c r="AI95" s="0" t="n">
        <f aca="false">IF(J95=0,0,1)</f>
        <v>0</v>
      </c>
      <c r="AJ95" s="0" t="n">
        <f aca="false">IF(K95=0,0,1)</f>
        <v>0</v>
      </c>
      <c r="AK95" s="0" t="n">
        <f aca="false">IF(L95=0,0,1)</f>
        <v>0</v>
      </c>
      <c r="AL95" s="0" t="n">
        <f aca="false">IF(M95=0,0,1)</f>
        <v>0</v>
      </c>
      <c r="AM95" s="0" t="n">
        <f aca="false">IF(N95=0,0,1)</f>
        <v>0</v>
      </c>
      <c r="AN95" s="0" t="n">
        <f aca="false">IF(O95=0,0,1)</f>
        <v>0</v>
      </c>
      <c r="AO95" s="0" t="n">
        <f aca="false">IF(P95=0,0,1)</f>
        <v>0</v>
      </c>
      <c r="AP95" s="0" t="n">
        <f aca="false">IF(Q95=0,0,1)</f>
        <v>0</v>
      </c>
      <c r="AQ95" s="0" t="n">
        <f aca="false">IF(R95=0,0,1)</f>
        <v>0</v>
      </c>
      <c r="AR95" s="0" t="n">
        <f aca="false">IF(S95=0,0,1)</f>
        <v>0</v>
      </c>
      <c r="AS95" s="0" t="n">
        <f aca="false">IF(T95=0,0,1)</f>
        <v>0</v>
      </c>
      <c r="AT95" s="0" t="n">
        <f aca="false">IF(U95=0,0,1)</f>
        <v>0</v>
      </c>
      <c r="AU95" s="0" t="n">
        <f aca="false">IF(V95=0,0,1)</f>
        <v>0</v>
      </c>
      <c r="AV95" s="0" t="n">
        <f aca="false">IF(W95=0,0,1)</f>
        <v>0</v>
      </c>
      <c r="AW95" s="26" t="n">
        <f aca="false">SUM(AA95:AV95)</f>
        <v>0</v>
      </c>
      <c r="AX95" s="27" t="n">
        <f aca="false">IF(X95=0,0,X95)</f>
        <v>0</v>
      </c>
      <c r="AY95" s="1" t="n">
        <f aca="false">IF(X95=0,0,A95)</f>
        <v>0</v>
      </c>
      <c r="AZ95" s="28" t="n">
        <f aca="false">IF(AX95=0,0,A$88)</f>
        <v>0</v>
      </c>
      <c r="BA95" s="29" t="n">
        <v>0</v>
      </c>
      <c r="BB95" s="30" t="n">
        <v>0</v>
      </c>
      <c r="BC95" s="31" t="n">
        <v>0</v>
      </c>
      <c r="BD95" s="27"/>
      <c r="BE95" s="26"/>
      <c r="BF95" s="32"/>
      <c r="BG95" s="33"/>
    </row>
    <row r="96" customFormat="false" ht="15" hidden="false" customHeight="false" outlineLevel="0" collapsed="false">
      <c r="A96" s="16" t="n">
        <f aca="false">B!B311</f>
        <v>0</v>
      </c>
      <c r="B96" s="22" t="n">
        <f aca="false">C!B90</f>
        <v>0</v>
      </c>
      <c r="C96" s="22" t="n">
        <f aca="false">D!B90</f>
        <v>0</v>
      </c>
      <c r="D96" s="22" t="n">
        <f aca="false">E!B90</f>
        <v>0</v>
      </c>
      <c r="E96" s="22" t="n">
        <f aca="false">F!B90</f>
        <v>0</v>
      </c>
      <c r="F96" s="22" t="n">
        <f aca="false">G!B90</f>
        <v>0</v>
      </c>
      <c r="G96" s="22" t="n">
        <f aca="false">H!B90</f>
        <v>0</v>
      </c>
      <c r="H96" s="22" t="n">
        <f aca="false">I!B90</f>
        <v>0</v>
      </c>
      <c r="I96" s="22" t="n">
        <f aca="false">J!B90</f>
        <v>0</v>
      </c>
      <c r="J96" s="22" t="n">
        <f aca="false">K!B90</f>
        <v>0</v>
      </c>
      <c r="K96" s="22" t="n">
        <f aca="false">L!B90</f>
        <v>0</v>
      </c>
      <c r="L96" s="22" t="n">
        <f aca="false">M!B90</f>
        <v>0</v>
      </c>
      <c r="M96" s="22" t="n">
        <f aca="false">N!B90</f>
        <v>0</v>
      </c>
      <c r="N96" s="22" t="n">
        <f aca="false">O!B90</f>
        <v>0</v>
      </c>
      <c r="O96" s="22" t="n">
        <f aca="false">P!B90</f>
        <v>0</v>
      </c>
      <c r="P96" s="22" t="n">
        <f aca="false">Q!B90</f>
        <v>0</v>
      </c>
      <c r="Q96" s="22" t="n">
        <f aca="false">R!B90</f>
        <v>0</v>
      </c>
      <c r="R96" s="22" t="n">
        <f aca="false">S!B90</f>
        <v>0</v>
      </c>
      <c r="S96" s="22" t="n">
        <f aca="false">T!B90</f>
        <v>0</v>
      </c>
      <c r="T96" s="22" t="n">
        <f aca="false">U!B90</f>
        <v>0</v>
      </c>
      <c r="U96" s="22" t="n">
        <f aca="false">V!B90</f>
        <v>0</v>
      </c>
      <c r="V96" s="22" t="n">
        <f aca="false">W!B90</f>
        <v>0</v>
      </c>
      <c r="W96" s="22" t="n">
        <f aca="false">X!B90</f>
        <v>0</v>
      </c>
      <c r="X96" s="23" t="n">
        <f aca="false">SUM(B96:W96)</f>
        <v>0</v>
      </c>
      <c r="Y96" s="24" t="n">
        <f aca="false">IF(AW96=0,0,X96/AW96)</f>
        <v>0</v>
      </c>
      <c r="Z96" s="25" t="n">
        <f aca="false">A96</f>
        <v>0</v>
      </c>
      <c r="AA96" s="16" t="n">
        <f aca="false">IF(B96=0,0,1)</f>
        <v>0</v>
      </c>
      <c r="AB96" s="0" t="n">
        <f aca="false">IF(C96=0,0,1)</f>
        <v>0</v>
      </c>
      <c r="AC96" s="0" t="n">
        <f aca="false">IF(D96=0,0,1)</f>
        <v>0</v>
      </c>
      <c r="AD96" s="0" t="n">
        <f aca="false">IF(E96=0,0,1)</f>
        <v>0</v>
      </c>
      <c r="AE96" s="0" t="n">
        <f aca="false">IF(F96=0,0,1)</f>
        <v>0</v>
      </c>
      <c r="AF96" s="0" t="n">
        <f aca="false">IF(G96=0,0,1)</f>
        <v>0</v>
      </c>
      <c r="AG96" s="0" t="n">
        <f aca="false">IF(H96=0,0,1)</f>
        <v>0</v>
      </c>
      <c r="AH96" s="0" t="n">
        <f aca="false">IF(I96=0,0,1)</f>
        <v>0</v>
      </c>
      <c r="AI96" s="0" t="n">
        <f aca="false">IF(J96=0,0,1)</f>
        <v>0</v>
      </c>
      <c r="AJ96" s="0" t="n">
        <f aca="false">IF(K96=0,0,1)</f>
        <v>0</v>
      </c>
      <c r="AK96" s="0" t="n">
        <f aca="false">IF(L96=0,0,1)</f>
        <v>0</v>
      </c>
      <c r="AL96" s="0" t="n">
        <f aca="false">IF(M96=0,0,1)</f>
        <v>0</v>
      </c>
      <c r="AM96" s="0" t="n">
        <f aca="false">IF(N96=0,0,1)</f>
        <v>0</v>
      </c>
      <c r="AN96" s="0" t="n">
        <f aca="false">IF(O96=0,0,1)</f>
        <v>0</v>
      </c>
      <c r="AO96" s="0" t="n">
        <f aca="false">IF(P96=0,0,1)</f>
        <v>0</v>
      </c>
      <c r="AP96" s="0" t="n">
        <f aca="false">IF(Q96=0,0,1)</f>
        <v>0</v>
      </c>
      <c r="AQ96" s="0" t="n">
        <f aca="false">IF(R96=0,0,1)</f>
        <v>0</v>
      </c>
      <c r="AR96" s="0" t="n">
        <f aca="false">IF(S96=0,0,1)</f>
        <v>0</v>
      </c>
      <c r="AS96" s="0" t="n">
        <f aca="false">IF(T96=0,0,1)</f>
        <v>0</v>
      </c>
      <c r="AT96" s="0" t="n">
        <f aca="false">IF(U96=0,0,1)</f>
        <v>0</v>
      </c>
      <c r="AU96" s="0" t="n">
        <f aca="false">IF(V96=0,0,1)</f>
        <v>0</v>
      </c>
      <c r="AV96" s="0" t="n">
        <f aca="false">IF(W96=0,0,1)</f>
        <v>0</v>
      </c>
      <c r="AW96" s="26" t="n">
        <f aca="false">SUM(AA96:AV96)</f>
        <v>0</v>
      </c>
      <c r="AX96" s="27" t="n">
        <f aca="false">IF(X96=0,0,X96)</f>
        <v>0</v>
      </c>
      <c r="AY96" s="1" t="n">
        <f aca="false">IF(X96=0,0,A96)</f>
        <v>0</v>
      </c>
      <c r="AZ96" s="28" t="n">
        <f aca="false">IF(AX96=0,0,A$88)</f>
        <v>0</v>
      </c>
      <c r="BA96" s="29" t="n">
        <v>0</v>
      </c>
      <c r="BB96" s="30" t="n">
        <v>0</v>
      </c>
      <c r="BC96" s="31" t="n">
        <v>0</v>
      </c>
      <c r="BD96" s="27"/>
      <c r="BE96" s="26"/>
      <c r="BF96" s="32"/>
      <c r="BG96" s="33"/>
    </row>
    <row r="97" customFormat="false" ht="15" hidden="false" customHeight="false" outlineLevel="0" collapsed="false">
      <c r="A97" s="38" t="s">
        <v>60</v>
      </c>
      <c r="B97" s="39" t="n">
        <f aca="false">SUM(B89:B96)</f>
        <v>210</v>
      </c>
      <c r="C97" s="39" t="n">
        <f aca="false">SUM(C89:C96)</f>
        <v>176</v>
      </c>
      <c r="D97" s="39" t="n">
        <f aca="false">SUM(D89:D96)</f>
        <v>196</v>
      </c>
      <c r="E97" s="39" t="n">
        <f aca="false">SUM(E89:E96)</f>
        <v>207</v>
      </c>
      <c r="F97" s="39" t="n">
        <f aca="false">SUM(F89:F96)</f>
        <v>230</v>
      </c>
      <c r="G97" s="39" t="n">
        <f aca="false">SUM(G89:G96)</f>
        <v>200</v>
      </c>
      <c r="H97" s="39" t="n">
        <f aca="false">SUM(H89:H96)</f>
        <v>0</v>
      </c>
      <c r="I97" s="39" t="n">
        <f aca="false">SUM(I89:I96)</f>
        <v>0</v>
      </c>
      <c r="J97" s="39" t="n">
        <f aca="false">SUM(J89:J96)</f>
        <v>0</v>
      </c>
      <c r="K97" s="39" t="n">
        <f aca="false">SUM(K89:K96)</f>
        <v>0</v>
      </c>
      <c r="L97" s="39" t="n">
        <f aca="false">SUM(L89:L96)</f>
        <v>0</v>
      </c>
      <c r="M97" s="39" t="n">
        <f aca="false">SUM(M89:M96)</f>
        <v>0</v>
      </c>
      <c r="N97" s="39" t="n">
        <f aca="false">SUM(N89:N96)</f>
        <v>0</v>
      </c>
      <c r="O97" s="39" t="n">
        <f aca="false">SUM(O89:O96)</f>
        <v>0</v>
      </c>
      <c r="P97" s="39" t="n">
        <f aca="false">SUM(P89:P96)</f>
        <v>0</v>
      </c>
      <c r="Q97" s="39" t="n">
        <f aca="false">SUM(Q89:Q96)</f>
        <v>0</v>
      </c>
      <c r="R97" s="39" t="n">
        <f aca="false">SUM(R89:R96)</f>
        <v>0</v>
      </c>
      <c r="S97" s="39" t="n">
        <f aca="false">SUM(S89:S96)</f>
        <v>0</v>
      </c>
      <c r="T97" s="39" t="n">
        <f aca="false">SUM(T89:T96)</f>
        <v>0</v>
      </c>
      <c r="U97" s="39" t="n">
        <f aca="false">SUM(U89:U96)</f>
        <v>0</v>
      </c>
      <c r="V97" s="39" t="n">
        <f aca="false">SUM(V89:V96)</f>
        <v>0</v>
      </c>
      <c r="W97" s="39" t="n">
        <f aca="false">SUM(W89:W96)</f>
        <v>0</v>
      </c>
      <c r="X97" s="40" t="n">
        <f aca="false">SUM(B97:W97)</f>
        <v>1219</v>
      </c>
      <c r="Y97" s="41" t="n">
        <f aca="false">IF(X97=0,0,X97/AW97)</f>
        <v>203.166666666667</v>
      </c>
      <c r="Z97" s="25"/>
      <c r="AA97" s="42" t="n">
        <f aca="false">SUM(AA89:AA96)</f>
        <v>5</v>
      </c>
      <c r="AB97" s="43" t="n">
        <f aca="false">SUM(AB89:AB96)</f>
        <v>5</v>
      </c>
      <c r="AC97" s="43" t="n">
        <f aca="false">SUM(AC89:AC96)</f>
        <v>5</v>
      </c>
      <c r="AD97" s="43" t="n">
        <f aca="false">SUM(AD89:AD96)</f>
        <v>5</v>
      </c>
      <c r="AE97" s="43" t="n">
        <f aca="false">SUM(AE89:AE96)</f>
        <v>5</v>
      </c>
      <c r="AF97" s="43" t="n">
        <f aca="false">SUM(AF89:AF96)</f>
        <v>5</v>
      </c>
      <c r="AG97" s="43" t="n">
        <f aca="false">SUM(AG89:AG96)</f>
        <v>0</v>
      </c>
      <c r="AH97" s="43" t="n">
        <f aca="false">SUM(AH89:AH96)</f>
        <v>0</v>
      </c>
      <c r="AI97" s="43" t="n">
        <f aca="false">SUM(AI89:AI96)</f>
        <v>0</v>
      </c>
      <c r="AJ97" s="43" t="n">
        <f aca="false">SUM(AJ89:AJ96)</f>
        <v>0</v>
      </c>
      <c r="AK97" s="43" t="n">
        <f aca="false">SUM(AK89:AK96)</f>
        <v>0</v>
      </c>
      <c r="AL97" s="43" t="n">
        <f aca="false">SUM(AL89:AL96)</f>
        <v>0</v>
      </c>
      <c r="AM97" s="43" t="n">
        <f aca="false">SUM(AM89:AM96)</f>
        <v>0</v>
      </c>
      <c r="AN97" s="43" t="n">
        <f aca="false">SUM(AN89:AN96)</f>
        <v>0</v>
      </c>
      <c r="AO97" s="43" t="n">
        <f aca="false">SUM(AO89:AO96)</f>
        <v>0</v>
      </c>
      <c r="AP97" s="43" t="n">
        <f aca="false">SUM(AP89:AP96)</f>
        <v>0</v>
      </c>
      <c r="AQ97" s="43" t="n">
        <f aca="false">SUM(AQ89:AQ96)</f>
        <v>0</v>
      </c>
      <c r="AR97" s="43" t="n">
        <f aca="false">SUM(AR89:AR96)</f>
        <v>0</v>
      </c>
      <c r="AS97" s="43" t="n">
        <f aca="false">SUM(AS89:AS96)</f>
        <v>0</v>
      </c>
      <c r="AT97" s="43" t="n">
        <f aca="false">SUM(AT89:AT96)</f>
        <v>0</v>
      </c>
      <c r="AU97" s="43" t="n">
        <f aca="false">SUM(AU89:AU96)</f>
        <v>0</v>
      </c>
      <c r="AV97" s="43" t="n">
        <f aca="false">SUM(AV89:AV96)</f>
        <v>0</v>
      </c>
      <c r="AW97" s="44" t="n">
        <f aca="false">MAXA(AW89:AW96)</f>
        <v>6</v>
      </c>
      <c r="AX97" s="27"/>
      <c r="AZ97" s="28"/>
      <c r="BA97" s="29" t="n">
        <v>0</v>
      </c>
      <c r="BB97" s="30" t="n">
        <v>0</v>
      </c>
      <c r="BC97" s="31" t="n">
        <v>0</v>
      </c>
      <c r="BD97" s="27"/>
      <c r="BE97" s="26"/>
      <c r="BF97" s="32"/>
      <c r="BG97" s="33"/>
    </row>
    <row r="98" customFormat="false" ht="15" hidden="false" customHeight="false" outlineLevel="0" collapsed="false">
      <c r="A98" s="54" t="s">
        <v>64</v>
      </c>
      <c r="B98" s="22" t="n">
        <f aca="false">C!B91</f>
        <v>0</v>
      </c>
      <c r="C98" s="22" t="n">
        <f aca="false">D!B91</f>
        <v>0</v>
      </c>
      <c r="D98" s="22" t="n">
        <f aca="false">E!B91</f>
        <v>0</v>
      </c>
      <c r="E98" s="22" t="n">
        <f aca="false">F!B91</f>
        <v>8.4</v>
      </c>
      <c r="F98" s="22" t="n">
        <f aca="false">G!B91</f>
        <v>0</v>
      </c>
      <c r="G98" s="22" t="n">
        <f aca="false">H!B91</f>
        <v>0</v>
      </c>
      <c r="H98" s="22" t="n">
        <f aca="false">I!B91</f>
        <v>0</v>
      </c>
      <c r="I98" s="22" t="n">
        <f aca="false">J!B91</f>
        <v>0</v>
      </c>
      <c r="J98" s="22" t="n">
        <f aca="false">K!B91</f>
        <v>0</v>
      </c>
      <c r="K98" s="22" t="n">
        <f aca="false">L!B91</f>
        <v>0</v>
      </c>
      <c r="L98" s="22" t="n">
        <f aca="false">M!B91</f>
        <v>0</v>
      </c>
      <c r="M98" s="22" t="n">
        <f aca="false">N!B91</f>
        <v>0</v>
      </c>
      <c r="N98" s="22" t="n">
        <f aca="false">O!B91</f>
        <v>0</v>
      </c>
      <c r="O98" s="22" t="n">
        <f aca="false">P!B91</f>
        <v>0</v>
      </c>
      <c r="P98" s="22" t="n">
        <f aca="false">Q!B91</f>
        <v>0</v>
      </c>
      <c r="Q98" s="22" t="n">
        <f aca="false">R!B91</f>
        <v>0</v>
      </c>
      <c r="R98" s="22" t="n">
        <f aca="false">S!B91</f>
        <v>0</v>
      </c>
      <c r="S98" s="22" t="n">
        <f aca="false">T!B91</f>
        <v>0</v>
      </c>
      <c r="T98" s="22" t="n">
        <f aca="false">U!B91</f>
        <v>0</v>
      </c>
      <c r="U98" s="22" t="n">
        <f aca="false">V!B91</f>
        <v>0</v>
      </c>
      <c r="V98" s="22" t="n">
        <f aca="false">W!B91</f>
        <v>0</v>
      </c>
      <c r="W98" s="22" t="n">
        <f aca="false">X!B91</f>
        <v>0</v>
      </c>
      <c r="X98" s="23" t="n">
        <f aca="false">SUM(B98:W98)</f>
        <v>8.4</v>
      </c>
      <c r="Y98" s="47"/>
      <c r="Z98" s="25"/>
      <c r="AA98" s="16"/>
      <c r="AW98" s="26"/>
      <c r="AX98" s="27"/>
      <c r="AZ98" s="28"/>
      <c r="BA98" s="29" t="n">
        <v>0</v>
      </c>
      <c r="BB98" s="30" t="n">
        <v>0</v>
      </c>
      <c r="BC98" s="31" t="n">
        <v>0</v>
      </c>
      <c r="BD98" s="27"/>
      <c r="BE98" s="26"/>
      <c r="BF98" s="32"/>
      <c r="BG98" s="33"/>
    </row>
    <row r="99" customFormat="false" ht="15" hidden="false" customHeight="false" outlineLevel="0" collapsed="false">
      <c r="A99" s="48" t="s">
        <v>68</v>
      </c>
      <c r="B99" s="49" t="n">
        <f aca="false">SUM(B97:B98)</f>
        <v>210</v>
      </c>
      <c r="C99" s="49" t="n">
        <f aca="false">SUM(C97:C98)</f>
        <v>176</v>
      </c>
      <c r="D99" s="49" t="n">
        <f aca="false">SUM(D97:D98)</f>
        <v>196</v>
      </c>
      <c r="E99" s="49" t="n">
        <f aca="false">SUM(E97:E98)</f>
        <v>215.4</v>
      </c>
      <c r="F99" s="49" t="n">
        <f aca="false">SUM(F97:F98)</f>
        <v>230</v>
      </c>
      <c r="G99" s="49" t="n">
        <f aca="false">SUM(G97:G98)</f>
        <v>200</v>
      </c>
      <c r="H99" s="49" t="n">
        <f aca="false">SUM(H97:H98)</f>
        <v>0</v>
      </c>
      <c r="I99" s="49" t="n">
        <f aca="false">SUM(I97:I98)</f>
        <v>0</v>
      </c>
      <c r="J99" s="49" t="n">
        <f aca="false">SUM(J97:J98)</f>
        <v>0</v>
      </c>
      <c r="K99" s="49" t="n">
        <f aca="false">SUM(K97:K98)</f>
        <v>0</v>
      </c>
      <c r="L99" s="49" t="n">
        <f aca="false">SUM(L97:L98)</f>
        <v>0</v>
      </c>
      <c r="M99" s="49" t="n">
        <f aca="false">SUM(M97:M98)</f>
        <v>0</v>
      </c>
      <c r="N99" s="49" t="n">
        <f aca="false">SUM(N97:N98)</f>
        <v>0</v>
      </c>
      <c r="O99" s="49" t="n">
        <f aca="false">SUM(O97:O98)</f>
        <v>0</v>
      </c>
      <c r="P99" s="49" t="n">
        <f aca="false">SUM(P97:P98)</f>
        <v>0</v>
      </c>
      <c r="Q99" s="49" t="n">
        <f aca="false">SUM(Q97:Q98)</f>
        <v>0</v>
      </c>
      <c r="R99" s="49" t="n">
        <f aca="false">SUM(R97:R98)</f>
        <v>0</v>
      </c>
      <c r="S99" s="49" t="n">
        <f aca="false">SUM(S97:S98)</f>
        <v>0</v>
      </c>
      <c r="T99" s="49" t="n">
        <f aca="false">SUM(T97:T98)</f>
        <v>0</v>
      </c>
      <c r="U99" s="49" t="n">
        <f aca="false">SUM(U97:U98)</f>
        <v>0</v>
      </c>
      <c r="V99" s="49" t="n">
        <f aca="false">SUM(V97:V98)</f>
        <v>0</v>
      </c>
      <c r="W99" s="49" t="n">
        <f aca="false">SUM(W97:W98)</f>
        <v>0</v>
      </c>
      <c r="X99" s="50" t="n">
        <f aca="false">SUM(B99:W99)</f>
        <v>1227.4</v>
      </c>
      <c r="Y99" s="51"/>
      <c r="Z99" s="25"/>
      <c r="AA99" s="16"/>
      <c r="AW99" s="26"/>
      <c r="AX99" s="27"/>
      <c r="AZ99" s="28"/>
      <c r="BA99" s="29" t="n">
        <v>0</v>
      </c>
      <c r="BB99" s="30" t="n">
        <v>0</v>
      </c>
      <c r="BC99" s="31" t="n">
        <v>0</v>
      </c>
      <c r="BD99" s="27" t="n">
        <f aca="false">X99</f>
        <v>1227.4</v>
      </c>
      <c r="BE99" s="26" t="str">
        <f aca="false">A88</f>
        <v>YOUNG BLOODS</v>
      </c>
      <c r="BF99" s="32"/>
      <c r="BG99" s="33"/>
    </row>
    <row r="100" customFormat="false" ht="15" hidden="false" customHeight="false" outlineLevel="0" collapsed="false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25"/>
      <c r="AA100" s="16"/>
      <c r="AW100" s="26"/>
      <c r="AX100" s="27"/>
      <c r="AZ100" s="28"/>
      <c r="BA100" s="29" t="n">
        <v>0</v>
      </c>
      <c r="BB100" s="30" t="n">
        <v>0</v>
      </c>
      <c r="BC100" s="31" t="n">
        <v>0</v>
      </c>
      <c r="BD100" s="27"/>
      <c r="BE100" s="26"/>
      <c r="BF100" s="32"/>
      <c r="BG100" s="33"/>
    </row>
    <row r="101" customFormat="false" ht="15" hidden="false" customHeight="false" outlineLevel="0" collapsed="false">
      <c r="A101" s="5" t="s">
        <v>130</v>
      </c>
      <c r="B101" s="6" t="s">
        <v>1</v>
      </c>
      <c r="C101" s="6" t="s">
        <v>2</v>
      </c>
      <c r="D101" s="6" t="s">
        <v>3</v>
      </c>
      <c r="E101" s="6" t="s">
        <v>4</v>
      </c>
      <c r="F101" s="6" t="s">
        <v>5</v>
      </c>
      <c r="G101" s="6" t="s">
        <v>6</v>
      </c>
      <c r="H101" s="6" t="s">
        <v>7</v>
      </c>
      <c r="I101" s="6" t="s">
        <v>8</v>
      </c>
      <c r="J101" s="6" t="s">
        <v>9</v>
      </c>
      <c r="K101" s="6" t="s">
        <v>10</v>
      </c>
      <c r="L101" s="6" t="s">
        <v>11</v>
      </c>
      <c r="M101" s="6" t="s">
        <v>12</v>
      </c>
      <c r="N101" s="6" t="s">
        <v>13</v>
      </c>
      <c r="O101" s="6" t="s">
        <v>14</v>
      </c>
      <c r="P101" s="6" t="s">
        <v>15</v>
      </c>
      <c r="Q101" s="6" t="s">
        <v>16</v>
      </c>
      <c r="R101" s="6" t="s">
        <v>17</v>
      </c>
      <c r="S101" s="6" t="s">
        <v>18</v>
      </c>
      <c r="T101" s="6" t="s">
        <v>19</v>
      </c>
      <c r="U101" s="6" t="s">
        <v>20</v>
      </c>
      <c r="V101" s="6" t="s">
        <v>21</v>
      </c>
      <c r="W101" s="6" t="s">
        <v>22</v>
      </c>
      <c r="X101" s="34"/>
      <c r="Y101" s="34"/>
      <c r="Z101" s="4" t="str">
        <f aca="false">A101</f>
        <v>Team #8 Name:</v>
      </c>
      <c r="AA101" s="16"/>
      <c r="AW101" s="26"/>
      <c r="AX101" s="27"/>
      <c r="AZ101" s="28"/>
      <c r="BA101" s="29" t="n">
        <v>0</v>
      </c>
      <c r="BB101" s="30" t="n">
        <v>0</v>
      </c>
      <c r="BC101" s="31" t="n">
        <v>0</v>
      </c>
      <c r="BD101" s="27"/>
      <c r="BE101" s="26"/>
      <c r="BF101" s="32"/>
      <c r="BG101" s="33"/>
    </row>
    <row r="102" customFormat="false" ht="15" hidden="false" customHeight="false" outlineLevel="0" collapsed="false">
      <c r="A102" s="11" t="str">
        <f aca="false">B!B317</f>
        <v>THE BOYS</v>
      </c>
      <c r="B102" s="52" t="s">
        <v>28</v>
      </c>
      <c r="C102" s="52" t="s">
        <v>28</v>
      </c>
      <c r="D102" s="52" t="s">
        <v>28</v>
      </c>
      <c r="E102" s="52" t="s">
        <v>28</v>
      </c>
      <c r="F102" s="52" t="s">
        <v>28</v>
      </c>
      <c r="G102" s="52" t="s">
        <v>28</v>
      </c>
      <c r="H102" s="52" t="s">
        <v>28</v>
      </c>
      <c r="I102" s="52" t="s">
        <v>28</v>
      </c>
      <c r="J102" s="52" t="s">
        <v>28</v>
      </c>
      <c r="K102" s="52" t="s">
        <v>28</v>
      </c>
      <c r="L102" s="52" t="s">
        <v>28</v>
      </c>
      <c r="M102" s="52" t="s">
        <v>28</v>
      </c>
      <c r="N102" s="52" t="s">
        <v>28</v>
      </c>
      <c r="O102" s="52" t="s">
        <v>28</v>
      </c>
      <c r="P102" s="52" t="s">
        <v>28</v>
      </c>
      <c r="Q102" s="52" t="s">
        <v>28</v>
      </c>
      <c r="R102" s="52" t="s">
        <v>28</v>
      </c>
      <c r="S102" s="52" t="s">
        <v>28</v>
      </c>
      <c r="T102" s="52" t="s">
        <v>28</v>
      </c>
      <c r="U102" s="52" t="s">
        <v>28</v>
      </c>
      <c r="V102" s="52" t="s">
        <v>28</v>
      </c>
      <c r="W102" s="52" t="s">
        <v>28</v>
      </c>
      <c r="X102" s="13" t="s">
        <v>29</v>
      </c>
      <c r="Y102" s="14" t="s">
        <v>30</v>
      </c>
      <c r="Z102" s="15" t="str">
        <f aca="false">A102</f>
        <v>THE BOYS</v>
      </c>
      <c r="AA102" s="16"/>
      <c r="AW102" s="17" t="s">
        <v>31</v>
      </c>
      <c r="AX102" s="27"/>
      <c r="AZ102" s="28"/>
      <c r="BA102" s="29" t="n">
        <v>0</v>
      </c>
      <c r="BB102" s="30" t="n">
        <v>0</v>
      </c>
      <c r="BC102" s="31" t="n">
        <v>0</v>
      </c>
      <c r="BD102" s="27"/>
      <c r="BE102" s="26"/>
      <c r="BF102" s="32"/>
      <c r="BG102" s="33"/>
    </row>
    <row r="103" customFormat="false" ht="15" hidden="false" customHeight="false" outlineLevel="0" collapsed="false">
      <c r="A103" s="21" t="str">
        <f aca="false">B!B319</f>
        <v>JOHN A</v>
      </c>
      <c r="B103" s="22" t="n">
        <f aca="false">C!B96</f>
        <v>45</v>
      </c>
      <c r="C103" s="22" t="n">
        <f aca="false">D!B96</f>
        <v>34</v>
      </c>
      <c r="D103" s="22" t="n">
        <f aca="false">E!B96</f>
        <v>40</v>
      </c>
      <c r="E103" s="22" t="n">
        <f aca="false">F!B96</f>
        <v>47</v>
      </c>
      <c r="F103" s="22" t="n">
        <f aca="false">G!B96</f>
        <v>29</v>
      </c>
      <c r="G103" s="22" t="n">
        <f aca="false">H!B96</f>
        <v>37</v>
      </c>
      <c r="H103" s="22" t="n">
        <f aca="false">I!B96</f>
        <v>0</v>
      </c>
      <c r="I103" s="22" t="n">
        <f aca="false">J!B96</f>
        <v>0</v>
      </c>
      <c r="J103" s="22" t="n">
        <f aca="false">K!B96</f>
        <v>0</v>
      </c>
      <c r="K103" s="22" t="n">
        <f aca="false">L!B96</f>
        <v>0</v>
      </c>
      <c r="L103" s="22" t="n">
        <f aca="false">M!B96</f>
        <v>0</v>
      </c>
      <c r="M103" s="22" t="n">
        <f aca="false">N!B96</f>
        <v>0</v>
      </c>
      <c r="N103" s="22" t="n">
        <f aca="false">O!B96</f>
        <v>0</v>
      </c>
      <c r="O103" s="22" t="n">
        <f aca="false">P!B96</f>
        <v>0</v>
      </c>
      <c r="P103" s="22" t="n">
        <f aca="false">Q!B96</f>
        <v>0</v>
      </c>
      <c r="Q103" s="22" t="n">
        <f aca="false">R!B96</f>
        <v>0</v>
      </c>
      <c r="R103" s="22" t="n">
        <f aca="false">S!B96</f>
        <v>0</v>
      </c>
      <c r="S103" s="22" t="n">
        <f aca="false">T!B96</f>
        <v>0</v>
      </c>
      <c r="T103" s="22" t="n">
        <f aca="false">U!B96</f>
        <v>0</v>
      </c>
      <c r="U103" s="22" t="n">
        <f aca="false">V!B96</f>
        <v>0</v>
      </c>
      <c r="V103" s="22" t="n">
        <f aca="false">W!B96</f>
        <v>0</v>
      </c>
      <c r="W103" s="22" t="n">
        <f aca="false">X!B96</f>
        <v>0</v>
      </c>
      <c r="X103" s="23" t="n">
        <f aca="false">SUM(B103:W103)</f>
        <v>232</v>
      </c>
      <c r="Y103" s="24" t="n">
        <f aca="false">IF(AW103=0,0,X103/AW103)</f>
        <v>38.6666666666667</v>
      </c>
      <c r="Z103" s="25" t="str">
        <f aca="false">A103</f>
        <v>JOHN A</v>
      </c>
      <c r="AA103" s="16" t="n">
        <f aca="false">IF(B103=0,0,1)</f>
        <v>1</v>
      </c>
      <c r="AB103" s="0" t="n">
        <f aca="false">IF(C103=0,0,1)</f>
        <v>1</v>
      </c>
      <c r="AC103" s="0" t="n">
        <f aca="false">IF(D103=0,0,1)</f>
        <v>1</v>
      </c>
      <c r="AD103" s="0" t="n">
        <f aca="false">IF(E103=0,0,1)</f>
        <v>1</v>
      </c>
      <c r="AE103" s="0" t="n">
        <f aca="false">IF(F103=0,0,1)</f>
        <v>1</v>
      </c>
      <c r="AF103" s="0" t="n">
        <f aca="false">IF(G103=0,0,1)</f>
        <v>1</v>
      </c>
      <c r="AG103" s="0" t="n">
        <f aca="false">IF(H103=0,0,1)</f>
        <v>0</v>
      </c>
      <c r="AH103" s="0" t="n">
        <f aca="false">IF(I103=0,0,1)</f>
        <v>0</v>
      </c>
      <c r="AI103" s="0" t="n">
        <f aca="false">IF(J103=0,0,1)</f>
        <v>0</v>
      </c>
      <c r="AJ103" s="0" t="n">
        <f aca="false">IF(K103=0,0,1)</f>
        <v>0</v>
      </c>
      <c r="AK103" s="0" t="n">
        <f aca="false">IF(L103=0,0,1)</f>
        <v>0</v>
      </c>
      <c r="AL103" s="0" t="n">
        <f aca="false">IF(M103=0,0,1)</f>
        <v>0</v>
      </c>
      <c r="AM103" s="0" t="n">
        <f aca="false">IF(N103=0,0,1)</f>
        <v>0</v>
      </c>
      <c r="AN103" s="0" t="n">
        <f aca="false">IF(O103=0,0,1)</f>
        <v>0</v>
      </c>
      <c r="AO103" s="0" t="n">
        <f aca="false">IF(P103=0,0,1)</f>
        <v>0</v>
      </c>
      <c r="AP103" s="0" t="n">
        <f aca="false">IF(Q103=0,0,1)</f>
        <v>0</v>
      </c>
      <c r="AQ103" s="0" t="n">
        <f aca="false">IF(R103=0,0,1)</f>
        <v>0</v>
      </c>
      <c r="AR103" s="0" t="n">
        <f aca="false">IF(S103=0,0,1)</f>
        <v>0</v>
      </c>
      <c r="AS103" s="0" t="n">
        <f aca="false">IF(T103=0,0,1)</f>
        <v>0</v>
      </c>
      <c r="AT103" s="0" t="n">
        <f aca="false">IF(U103=0,0,1)</f>
        <v>0</v>
      </c>
      <c r="AU103" s="0" t="n">
        <f aca="false">IF(V103=0,0,1)</f>
        <v>0</v>
      </c>
      <c r="AV103" s="0" t="n">
        <f aca="false">IF(W103=0,0,1)</f>
        <v>0</v>
      </c>
      <c r="AW103" s="26" t="n">
        <f aca="false">SUM(AA103:AV103)</f>
        <v>6</v>
      </c>
      <c r="AX103" s="27" t="n">
        <f aca="false">IF(X103=0,0,X103)</f>
        <v>232</v>
      </c>
      <c r="AY103" s="1" t="str">
        <f aca="false">IF(X103=0,0,A103)</f>
        <v>JOHN A</v>
      </c>
      <c r="AZ103" s="28" t="str">
        <f aca="false">IF(AX103=0,0,A$102)</f>
        <v>THE BOYS</v>
      </c>
      <c r="BA103" s="29" t="n">
        <v>0</v>
      </c>
      <c r="BB103" s="30" t="n">
        <v>0</v>
      </c>
      <c r="BC103" s="31" t="n">
        <v>0</v>
      </c>
      <c r="BD103" s="27"/>
      <c r="BE103" s="26"/>
      <c r="BF103" s="32"/>
      <c r="BG103" s="33"/>
    </row>
    <row r="104" customFormat="false" ht="15" hidden="false" customHeight="false" outlineLevel="0" collapsed="false">
      <c r="A104" s="21" t="str">
        <f aca="false">B!B324</f>
        <v>BOBBY</v>
      </c>
      <c r="B104" s="22" t="n">
        <f aca="false">C!B97</f>
        <v>40</v>
      </c>
      <c r="C104" s="22" t="n">
        <f aca="false">D!B97</f>
        <v>35</v>
      </c>
      <c r="D104" s="22" t="n">
        <f aca="false">E!B97</f>
        <v>46</v>
      </c>
      <c r="E104" s="22" t="n">
        <f aca="false">F!B97</f>
        <v>33</v>
      </c>
      <c r="F104" s="22" t="n">
        <f aca="false">G!B97</f>
        <v>43</v>
      </c>
      <c r="G104" s="22" t="n">
        <f aca="false">H!B97</f>
        <v>47</v>
      </c>
      <c r="H104" s="22" t="n">
        <f aca="false">I!B97</f>
        <v>0</v>
      </c>
      <c r="I104" s="22" t="n">
        <f aca="false">J!B97</f>
        <v>0</v>
      </c>
      <c r="J104" s="22" t="n">
        <f aca="false">K!B97</f>
        <v>0</v>
      </c>
      <c r="K104" s="22" t="n">
        <f aca="false">L!B97</f>
        <v>0</v>
      </c>
      <c r="L104" s="22" t="n">
        <f aca="false">M!B97</f>
        <v>0</v>
      </c>
      <c r="M104" s="22" t="n">
        <f aca="false">N!B97</f>
        <v>0</v>
      </c>
      <c r="N104" s="22" t="n">
        <f aca="false">O!B97</f>
        <v>0</v>
      </c>
      <c r="O104" s="22" t="n">
        <f aca="false">P!B97</f>
        <v>0</v>
      </c>
      <c r="P104" s="22" t="n">
        <f aca="false">Q!B97</f>
        <v>0</v>
      </c>
      <c r="Q104" s="22" t="n">
        <f aca="false">R!B97</f>
        <v>0</v>
      </c>
      <c r="R104" s="22" t="n">
        <f aca="false">S!B97</f>
        <v>0</v>
      </c>
      <c r="S104" s="22" t="n">
        <f aca="false">T!B97</f>
        <v>0</v>
      </c>
      <c r="T104" s="22" t="n">
        <f aca="false">U!B97</f>
        <v>0</v>
      </c>
      <c r="U104" s="22" t="n">
        <f aca="false">V!B97</f>
        <v>0</v>
      </c>
      <c r="V104" s="22" t="n">
        <f aca="false">W!B97</f>
        <v>0</v>
      </c>
      <c r="W104" s="22" t="n">
        <f aca="false">X!B97</f>
        <v>0</v>
      </c>
      <c r="X104" s="23" t="n">
        <f aca="false">SUM(B104:W104)</f>
        <v>244</v>
      </c>
      <c r="Y104" s="24" t="n">
        <f aca="false">IF(AW104=0,0,X104/AW104)</f>
        <v>40.6666666666667</v>
      </c>
      <c r="Z104" s="25" t="str">
        <f aca="false">A104</f>
        <v>BOBBY</v>
      </c>
      <c r="AA104" s="16" t="n">
        <f aca="false">IF(B104=0,0,1)</f>
        <v>1</v>
      </c>
      <c r="AB104" s="0" t="n">
        <f aca="false">IF(C104=0,0,1)</f>
        <v>1</v>
      </c>
      <c r="AC104" s="0" t="n">
        <f aca="false">IF(D104=0,0,1)</f>
        <v>1</v>
      </c>
      <c r="AD104" s="0" t="n">
        <f aca="false">IF(E104=0,0,1)</f>
        <v>1</v>
      </c>
      <c r="AE104" s="0" t="n">
        <f aca="false">IF(F104=0,0,1)</f>
        <v>1</v>
      </c>
      <c r="AF104" s="0" t="n">
        <f aca="false">IF(G104=0,0,1)</f>
        <v>1</v>
      </c>
      <c r="AG104" s="0" t="n">
        <f aca="false">IF(H104=0,0,1)</f>
        <v>0</v>
      </c>
      <c r="AH104" s="0" t="n">
        <f aca="false">IF(I104=0,0,1)</f>
        <v>0</v>
      </c>
      <c r="AI104" s="0" t="n">
        <f aca="false">IF(J104=0,0,1)</f>
        <v>0</v>
      </c>
      <c r="AJ104" s="0" t="n">
        <f aca="false">IF(K104=0,0,1)</f>
        <v>0</v>
      </c>
      <c r="AK104" s="0" t="n">
        <f aca="false">IF(L104=0,0,1)</f>
        <v>0</v>
      </c>
      <c r="AL104" s="0" t="n">
        <f aca="false">IF(M104=0,0,1)</f>
        <v>0</v>
      </c>
      <c r="AM104" s="0" t="n">
        <f aca="false">IF(N104=0,0,1)</f>
        <v>0</v>
      </c>
      <c r="AN104" s="0" t="n">
        <f aca="false">IF(O104=0,0,1)</f>
        <v>0</v>
      </c>
      <c r="AO104" s="0" t="n">
        <f aca="false">IF(P104=0,0,1)</f>
        <v>0</v>
      </c>
      <c r="AP104" s="0" t="n">
        <f aca="false">IF(Q104=0,0,1)</f>
        <v>0</v>
      </c>
      <c r="AQ104" s="0" t="n">
        <f aca="false">IF(R104=0,0,1)</f>
        <v>0</v>
      </c>
      <c r="AR104" s="0" t="n">
        <f aca="false">IF(S104=0,0,1)</f>
        <v>0</v>
      </c>
      <c r="AS104" s="0" t="n">
        <f aca="false">IF(T104=0,0,1)</f>
        <v>0</v>
      </c>
      <c r="AT104" s="0" t="n">
        <f aca="false">IF(U104=0,0,1)</f>
        <v>0</v>
      </c>
      <c r="AU104" s="0" t="n">
        <f aca="false">IF(V104=0,0,1)</f>
        <v>0</v>
      </c>
      <c r="AV104" s="0" t="n">
        <f aca="false">IF(W104=0,0,1)</f>
        <v>0</v>
      </c>
      <c r="AW104" s="26" t="n">
        <f aca="false">SUM(AA104:AV104)</f>
        <v>6</v>
      </c>
      <c r="AX104" s="27" t="n">
        <f aca="false">IF(X104=0,0,X104)</f>
        <v>244</v>
      </c>
      <c r="AY104" s="1" t="str">
        <f aca="false">IF(X104=0,0,A104)</f>
        <v>BOBBY</v>
      </c>
      <c r="AZ104" s="28" t="str">
        <f aca="false">IF(AX104=0,0,A$102)</f>
        <v>THE BOYS</v>
      </c>
      <c r="BA104" s="29" t="n">
        <v>0</v>
      </c>
      <c r="BB104" s="30" t="n">
        <v>0</v>
      </c>
      <c r="BC104" s="31" t="n">
        <v>0</v>
      </c>
      <c r="BD104" s="27"/>
      <c r="BE104" s="26"/>
      <c r="BF104" s="32"/>
      <c r="BG104" s="33"/>
    </row>
    <row r="105" customFormat="false" ht="15" hidden="false" customHeight="false" outlineLevel="0" collapsed="false">
      <c r="A105" s="21" t="str">
        <f aca="false">B!B329</f>
        <v>MIKE</v>
      </c>
      <c r="B105" s="22" t="n">
        <f aca="false">C!B98</f>
        <v>37</v>
      </c>
      <c r="C105" s="22" t="n">
        <f aca="false">D!B98</f>
        <v>47</v>
      </c>
      <c r="D105" s="22" t="n">
        <f aca="false">E!B98</f>
        <v>41</v>
      </c>
      <c r="E105" s="22" t="n">
        <f aca="false">F!B98</f>
        <v>44</v>
      </c>
      <c r="F105" s="22" t="n">
        <f aca="false">G!B98</f>
        <v>37</v>
      </c>
      <c r="G105" s="22" t="n">
        <f aca="false">H!B98</f>
        <v>40</v>
      </c>
      <c r="H105" s="22" t="n">
        <f aca="false">I!B98</f>
        <v>0</v>
      </c>
      <c r="I105" s="22" t="n">
        <f aca="false">J!B98</f>
        <v>0</v>
      </c>
      <c r="J105" s="22" t="n">
        <f aca="false">K!B98</f>
        <v>0</v>
      </c>
      <c r="K105" s="22" t="n">
        <f aca="false">L!B98</f>
        <v>0</v>
      </c>
      <c r="L105" s="22" t="n">
        <f aca="false">M!B98</f>
        <v>0</v>
      </c>
      <c r="M105" s="22" t="n">
        <f aca="false">N!B98</f>
        <v>0</v>
      </c>
      <c r="N105" s="22" t="n">
        <f aca="false">O!B98</f>
        <v>0</v>
      </c>
      <c r="O105" s="22" t="n">
        <f aca="false">P!B98</f>
        <v>0</v>
      </c>
      <c r="P105" s="22" t="n">
        <f aca="false">Q!B98</f>
        <v>0</v>
      </c>
      <c r="Q105" s="22" t="n">
        <f aca="false">R!B98</f>
        <v>0</v>
      </c>
      <c r="R105" s="22" t="n">
        <f aca="false">S!B98</f>
        <v>0</v>
      </c>
      <c r="S105" s="22" t="n">
        <f aca="false">T!B98</f>
        <v>0</v>
      </c>
      <c r="T105" s="22" t="n">
        <f aca="false">U!B98</f>
        <v>0</v>
      </c>
      <c r="U105" s="22" t="n">
        <f aca="false">V!B98</f>
        <v>0</v>
      </c>
      <c r="V105" s="22" t="n">
        <f aca="false">W!B98</f>
        <v>0</v>
      </c>
      <c r="W105" s="22" t="n">
        <f aca="false">X!B98</f>
        <v>0</v>
      </c>
      <c r="X105" s="23" t="n">
        <f aca="false">SUM(B105:W105)</f>
        <v>246</v>
      </c>
      <c r="Y105" s="24" t="n">
        <f aca="false">IF(AW105=0,0,X105/AW105)</f>
        <v>41</v>
      </c>
      <c r="Z105" s="25" t="str">
        <f aca="false">A105</f>
        <v>MIKE</v>
      </c>
      <c r="AA105" s="16" t="n">
        <f aca="false">IF(B105=0,0,1)</f>
        <v>1</v>
      </c>
      <c r="AB105" s="0" t="n">
        <f aca="false">IF(C105=0,0,1)</f>
        <v>1</v>
      </c>
      <c r="AC105" s="0" t="n">
        <f aca="false">IF(D105=0,0,1)</f>
        <v>1</v>
      </c>
      <c r="AD105" s="0" t="n">
        <f aca="false">IF(E105=0,0,1)</f>
        <v>1</v>
      </c>
      <c r="AE105" s="0" t="n">
        <f aca="false">IF(F105=0,0,1)</f>
        <v>1</v>
      </c>
      <c r="AF105" s="0" t="n">
        <f aca="false">IF(G105=0,0,1)</f>
        <v>1</v>
      </c>
      <c r="AG105" s="0" t="n">
        <f aca="false">IF(H105=0,0,1)</f>
        <v>0</v>
      </c>
      <c r="AH105" s="0" t="n">
        <f aca="false">IF(I105=0,0,1)</f>
        <v>0</v>
      </c>
      <c r="AI105" s="0" t="n">
        <f aca="false">IF(J105=0,0,1)</f>
        <v>0</v>
      </c>
      <c r="AJ105" s="0" t="n">
        <f aca="false">IF(K105=0,0,1)</f>
        <v>0</v>
      </c>
      <c r="AK105" s="0" t="n">
        <f aca="false">IF(L105=0,0,1)</f>
        <v>0</v>
      </c>
      <c r="AL105" s="0" t="n">
        <f aca="false">IF(M105=0,0,1)</f>
        <v>0</v>
      </c>
      <c r="AM105" s="0" t="n">
        <f aca="false">IF(N105=0,0,1)</f>
        <v>0</v>
      </c>
      <c r="AN105" s="0" t="n">
        <f aca="false">IF(O105=0,0,1)</f>
        <v>0</v>
      </c>
      <c r="AO105" s="0" t="n">
        <f aca="false">IF(P105=0,0,1)</f>
        <v>0</v>
      </c>
      <c r="AP105" s="0" t="n">
        <f aca="false">IF(Q105=0,0,1)</f>
        <v>0</v>
      </c>
      <c r="AQ105" s="0" t="n">
        <f aca="false">IF(R105=0,0,1)</f>
        <v>0</v>
      </c>
      <c r="AR105" s="0" t="n">
        <f aca="false">IF(S105=0,0,1)</f>
        <v>0</v>
      </c>
      <c r="AS105" s="0" t="n">
        <f aca="false">IF(T105=0,0,1)</f>
        <v>0</v>
      </c>
      <c r="AT105" s="0" t="n">
        <f aca="false">IF(U105=0,0,1)</f>
        <v>0</v>
      </c>
      <c r="AU105" s="0" t="n">
        <f aca="false">IF(V105=0,0,1)</f>
        <v>0</v>
      </c>
      <c r="AV105" s="0" t="n">
        <f aca="false">IF(W105=0,0,1)</f>
        <v>0</v>
      </c>
      <c r="AW105" s="26" t="n">
        <f aca="false">SUM(AA105:AV105)</f>
        <v>6</v>
      </c>
      <c r="AX105" s="27" t="n">
        <f aca="false">IF(X105=0,0,X105)</f>
        <v>246</v>
      </c>
      <c r="AY105" s="1" t="str">
        <f aca="false">IF(X105=0,0,A105)</f>
        <v>MIKE</v>
      </c>
      <c r="AZ105" s="28" t="str">
        <f aca="false">IF(AX105=0,0,A$102)</f>
        <v>THE BOYS</v>
      </c>
      <c r="BA105" s="55" t="n">
        <v>0</v>
      </c>
      <c r="BB105" s="30" t="n">
        <v>0</v>
      </c>
      <c r="BC105" s="56" t="n">
        <v>0</v>
      </c>
      <c r="BD105" s="27"/>
      <c r="BE105" s="26"/>
      <c r="BF105" s="32"/>
      <c r="BG105" s="33"/>
    </row>
    <row r="106" customFormat="false" ht="15" hidden="false" customHeight="false" outlineLevel="0" collapsed="false">
      <c r="A106" s="21" t="str">
        <f aca="false">B!B334</f>
        <v>ROGER</v>
      </c>
      <c r="B106" s="22" t="n">
        <f aca="false">C!B99</f>
        <v>39</v>
      </c>
      <c r="C106" s="22" t="n">
        <f aca="false">D!B99</f>
        <v>34</v>
      </c>
      <c r="D106" s="22" t="n">
        <f aca="false">E!B99</f>
        <v>26</v>
      </c>
      <c r="E106" s="22" t="n">
        <f aca="false">F!B99</f>
        <v>42</v>
      </c>
      <c r="F106" s="22" t="n">
        <f aca="false">G!B99</f>
        <v>35</v>
      </c>
      <c r="G106" s="22" t="n">
        <f aca="false">H!B99</f>
        <v>42</v>
      </c>
      <c r="H106" s="22" t="n">
        <f aca="false">I!B99</f>
        <v>0</v>
      </c>
      <c r="I106" s="22" t="n">
        <f aca="false">J!B99</f>
        <v>0</v>
      </c>
      <c r="J106" s="22" t="n">
        <f aca="false">K!B99</f>
        <v>0</v>
      </c>
      <c r="K106" s="22" t="n">
        <f aca="false">L!B99</f>
        <v>0</v>
      </c>
      <c r="L106" s="22" t="n">
        <f aca="false">M!B99</f>
        <v>0</v>
      </c>
      <c r="M106" s="22" t="n">
        <f aca="false">N!B99</f>
        <v>0</v>
      </c>
      <c r="N106" s="22" t="n">
        <f aca="false">O!B99</f>
        <v>0</v>
      </c>
      <c r="O106" s="22" t="n">
        <f aca="false">P!B99</f>
        <v>0</v>
      </c>
      <c r="P106" s="22" t="n">
        <f aca="false">Q!B99</f>
        <v>0</v>
      </c>
      <c r="Q106" s="22" t="n">
        <f aca="false">R!B99</f>
        <v>0</v>
      </c>
      <c r="R106" s="22" t="n">
        <f aca="false">S!B99</f>
        <v>0</v>
      </c>
      <c r="S106" s="22" t="n">
        <f aca="false">T!B99</f>
        <v>0</v>
      </c>
      <c r="T106" s="22" t="n">
        <f aca="false">U!B99</f>
        <v>0</v>
      </c>
      <c r="U106" s="22" t="n">
        <f aca="false">V!B99</f>
        <v>0</v>
      </c>
      <c r="V106" s="22" t="n">
        <f aca="false">W!B99</f>
        <v>0</v>
      </c>
      <c r="W106" s="22" t="n">
        <f aca="false">X!B99</f>
        <v>0</v>
      </c>
      <c r="X106" s="23" t="n">
        <f aca="false">SUM(B106:W106)</f>
        <v>218</v>
      </c>
      <c r="Y106" s="24" t="n">
        <f aca="false">IF(AW106=0,0,X106/AW106)</f>
        <v>36.3333333333333</v>
      </c>
      <c r="Z106" s="25" t="str">
        <f aca="false">A106</f>
        <v>ROGER</v>
      </c>
      <c r="AA106" s="16" t="n">
        <f aca="false">IF(B106=0,0,1)</f>
        <v>1</v>
      </c>
      <c r="AB106" s="0" t="n">
        <f aca="false">IF(C106=0,0,1)</f>
        <v>1</v>
      </c>
      <c r="AC106" s="0" t="n">
        <f aca="false">IF(D106=0,0,1)</f>
        <v>1</v>
      </c>
      <c r="AD106" s="0" t="n">
        <f aca="false">IF(E106=0,0,1)</f>
        <v>1</v>
      </c>
      <c r="AE106" s="0" t="n">
        <f aca="false">IF(F106=0,0,1)</f>
        <v>1</v>
      </c>
      <c r="AF106" s="0" t="n">
        <f aca="false">IF(G106=0,0,1)</f>
        <v>1</v>
      </c>
      <c r="AG106" s="0" t="n">
        <f aca="false">IF(H106=0,0,1)</f>
        <v>0</v>
      </c>
      <c r="AH106" s="0" t="n">
        <f aca="false">IF(I106=0,0,1)</f>
        <v>0</v>
      </c>
      <c r="AI106" s="0" t="n">
        <f aca="false">IF(J106=0,0,1)</f>
        <v>0</v>
      </c>
      <c r="AJ106" s="0" t="n">
        <f aca="false">IF(K106=0,0,1)</f>
        <v>0</v>
      </c>
      <c r="AK106" s="0" t="n">
        <f aca="false">IF(L106=0,0,1)</f>
        <v>0</v>
      </c>
      <c r="AL106" s="0" t="n">
        <f aca="false">IF(M106=0,0,1)</f>
        <v>0</v>
      </c>
      <c r="AM106" s="0" t="n">
        <f aca="false">IF(N106=0,0,1)</f>
        <v>0</v>
      </c>
      <c r="AN106" s="0" t="n">
        <f aca="false">IF(O106=0,0,1)</f>
        <v>0</v>
      </c>
      <c r="AO106" s="0" t="n">
        <f aca="false">IF(P106=0,0,1)</f>
        <v>0</v>
      </c>
      <c r="AP106" s="0" t="n">
        <f aca="false">IF(Q106=0,0,1)</f>
        <v>0</v>
      </c>
      <c r="AQ106" s="0" t="n">
        <f aca="false">IF(R106=0,0,1)</f>
        <v>0</v>
      </c>
      <c r="AR106" s="0" t="n">
        <f aca="false">IF(S106=0,0,1)</f>
        <v>0</v>
      </c>
      <c r="AS106" s="0" t="n">
        <f aca="false">IF(T106=0,0,1)</f>
        <v>0</v>
      </c>
      <c r="AT106" s="0" t="n">
        <f aca="false">IF(U106=0,0,1)</f>
        <v>0</v>
      </c>
      <c r="AU106" s="0" t="n">
        <f aca="false">IF(V106=0,0,1)</f>
        <v>0</v>
      </c>
      <c r="AV106" s="0" t="n">
        <f aca="false">IF(W106=0,0,1)</f>
        <v>0</v>
      </c>
      <c r="AW106" s="26" t="n">
        <f aca="false">SUM(AA106:AV106)</f>
        <v>6</v>
      </c>
      <c r="AX106" s="27" t="n">
        <f aca="false">IF(X106=0,0,X106)</f>
        <v>218</v>
      </c>
      <c r="AY106" s="1" t="str">
        <f aca="false">IF(X106=0,0,A106)</f>
        <v>ROGER</v>
      </c>
      <c r="AZ106" s="28" t="str">
        <f aca="false">IF(AX106=0,0,A$102)</f>
        <v>THE BOYS</v>
      </c>
      <c r="BA106" s="55" t="n">
        <v>0</v>
      </c>
      <c r="BB106" s="30" t="n">
        <v>0</v>
      </c>
      <c r="BC106" s="56" t="n">
        <v>0</v>
      </c>
      <c r="BD106" s="27"/>
      <c r="BE106" s="26"/>
      <c r="BF106" s="32"/>
      <c r="BG106" s="33"/>
    </row>
    <row r="107" customFormat="false" ht="15" hidden="false" customHeight="false" outlineLevel="0" collapsed="false">
      <c r="A107" s="21" t="str">
        <f aca="false">B!B339</f>
        <v>JOHN B.</v>
      </c>
      <c r="B107" s="22" t="n">
        <f aca="false">C!B100</f>
        <v>44</v>
      </c>
      <c r="C107" s="22" t="n">
        <f aca="false">D!B100</f>
        <v>33</v>
      </c>
      <c r="D107" s="22" t="n">
        <f aca="false">E!B100</f>
        <v>39</v>
      </c>
      <c r="E107" s="22" t="n">
        <f aca="false">F!B100</f>
        <v>42</v>
      </c>
      <c r="F107" s="22" t="n">
        <f aca="false">G!B100</f>
        <v>40</v>
      </c>
      <c r="G107" s="22" t="n">
        <f aca="false">H!B100</f>
        <v>37</v>
      </c>
      <c r="H107" s="22" t="n">
        <f aca="false">I!B100</f>
        <v>0</v>
      </c>
      <c r="I107" s="22" t="n">
        <f aca="false">J!B100</f>
        <v>0</v>
      </c>
      <c r="J107" s="22" t="n">
        <f aca="false">K!B100</f>
        <v>0</v>
      </c>
      <c r="K107" s="22" t="n">
        <f aca="false">L!B100</f>
        <v>0</v>
      </c>
      <c r="L107" s="22" t="n">
        <f aca="false">M!B100</f>
        <v>0</v>
      </c>
      <c r="M107" s="22" t="n">
        <f aca="false">N!B100</f>
        <v>0</v>
      </c>
      <c r="N107" s="22" t="n">
        <f aca="false">O!B100</f>
        <v>0</v>
      </c>
      <c r="O107" s="22" t="n">
        <f aca="false">P!B100</f>
        <v>0</v>
      </c>
      <c r="P107" s="22" t="n">
        <f aca="false">Q!B100</f>
        <v>0</v>
      </c>
      <c r="Q107" s="22" t="n">
        <f aca="false">R!B100</f>
        <v>0</v>
      </c>
      <c r="R107" s="22" t="n">
        <f aca="false">S!B100</f>
        <v>0</v>
      </c>
      <c r="S107" s="22" t="n">
        <f aca="false">T!B100</f>
        <v>0</v>
      </c>
      <c r="T107" s="22" t="n">
        <f aca="false">U!B100</f>
        <v>0</v>
      </c>
      <c r="U107" s="22" t="n">
        <f aca="false">V!B100</f>
        <v>0</v>
      </c>
      <c r="V107" s="22" t="n">
        <f aca="false">W!B100</f>
        <v>0</v>
      </c>
      <c r="W107" s="22" t="n">
        <f aca="false">X!B100</f>
        <v>0</v>
      </c>
      <c r="X107" s="23" t="n">
        <f aca="false">SUM(B107:W107)</f>
        <v>235</v>
      </c>
      <c r="Y107" s="24" t="n">
        <f aca="false">IF(AW107=0,0,X107/AW107)</f>
        <v>39.1666666666667</v>
      </c>
      <c r="Z107" s="25" t="str">
        <f aca="false">A107</f>
        <v>JOHN B.</v>
      </c>
      <c r="AA107" s="16" t="n">
        <f aca="false">IF(B107=0,0,1)</f>
        <v>1</v>
      </c>
      <c r="AB107" s="0" t="n">
        <f aca="false">IF(C107=0,0,1)</f>
        <v>1</v>
      </c>
      <c r="AC107" s="0" t="n">
        <f aca="false">IF(D107=0,0,1)</f>
        <v>1</v>
      </c>
      <c r="AD107" s="0" t="n">
        <f aca="false">IF(E107=0,0,1)</f>
        <v>1</v>
      </c>
      <c r="AE107" s="0" t="n">
        <f aca="false">IF(F107=0,0,1)</f>
        <v>1</v>
      </c>
      <c r="AF107" s="0" t="n">
        <f aca="false">IF(G107=0,0,1)</f>
        <v>1</v>
      </c>
      <c r="AG107" s="0" t="n">
        <f aca="false">IF(H107=0,0,1)</f>
        <v>0</v>
      </c>
      <c r="AH107" s="0" t="n">
        <f aca="false">IF(I107=0,0,1)</f>
        <v>0</v>
      </c>
      <c r="AI107" s="0" t="n">
        <f aca="false">IF(J107=0,0,1)</f>
        <v>0</v>
      </c>
      <c r="AJ107" s="0" t="n">
        <f aca="false">IF(K107=0,0,1)</f>
        <v>0</v>
      </c>
      <c r="AK107" s="0" t="n">
        <f aca="false">IF(L107=0,0,1)</f>
        <v>0</v>
      </c>
      <c r="AL107" s="0" t="n">
        <f aca="false">IF(M107=0,0,1)</f>
        <v>0</v>
      </c>
      <c r="AM107" s="0" t="n">
        <f aca="false">IF(N107=0,0,1)</f>
        <v>0</v>
      </c>
      <c r="AN107" s="0" t="n">
        <f aca="false">IF(O107=0,0,1)</f>
        <v>0</v>
      </c>
      <c r="AO107" s="0" t="n">
        <f aca="false">IF(P107=0,0,1)</f>
        <v>0</v>
      </c>
      <c r="AP107" s="0" t="n">
        <f aca="false">IF(Q107=0,0,1)</f>
        <v>0</v>
      </c>
      <c r="AQ107" s="0" t="n">
        <f aca="false">IF(R107=0,0,1)</f>
        <v>0</v>
      </c>
      <c r="AR107" s="0" t="n">
        <f aca="false">IF(S107=0,0,1)</f>
        <v>0</v>
      </c>
      <c r="AS107" s="0" t="n">
        <f aca="false">IF(T107=0,0,1)</f>
        <v>0</v>
      </c>
      <c r="AT107" s="0" t="n">
        <f aca="false">IF(U107=0,0,1)</f>
        <v>0</v>
      </c>
      <c r="AU107" s="0" t="n">
        <f aca="false">IF(V107=0,0,1)</f>
        <v>0</v>
      </c>
      <c r="AV107" s="0" t="n">
        <f aca="false">IF(W107=0,0,1)</f>
        <v>0</v>
      </c>
      <c r="AW107" s="26" t="n">
        <f aca="false">SUM(AA107:AV107)</f>
        <v>6</v>
      </c>
      <c r="AX107" s="27" t="n">
        <f aca="false">IF(X107=0,0,X107)</f>
        <v>235</v>
      </c>
      <c r="AY107" s="1" t="str">
        <f aca="false">IF(X107=0,0,A107)</f>
        <v>JOHN B.</v>
      </c>
      <c r="AZ107" s="28" t="str">
        <f aca="false">IF(AX107=0,0,A$102)</f>
        <v>THE BOYS</v>
      </c>
      <c r="BA107" s="55" t="n">
        <v>0</v>
      </c>
      <c r="BB107" s="30" t="n">
        <v>0</v>
      </c>
      <c r="BC107" s="56" t="n">
        <v>0</v>
      </c>
      <c r="BD107" s="27"/>
      <c r="BE107" s="26"/>
      <c r="BF107" s="32"/>
      <c r="BG107" s="33"/>
    </row>
    <row r="108" customFormat="false" ht="15" hidden="false" customHeight="false" outlineLevel="0" collapsed="false">
      <c r="A108" s="21" t="n">
        <f aca="false">B!B344</f>
        <v>0</v>
      </c>
      <c r="B108" s="22" t="n">
        <f aca="false">C!B101</f>
        <v>0</v>
      </c>
      <c r="C108" s="22" t="n">
        <f aca="false">D!B101</f>
        <v>0</v>
      </c>
      <c r="D108" s="22" t="n">
        <f aca="false">E!B101</f>
        <v>0</v>
      </c>
      <c r="E108" s="22" t="n">
        <f aca="false">F!B101</f>
        <v>0</v>
      </c>
      <c r="F108" s="22" t="n">
        <f aca="false">G!B101</f>
        <v>0</v>
      </c>
      <c r="G108" s="22" t="n">
        <f aca="false">H!B101</f>
        <v>0</v>
      </c>
      <c r="H108" s="22" t="n">
        <f aca="false">I!B101</f>
        <v>0</v>
      </c>
      <c r="I108" s="22" t="n">
        <f aca="false">J!B101</f>
        <v>0</v>
      </c>
      <c r="J108" s="22" t="n">
        <f aca="false">K!B101</f>
        <v>0</v>
      </c>
      <c r="K108" s="22" t="n">
        <f aca="false">L!B101</f>
        <v>0</v>
      </c>
      <c r="L108" s="22" t="n">
        <f aca="false">M!B101</f>
        <v>0</v>
      </c>
      <c r="M108" s="22" t="n">
        <f aca="false">N!B101</f>
        <v>0</v>
      </c>
      <c r="N108" s="22" t="n">
        <f aca="false">O!B101</f>
        <v>0</v>
      </c>
      <c r="O108" s="22" t="n">
        <f aca="false">P!B101</f>
        <v>0</v>
      </c>
      <c r="P108" s="22" t="n">
        <f aca="false">Q!B101</f>
        <v>0</v>
      </c>
      <c r="Q108" s="22" t="n">
        <f aca="false">R!B101</f>
        <v>0</v>
      </c>
      <c r="R108" s="22" t="n">
        <f aca="false">S!B101</f>
        <v>0</v>
      </c>
      <c r="S108" s="22" t="n">
        <f aca="false">T!B101</f>
        <v>0</v>
      </c>
      <c r="T108" s="22" t="n">
        <f aca="false">U!B101</f>
        <v>0</v>
      </c>
      <c r="U108" s="22" t="n">
        <f aca="false">V!B101</f>
        <v>0</v>
      </c>
      <c r="V108" s="22" t="n">
        <f aca="false">W!B101</f>
        <v>0</v>
      </c>
      <c r="W108" s="22" t="n">
        <f aca="false">X!B101</f>
        <v>0</v>
      </c>
      <c r="X108" s="23" t="n">
        <f aca="false">SUM(B108:W108)</f>
        <v>0</v>
      </c>
      <c r="Y108" s="24" t="n">
        <f aca="false">IF(AW108=0,0,X108/AW108)</f>
        <v>0</v>
      </c>
      <c r="Z108" s="25" t="n">
        <f aca="false">A108</f>
        <v>0</v>
      </c>
      <c r="AA108" s="16" t="n">
        <f aca="false">IF(B108=0,0,1)</f>
        <v>0</v>
      </c>
      <c r="AB108" s="0" t="n">
        <f aca="false">IF(C108=0,0,1)</f>
        <v>0</v>
      </c>
      <c r="AC108" s="0" t="n">
        <f aca="false">IF(D108=0,0,1)</f>
        <v>0</v>
      </c>
      <c r="AD108" s="0" t="n">
        <f aca="false">IF(E108=0,0,1)</f>
        <v>0</v>
      </c>
      <c r="AE108" s="0" t="n">
        <f aca="false">IF(F108=0,0,1)</f>
        <v>0</v>
      </c>
      <c r="AF108" s="0" t="n">
        <f aca="false">IF(G108=0,0,1)</f>
        <v>0</v>
      </c>
      <c r="AG108" s="0" t="n">
        <f aca="false">IF(H108=0,0,1)</f>
        <v>0</v>
      </c>
      <c r="AH108" s="0" t="n">
        <f aca="false">IF(I108=0,0,1)</f>
        <v>0</v>
      </c>
      <c r="AI108" s="0" t="n">
        <f aca="false">IF(J108=0,0,1)</f>
        <v>0</v>
      </c>
      <c r="AJ108" s="0" t="n">
        <f aca="false">IF(K108=0,0,1)</f>
        <v>0</v>
      </c>
      <c r="AK108" s="0" t="n">
        <f aca="false">IF(L108=0,0,1)</f>
        <v>0</v>
      </c>
      <c r="AL108" s="0" t="n">
        <f aca="false">IF(M108=0,0,1)</f>
        <v>0</v>
      </c>
      <c r="AM108" s="0" t="n">
        <f aca="false">IF(N108=0,0,1)</f>
        <v>0</v>
      </c>
      <c r="AN108" s="0" t="n">
        <f aca="false">IF(O108=0,0,1)</f>
        <v>0</v>
      </c>
      <c r="AO108" s="0" t="n">
        <f aca="false">IF(P108=0,0,1)</f>
        <v>0</v>
      </c>
      <c r="AP108" s="0" t="n">
        <f aca="false">IF(Q108=0,0,1)</f>
        <v>0</v>
      </c>
      <c r="AQ108" s="0" t="n">
        <f aca="false">IF(R108=0,0,1)</f>
        <v>0</v>
      </c>
      <c r="AR108" s="0" t="n">
        <f aca="false">IF(S108=0,0,1)</f>
        <v>0</v>
      </c>
      <c r="AS108" s="0" t="n">
        <f aca="false">IF(T108=0,0,1)</f>
        <v>0</v>
      </c>
      <c r="AT108" s="0" t="n">
        <f aca="false">IF(U108=0,0,1)</f>
        <v>0</v>
      </c>
      <c r="AU108" s="0" t="n">
        <f aca="false">IF(V108=0,0,1)</f>
        <v>0</v>
      </c>
      <c r="AV108" s="0" t="n">
        <f aca="false">IF(W108=0,0,1)</f>
        <v>0</v>
      </c>
      <c r="AW108" s="26" t="n">
        <f aca="false">SUM(AA108:AV108)</f>
        <v>0</v>
      </c>
      <c r="AX108" s="27" t="n">
        <f aca="false">IF(X108=0,0,X108)</f>
        <v>0</v>
      </c>
      <c r="AY108" s="1" t="n">
        <f aca="false">IF(X108=0,0,A108)</f>
        <v>0</v>
      </c>
      <c r="AZ108" s="28" t="n">
        <f aca="false">IF(AX108=0,0,A$102)</f>
        <v>0</v>
      </c>
      <c r="BA108" s="55" t="n">
        <v>0</v>
      </c>
      <c r="BB108" s="30" t="n">
        <v>0</v>
      </c>
      <c r="BC108" s="56" t="n">
        <v>0</v>
      </c>
      <c r="BD108" s="27"/>
      <c r="BE108" s="26"/>
      <c r="BF108" s="32"/>
      <c r="BG108" s="33"/>
    </row>
    <row r="109" customFormat="false" ht="15" hidden="false" customHeight="false" outlineLevel="0" collapsed="false">
      <c r="A109" s="21" t="n">
        <f aca="false">B!B349</f>
        <v>0</v>
      </c>
      <c r="B109" s="22" t="n">
        <f aca="false">C!B102</f>
        <v>0</v>
      </c>
      <c r="C109" s="22" t="n">
        <f aca="false">D!B102</f>
        <v>0</v>
      </c>
      <c r="D109" s="22" t="n">
        <f aca="false">E!B102</f>
        <v>0</v>
      </c>
      <c r="E109" s="22" t="n">
        <f aca="false">F!B102</f>
        <v>0</v>
      </c>
      <c r="F109" s="22" t="n">
        <f aca="false">G!B102</f>
        <v>0</v>
      </c>
      <c r="G109" s="22" t="n">
        <f aca="false">H!B102</f>
        <v>0</v>
      </c>
      <c r="H109" s="22" t="n">
        <f aca="false">I!B102</f>
        <v>0</v>
      </c>
      <c r="I109" s="22" t="n">
        <f aca="false">J!B102</f>
        <v>0</v>
      </c>
      <c r="J109" s="22" t="n">
        <f aca="false">K!B102</f>
        <v>0</v>
      </c>
      <c r="K109" s="22" t="n">
        <f aca="false">L!B102</f>
        <v>0</v>
      </c>
      <c r="L109" s="22" t="n">
        <f aca="false">M!B102</f>
        <v>0</v>
      </c>
      <c r="M109" s="22" t="n">
        <f aca="false">N!B102</f>
        <v>0</v>
      </c>
      <c r="N109" s="22" t="n">
        <f aca="false">O!B102</f>
        <v>0</v>
      </c>
      <c r="O109" s="22" t="n">
        <f aca="false">P!B102</f>
        <v>0</v>
      </c>
      <c r="P109" s="22" t="n">
        <f aca="false">Q!B102</f>
        <v>0</v>
      </c>
      <c r="Q109" s="22" t="n">
        <f aca="false">R!B102</f>
        <v>0</v>
      </c>
      <c r="R109" s="22" t="n">
        <f aca="false">S!B102</f>
        <v>0</v>
      </c>
      <c r="S109" s="22" t="n">
        <f aca="false">T!B102</f>
        <v>0</v>
      </c>
      <c r="T109" s="22" t="n">
        <f aca="false">U!B102</f>
        <v>0</v>
      </c>
      <c r="U109" s="22" t="n">
        <f aca="false">V!B102</f>
        <v>0</v>
      </c>
      <c r="V109" s="22" t="n">
        <f aca="false">W!B102</f>
        <v>0</v>
      </c>
      <c r="W109" s="22" t="n">
        <f aca="false">X!B102</f>
        <v>0</v>
      </c>
      <c r="X109" s="23" t="n">
        <f aca="false">SUM(B109:W109)</f>
        <v>0</v>
      </c>
      <c r="Y109" s="24" t="n">
        <f aca="false">IF(AW109=0,0,X109/AW109)</f>
        <v>0</v>
      </c>
      <c r="Z109" s="25" t="n">
        <f aca="false">A109</f>
        <v>0</v>
      </c>
      <c r="AA109" s="16" t="n">
        <f aca="false">IF(B109=0,0,1)</f>
        <v>0</v>
      </c>
      <c r="AB109" s="0" t="n">
        <f aca="false">IF(C109=0,0,1)</f>
        <v>0</v>
      </c>
      <c r="AC109" s="0" t="n">
        <f aca="false">IF(D109=0,0,1)</f>
        <v>0</v>
      </c>
      <c r="AD109" s="0" t="n">
        <f aca="false">IF(E109=0,0,1)</f>
        <v>0</v>
      </c>
      <c r="AE109" s="0" t="n">
        <f aca="false">IF(F109=0,0,1)</f>
        <v>0</v>
      </c>
      <c r="AF109" s="0" t="n">
        <f aca="false">IF(G109=0,0,1)</f>
        <v>0</v>
      </c>
      <c r="AG109" s="0" t="n">
        <f aca="false">IF(H109=0,0,1)</f>
        <v>0</v>
      </c>
      <c r="AH109" s="0" t="n">
        <f aca="false">IF(I109=0,0,1)</f>
        <v>0</v>
      </c>
      <c r="AI109" s="0" t="n">
        <f aca="false">IF(J109=0,0,1)</f>
        <v>0</v>
      </c>
      <c r="AJ109" s="0" t="n">
        <f aca="false">IF(K109=0,0,1)</f>
        <v>0</v>
      </c>
      <c r="AK109" s="0" t="n">
        <f aca="false">IF(L109=0,0,1)</f>
        <v>0</v>
      </c>
      <c r="AL109" s="0" t="n">
        <f aca="false">IF(M109=0,0,1)</f>
        <v>0</v>
      </c>
      <c r="AM109" s="0" t="n">
        <f aca="false">IF(N109=0,0,1)</f>
        <v>0</v>
      </c>
      <c r="AN109" s="0" t="n">
        <f aca="false">IF(O109=0,0,1)</f>
        <v>0</v>
      </c>
      <c r="AO109" s="0" t="n">
        <f aca="false">IF(P109=0,0,1)</f>
        <v>0</v>
      </c>
      <c r="AP109" s="0" t="n">
        <f aca="false">IF(Q109=0,0,1)</f>
        <v>0</v>
      </c>
      <c r="AQ109" s="0" t="n">
        <f aca="false">IF(R109=0,0,1)</f>
        <v>0</v>
      </c>
      <c r="AR109" s="0" t="n">
        <f aca="false">IF(S109=0,0,1)</f>
        <v>0</v>
      </c>
      <c r="AS109" s="0" t="n">
        <f aca="false">IF(T109=0,0,1)</f>
        <v>0</v>
      </c>
      <c r="AT109" s="0" t="n">
        <f aca="false">IF(U109=0,0,1)</f>
        <v>0</v>
      </c>
      <c r="AU109" s="0" t="n">
        <f aca="false">IF(V109=0,0,1)</f>
        <v>0</v>
      </c>
      <c r="AV109" s="0" t="n">
        <f aca="false">IF(W109=0,0,1)</f>
        <v>0</v>
      </c>
      <c r="AW109" s="26" t="n">
        <f aca="false">SUM(AA109:AV109)</f>
        <v>0</v>
      </c>
      <c r="AX109" s="27" t="n">
        <f aca="false">IF(X109=0,0,X109)</f>
        <v>0</v>
      </c>
      <c r="AY109" s="1" t="n">
        <f aca="false">IF(X109=0,0,A109)</f>
        <v>0</v>
      </c>
      <c r="AZ109" s="28" t="n">
        <f aca="false">IF(AX109=0,0,A$102)</f>
        <v>0</v>
      </c>
      <c r="BA109" s="55" t="n">
        <v>0</v>
      </c>
      <c r="BB109" s="30" t="n">
        <v>0</v>
      </c>
      <c r="BC109" s="56" t="n">
        <v>0</v>
      </c>
      <c r="BD109" s="27"/>
      <c r="BE109" s="26"/>
      <c r="BF109" s="32"/>
      <c r="BG109" s="33"/>
    </row>
    <row r="110" customFormat="false" ht="15" hidden="false" customHeight="false" outlineLevel="0" collapsed="false">
      <c r="A110" s="16" t="n">
        <f aca="false">B!B354</f>
        <v>0</v>
      </c>
      <c r="B110" s="22" t="n">
        <f aca="false">C!B103</f>
        <v>0</v>
      </c>
      <c r="C110" s="22" t="n">
        <f aca="false">D!B103</f>
        <v>0</v>
      </c>
      <c r="D110" s="22" t="n">
        <f aca="false">E!B103</f>
        <v>0</v>
      </c>
      <c r="E110" s="22" t="n">
        <f aca="false">F!B103</f>
        <v>0</v>
      </c>
      <c r="F110" s="22" t="n">
        <f aca="false">G!B103</f>
        <v>0</v>
      </c>
      <c r="G110" s="22" t="n">
        <f aca="false">H!B103</f>
        <v>0</v>
      </c>
      <c r="H110" s="22" t="n">
        <f aca="false">I!B103</f>
        <v>0</v>
      </c>
      <c r="I110" s="22" t="n">
        <f aca="false">J!B103</f>
        <v>0</v>
      </c>
      <c r="J110" s="22" t="n">
        <f aca="false">K!B103</f>
        <v>0</v>
      </c>
      <c r="K110" s="22" t="n">
        <f aca="false">L!B103</f>
        <v>0</v>
      </c>
      <c r="L110" s="22" t="n">
        <f aca="false">M!B103</f>
        <v>0</v>
      </c>
      <c r="M110" s="22" t="n">
        <f aca="false">N!B103</f>
        <v>0</v>
      </c>
      <c r="N110" s="22" t="n">
        <f aca="false">O!B103</f>
        <v>0</v>
      </c>
      <c r="O110" s="22" t="n">
        <f aca="false">P!B103</f>
        <v>0</v>
      </c>
      <c r="P110" s="22" t="n">
        <f aca="false">Q!B103</f>
        <v>0</v>
      </c>
      <c r="Q110" s="22" t="n">
        <f aca="false">R!B103</f>
        <v>0</v>
      </c>
      <c r="R110" s="22" t="n">
        <f aca="false">S!B103</f>
        <v>0</v>
      </c>
      <c r="S110" s="22" t="n">
        <f aca="false">T!B103</f>
        <v>0</v>
      </c>
      <c r="T110" s="22" t="n">
        <f aca="false">U!B103</f>
        <v>0</v>
      </c>
      <c r="U110" s="22" t="n">
        <f aca="false">V!B103</f>
        <v>0</v>
      </c>
      <c r="V110" s="22" t="n">
        <f aca="false">W!B103</f>
        <v>0</v>
      </c>
      <c r="W110" s="22" t="n">
        <f aca="false">X!B103</f>
        <v>0</v>
      </c>
      <c r="X110" s="23" t="n">
        <f aca="false">SUM(B110:W110)</f>
        <v>0</v>
      </c>
      <c r="Y110" s="24" t="n">
        <f aca="false">IF(AW110=0,0,X110/AW110)</f>
        <v>0</v>
      </c>
      <c r="Z110" s="25" t="n">
        <f aca="false">A110</f>
        <v>0</v>
      </c>
      <c r="AA110" s="16" t="n">
        <f aca="false">IF(B110=0,0,1)</f>
        <v>0</v>
      </c>
      <c r="AB110" s="0" t="n">
        <f aca="false">IF(C110=0,0,1)</f>
        <v>0</v>
      </c>
      <c r="AC110" s="0" t="n">
        <f aca="false">IF(D110=0,0,1)</f>
        <v>0</v>
      </c>
      <c r="AD110" s="0" t="n">
        <f aca="false">IF(E110=0,0,1)</f>
        <v>0</v>
      </c>
      <c r="AE110" s="0" t="n">
        <f aca="false">IF(F110=0,0,1)</f>
        <v>0</v>
      </c>
      <c r="AF110" s="0" t="n">
        <f aca="false">IF(G110=0,0,1)</f>
        <v>0</v>
      </c>
      <c r="AG110" s="0" t="n">
        <f aca="false">IF(H110=0,0,1)</f>
        <v>0</v>
      </c>
      <c r="AH110" s="0" t="n">
        <f aca="false">IF(I110=0,0,1)</f>
        <v>0</v>
      </c>
      <c r="AI110" s="0" t="n">
        <f aca="false">IF(J110=0,0,1)</f>
        <v>0</v>
      </c>
      <c r="AJ110" s="0" t="n">
        <f aca="false">IF(K110=0,0,1)</f>
        <v>0</v>
      </c>
      <c r="AK110" s="0" t="n">
        <f aca="false">IF(L110=0,0,1)</f>
        <v>0</v>
      </c>
      <c r="AL110" s="0" t="n">
        <f aca="false">IF(M110=0,0,1)</f>
        <v>0</v>
      </c>
      <c r="AM110" s="0" t="n">
        <f aca="false">IF(N110=0,0,1)</f>
        <v>0</v>
      </c>
      <c r="AN110" s="0" t="n">
        <f aca="false">IF(O110=0,0,1)</f>
        <v>0</v>
      </c>
      <c r="AO110" s="0" t="n">
        <f aca="false">IF(P110=0,0,1)</f>
        <v>0</v>
      </c>
      <c r="AP110" s="0" t="n">
        <f aca="false">IF(Q110=0,0,1)</f>
        <v>0</v>
      </c>
      <c r="AQ110" s="0" t="n">
        <f aca="false">IF(R110=0,0,1)</f>
        <v>0</v>
      </c>
      <c r="AR110" s="0" t="n">
        <f aca="false">IF(S110=0,0,1)</f>
        <v>0</v>
      </c>
      <c r="AS110" s="0" t="n">
        <f aca="false">IF(T110=0,0,1)</f>
        <v>0</v>
      </c>
      <c r="AT110" s="0" t="n">
        <f aca="false">IF(U110=0,0,1)</f>
        <v>0</v>
      </c>
      <c r="AU110" s="0" t="n">
        <f aca="false">IF(V110=0,0,1)</f>
        <v>0</v>
      </c>
      <c r="AV110" s="0" t="n">
        <f aca="false">IF(W110=0,0,1)</f>
        <v>0</v>
      </c>
      <c r="AW110" s="26" t="n">
        <f aca="false">SUM(AA110:AV110)</f>
        <v>0</v>
      </c>
      <c r="AX110" s="27" t="n">
        <f aca="false">IF(X110=0,0,X110)</f>
        <v>0</v>
      </c>
      <c r="AY110" s="1" t="n">
        <f aca="false">IF(X110=0,0,A110)</f>
        <v>0</v>
      </c>
      <c r="AZ110" s="28" t="n">
        <f aca="false">IF(AX110=0,0,A$102)</f>
        <v>0</v>
      </c>
      <c r="BA110" s="55" t="n">
        <v>0</v>
      </c>
      <c r="BB110" s="30" t="n">
        <v>0</v>
      </c>
      <c r="BC110" s="56" t="n">
        <v>0</v>
      </c>
      <c r="BD110" s="27"/>
      <c r="BE110" s="26"/>
      <c r="BF110" s="32"/>
      <c r="BG110" s="33"/>
    </row>
    <row r="111" customFormat="false" ht="15" hidden="false" customHeight="false" outlineLevel="0" collapsed="false">
      <c r="A111" s="38" t="s">
        <v>60</v>
      </c>
      <c r="B111" s="39" t="n">
        <f aca="false">SUM(B103:B110)</f>
        <v>205</v>
      </c>
      <c r="C111" s="39" t="n">
        <f aca="false">SUM(C103:C110)</f>
        <v>183</v>
      </c>
      <c r="D111" s="39" t="n">
        <f aca="false">SUM(D103:D110)</f>
        <v>192</v>
      </c>
      <c r="E111" s="39" t="n">
        <f aca="false">SUM(E103:E110)</f>
        <v>208</v>
      </c>
      <c r="F111" s="39" t="n">
        <f aca="false">SUM(F103:F110)</f>
        <v>184</v>
      </c>
      <c r="G111" s="39" t="n">
        <f aca="false">SUM(G103:G110)</f>
        <v>203</v>
      </c>
      <c r="H111" s="39" t="n">
        <f aca="false">SUM(H103:H110)</f>
        <v>0</v>
      </c>
      <c r="I111" s="39" t="n">
        <f aca="false">SUM(I103:I110)</f>
        <v>0</v>
      </c>
      <c r="J111" s="39" t="n">
        <f aca="false">SUM(J103:J110)</f>
        <v>0</v>
      </c>
      <c r="K111" s="39" t="n">
        <f aca="false">SUM(K103:K110)</f>
        <v>0</v>
      </c>
      <c r="L111" s="39" t="n">
        <f aca="false">SUM(L103:L110)</f>
        <v>0</v>
      </c>
      <c r="M111" s="39" t="n">
        <f aca="false">SUM(M103:M110)</f>
        <v>0</v>
      </c>
      <c r="N111" s="39" t="n">
        <f aca="false">SUM(N103:N110)</f>
        <v>0</v>
      </c>
      <c r="O111" s="39" t="n">
        <f aca="false">SUM(O103:O110)</f>
        <v>0</v>
      </c>
      <c r="P111" s="39" t="n">
        <f aca="false">SUM(P103:P110)</f>
        <v>0</v>
      </c>
      <c r="Q111" s="39" t="n">
        <f aca="false">SUM(Q103:Q110)</f>
        <v>0</v>
      </c>
      <c r="R111" s="39" t="n">
        <f aca="false">SUM(R103:R110)</f>
        <v>0</v>
      </c>
      <c r="S111" s="39" t="n">
        <f aca="false">SUM(S103:S110)</f>
        <v>0</v>
      </c>
      <c r="T111" s="39" t="n">
        <f aca="false">SUM(T103:T110)</f>
        <v>0</v>
      </c>
      <c r="U111" s="39" t="n">
        <f aca="false">SUM(U103:U110)</f>
        <v>0</v>
      </c>
      <c r="V111" s="39" t="n">
        <f aca="false">SUM(V103:V110)</f>
        <v>0</v>
      </c>
      <c r="W111" s="39" t="n">
        <f aca="false">SUM(W103:W110)</f>
        <v>0</v>
      </c>
      <c r="X111" s="40" t="n">
        <f aca="false">SUM(B111:W111)</f>
        <v>1175</v>
      </c>
      <c r="Y111" s="41" t="n">
        <f aca="false">IF(X111=0,0,X111/AW111)</f>
        <v>195.833333333333</v>
      </c>
      <c r="Z111" s="25"/>
      <c r="AA111" s="42" t="n">
        <f aca="false">SUM(AA103:AA110)</f>
        <v>5</v>
      </c>
      <c r="AB111" s="43" t="n">
        <f aca="false">SUM(AB103:AB110)</f>
        <v>5</v>
      </c>
      <c r="AC111" s="43" t="n">
        <f aca="false">SUM(AC103:AC110)</f>
        <v>5</v>
      </c>
      <c r="AD111" s="43" t="n">
        <f aca="false">SUM(AD103:AD110)</f>
        <v>5</v>
      </c>
      <c r="AE111" s="43" t="n">
        <f aca="false">SUM(AE103:AE110)</f>
        <v>5</v>
      </c>
      <c r="AF111" s="43" t="n">
        <f aca="false">SUM(AF103:AF110)</f>
        <v>5</v>
      </c>
      <c r="AG111" s="43" t="n">
        <f aca="false">SUM(AG103:AG110)</f>
        <v>0</v>
      </c>
      <c r="AH111" s="43" t="n">
        <f aca="false">SUM(AH103:AH110)</f>
        <v>0</v>
      </c>
      <c r="AI111" s="43" t="n">
        <f aca="false">SUM(AI103:AI110)</f>
        <v>0</v>
      </c>
      <c r="AJ111" s="43" t="n">
        <f aca="false">SUM(AJ103:AJ110)</f>
        <v>0</v>
      </c>
      <c r="AK111" s="43" t="n">
        <f aca="false">SUM(AK103:AK110)</f>
        <v>0</v>
      </c>
      <c r="AL111" s="43" t="n">
        <f aca="false">SUM(AL103:AL110)</f>
        <v>0</v>
      </c>
      <c r="AM111" s="43" t="n">
        <f aca="false">SUM(AM103:AM110)</f>
        <v>0</v>
      </c>
      <c r="AN111" s="43" t="n">
        <f aca="false">SUM(AN103:AN110)</f>
        <v>0</v>
      </c>
      <c r="AO111" s="43" t="n">
        <f aca="false">SUM(AO103:AO110)</f>
        <v>0</v>
      </c>
      <c r="AP111" s="43" t="n">
        <f aca="false">SUM(AP103:AP110)</f>
        <v>0</v>
      </c>
      <c r="AQ111" s="43" t="n">
        <f aca="false">SUM(AQ103:AQ110)</f>
        <v>0</v>
      </c>
      <c r="AR111" s="43" t="n">
        <f aca="false">SUM(AR103:AR110)</f>
        <v>0</v>
      </c>
      <c r="AS111" s="43" t="n">
        <f aca="false">SUM(AS103:AS110)</f>
        <v>0</v>
      </c>
      <c r="AT111" s="43" t="n">
        <f aca="false">SUM(AT103:AT110)</f>
        <v>0</v>
      </c>
      <c r="AU111" s="43" t="n">
        <f aca="false">SUM(AU103:AU110)</f>
        <v>0</v>
      </c>
      <c r="AV111" s="43" t="n">
        <f aca="false">SUM(AV103:AV110)</f>
        <v>0</v>
      </c>
      <c r="AW111" s="44" t="n">
        <f aca="false">MAXA(AW103:AW110)</f>
        <v>6</v>
      </c>
      <c r="AX111" s="27"/>
      <c r="AZ111" s="28"/>
      <c r="BA111" s="55" t="n">
        <v>0</v>
      </c>
      <c r="BB111" s="30" t="n">
        <v>0</v>
      </c>
      <c r="BC111" s="56" t="n">
        <v>0</v>
      </c>
      <c r="BD111" s="27"/>
      <c r="BE111" s="26"/>
      <c r="BF111" s="32"/>
      <c r="BG111" s="33"/>
    </row>
    <row r="112" customFormat="false" ht="15" hidden="false" customHeight="false" outlineLevel="0" collapsed="false">
      <c r="A112" s="54" t="s">
        <v>64</v>
      </c>
      <c r="B112" s="22" t="n">
        <f aca="false">C!B104</f>
        <v>0</v>
      </c>
      <c r="C112" s="22" t="n">
        <f aca="false">D!B104</f>
        <v>0</v>
      </c>
      <c r="D112" s="22" t="n">
        <f aca="false">E!B104</f>
        <v>4.95</v>
      </c>
      <c r="E112" s="22" t="n">
        <f aca="false">F!B104</f>
        <v>0</v>
      </c>
      <c r="F112" s="22" t="n">
        <f aca="false">G!B104</f>
        <v>0</v>
      </c>
      <c r="G112" s="22" t="n">
        <f aca="false">H!B104</f>
        <v>0</v>
      </c>
      <c r="H112" s="22" t="n">
        <f aca="false">I!B104</f>
        <v>0</v>
      </c>
      <c r="I112" s="22" t="n">
        <f aca="false">J!B104</f>
        <v>0</v>
      </c>
      <c r="J112" s="22" t="n">
        <f aca="false">K!B104</f>
        <v>0</v>
      </c>
      <c r="K112" s="22" t="n">
        <f aca="false">L!B104</f>
        <v>0</v>
      </c>
      <c r="L112" s="22" t="n">
        <f aca="false">M!B104</f>
        <v>0</v>
      </c>
      <c r="M112" s="22" t="n">
        <f aca="false">N!B104</f>
        <v>0</v>
      </c>
      <c r="N112" s="22" t="n">
        <f aca="false">O!B104</f>
        <v>0</v>
      </c>
      <c r="O112" s="22" t="n">
        <f aca="false">P!B104</f>
        <v>0</v>
      </c>
      <c r="P112" s="22" t="n">
        <f aca="false">Q!B104</f>
        <v>0</v>
      </c>
      <c r="Q112" s="22" t="n">
        <f aca="false">R!B104</f>
        <v>0</v>
      </c>
      <c r="R112" s="22" t="n">
        <f aca="false">S!B104</f>
        <v>0</v>
      </c>
      <c r="S112" s="22" t="n">
        <f aca="false">T!B104</f>
        <v>0</v>
      </c>
      <c r="T112" s="22" t="n">
        <f aca="false">U!B104</f>
        <v>0</v>
      </c>
      <c r="U112" s="22" t="n">
        <f aca="false">V!B104</f>
        <v>0</v>
      </c>
      <c r="V112" s="22" t="n">
        <f aca="false">W!B104</f>
        <v>0</v>
      </c>
      <c r="W112" s="22" t="n">
        <f aca="false">X!B104</f>
        <v>0</v>
      </c>
      <c r="X112" s="23" t="n">
        <f aca="false">SUM(B112:W112)</f>
        <v>4.95</v>
      </c>
      <c r="Y112" s="47"/>
      <c r="Z112" s="25"/>
      <c r="AA112" s="16"/>
      <c r="AW112" s="26"/>
      <c r="AX112" s="27"/>
      <c r="AZ112" s="28"/>
      <c r="BA112" s="55" t="n">
        <v>0</v>
      </c>
      <c r="BB112" s="30" t="n">
        <v>0</v>
      </c>
      <c r="BC112" s="56" t="n">
        <v>0</v>
      </c>
      <c r="BD112" s="27"/>
      <c r="BE112" s="26"/>
      <c r="BF112" s="32"/>
      <c r="BG112" s="33"/>
    </row>
    <row r="113" customFormat="false" ht="15" hidden="false" customHeight="false" outlineLevel="0" collapsed="false">
      <c r="A113" s="48" t="s">
        <v>68</v>
      </c>
      <c r="B113" s="49" t="n">
        <f aca="false">SUM(B111:B112)</f>
        <v>205</v>
      </c>
      <c r="C113" s="49" t="n">
        <f aca="false">SUM(C111:C112)</f>
        <v>183</v>
      </c>
      <c r="D113" s="49" t="n">
        <f aca="false">SUM(D111:D112)</f>
        <v>196.95</v>
      </c>
      <c r="E113" s="49" t="n">
        <f aca="false">SUM(E111:E112)</f>
        <v>208</v>
      </c>
      <c r="F113" s="49" t="n">
        <f aca="false">SUM(F111:F112)</f>
        <v>184</v>
      </c>
      <c r="G113" s="49" t="n">
        <f aca="false">SUM(G111:G112)</f>
        <v>203</v>
      </c>
      <c r="H113" s="49" t="n">
        <f aca="false">SUM(H111:H112)</f>
        <v>0</v>
      </c>
      <c r="I113" s="49" t="n">
        <f aca="false">SUM(I111:I112)</f>
        <v>0</v>
      </c>
      <c r="J113" s="49" t="n">
        <f aca="false">SUM(J111:J112)</f>
        <v>0</v>
      </c>
      <c r="K113" s="49" t="n">
        <f aca="false">SUM(K111:K112)</f>
        <v>0</v>
      </c>
      <c r="L113" s="49" t="n">
        <f aca="false">SUM(L111:L112)</f>
        <v>0</v>
      </c>
      <c r="M113" s="49" t="n">
        <f aca="false">SUM(M111:M112)</f>
        <v>0</v>
      </c>
      <c r="N113" s="49" t="n">
        <f aca="false">SUM(N111:N112)</f>
        <v>0</v>
      </c>
      <c r="O113" s="49" t="n">
        <f aca="false">SUM(O111:O112)</f>
        <v>0</v>
      </c>
      <c r="P113" s="49" t="n">
        <f aca="false">SUM(P111:P112)</f>
        <v>0</v>
      </c>
      <c r="Q113" s="49" t="n">
        <f aca="false">SUM(Q111:Q112)</f>
        <v>0</v>
      </c>
      <c r="R113" s="49" t="n">
        <f aca="false">SUM(R111:R112)</f>
        <v>0</v>
      </c>
      <c r="S113" s="49" t="n">
        <f aca="false">SUM(S111:S112)</f>
        <v>0</v>
      </c>
      <c r="T113" s="49" t="n">
        <f aca="false">SUM(T111:T112)</f>
        <v>0</v>
      </c>
      <c r="U113" s="49" t="n">
        <f aca="false">SUM(U111:U112)</f>
        <v>0</v>
      </c>
      <c r="V113" s="49" t="n">
        <f aca="false">SUM(V111:V112)</f>
        <v>0</v>
      </c>
      <c r="W113" s="49" t="n">
        <f aca="false">SUM(W111:W112)</f>
        <v>0</v>
      </c>
      <c r="X113" s="50" t="n">
        <f aca="false">SUM(B113:W113)</f>
        <v>1179.95</v>
      </c>
      <c r="Y113" s="51"/>
      <c r="Z113" s="25"/>
      <c r="AA113" s="16"/>
      <c r="AW113" s="26"/>
      <c r="AX113" s="27"/>
      <c r="AZ113" s="28"/>
      <c r="BA113" s="55" t="n">
        <v>0</v>
      </c>
      <c r="BB113" s="30" t="n">
        <v>0</v>
      </c>
      <c r="BC113" s="56" t="n">
        <v>0</v>
      </c>
      <c r="BD113" s="27" t="n">
        <f aca="false">X113</f>
        <v>1179.95</v>
      </c>
      <c r="BE113" s="26" t="str">
        <f aca="false">A102</f>
        <v>THE BOYS</v>
      </c>
      <c r="BF113" s="32"/>
      <c r="BG113" s="33"/>
    </row>
    <row r="114" customFormat="false" ht="15" hidden="false" customHeight="false" outlineLevel="0" collapsed="false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5"/>
      <c r="AA114" s="16"/>
      <c r="AW114" s="26"/>
      <c r="AX114" s="27"/>
      <c r="AZ114" s="28"/>
      <c r="BA114" s="55" t="n">
        <v>0</v>
      </c>
      <c r="BB114" s="30" t="n">
        <v>0</v>
      </c>
      <c r="BC114" s="56" t="n">
        <v>0</v>
      </c>
      <c r="BD114" s="27"/>
      <c r="BE114" s="26"/>
      <c r="BF114" s="32"/>
      <c r="BG114" s="33"/>
    </row>
    <row r="115" customFormat="false" ht="15" hidden="false" customHeight="false" outlineLevel="0" collapsed="false">
      <c r="A115" s="5" t="s">
        <v>131</v>
      </c>
      <c r="B115" s="6" t="s">
        <v>1</v>
      </c>
      <c r="C115" s="6" t="s">
        <v>2</v>
      </c>
      <c r="D115" s="6" t="s">
        <v>3</v>
      </c>
      <c r="E115" s="6" t="s">
        <v>4</v>
      </c>
      <c r="F115" s="6" t="s">
        <v>5</v>
      </c>
      <c r="G115" s="6" t="s">
        <v>6</v>
      </c>
      <c r="H115" s="6" t="s">
        <v>7</v>
      </c>
      <c r="I115" s="6" t="s">
        <v>8</v>
      </c>
      <c r="J115" s="6" t="s">
        <v>9</v>
      </c>
      <c r="K115" s="6" t="s">
        <v>10</v>
      </c>
      <c r="L115" s="6" t="s">
        <v>11</v>
      </c>
      <c r="M115" s="6" t="s">
        <v>12</v>
      </c>
      <c r="N115" s="6" t="s">
        <v>13</v>
      </c>
      <c r="O115" s="6" t="s">
        <v>14</v>
      </c>
      <c r="P115" s="6" t="s">
        <v>15</v>
      </c>
      <c r="Q115" s="6" t="s">
        <v>16</v>
      </c>
      <c r="R115" s="6" t="s">
        <v>17</v>
      </c>
      <c r="S115" s="6" t="s">
        <v>18</v>
      </c>
      <c r="T115" s="6" t="s">
        <v>19</v>
      </c>
      <c r="U115" s="6" t="s">
        <v>20</v>
      </c>
      <c r="V115" s="6" t="s">
        <v>21</v>
      </c>
      <c r="W115" s="6" t="s">
        <v>22</v>
      </c>
      <c r="X115" s="34"/>
      <c r="Y115" s="34"/>
      <c r="Z115" s="4" t="str">
        <f aca="false">A115</f>
        <v>Team #9 Name:</v>
      </c>
      <c r="AA115" s="16"/>
      <c r="AW115" s="26"/>
      <c r="AX115" s="27"/>
      <c r="AZ115" s="28"/>
      <c r="BA115" s="55" t="n">
        <v>0</v>
      </c>
      <c r="BB115" s="30" t="n">
        <v>0</v>
      </c>
      <c r="BC115" s="56" t="n">
        <v>0</v>
      </c>
      <c r="BD115" s="27"/>
      <c r="BE115" s="26"/>
      <c r="BF115" s="32"/>
      <c r="BG115" s="33"/>
    </row>
    <row r="116" customFormat="false" ht="15" hidden="false" customHeight="false" outlineLevel="0" collapsed="false">
      <c r="A116" s="11" t="str">
        <f aca="false">B!B360</f>
        <v>THE DOUGERNAUTS</v>
      </c>
      <c r="B116" s="52" t="s">
        <v>28</v>
      </c>
      <c r="C116" s="52" t="s">
        <v>28</v>
      </c>
      <c r="D116" s="52" t="s">
        <v>28</v>
      </c>
      <c r="E116" s="52" t="s">
        <v>28</v>
      </c>
      <c r="F116" s="52" t="s">
        <v>28</v>
      </c>
      <c r="G116" s="52" t="s">
        <v>28</v>
      </c>
      <c r="H116" s="52" t="s">
        <v>28</v>
      </c>
      <c r="I116" s="52" t="s">
        <v>28</v>
      </c>
      <c r="J116" s="52" t="s">
        <v>28</v>
      </c>
      <c r="K116" s="52" t="s">
        <v>28</v>
      </c>
      <c r="L116" s="52" t="s">
        <v>28</v>
      </c>
      <c r="M116" s="52" t="s">
        <v>28</v>
      </c>
      <c r="N116" s="52" t="s">
        <v>28</v>
      </c>
      <c r="O116" s="52" t="s">
        <v>28</v>
      </c>
      <c r="P116" s="52" t="s">
        <v>28</v>
      </c>
      <c r="Q116" s="52" t="s">
        <v>28</v>
      </c>
      <c r="R116" s="52" t="s">
        <v>28</v>
      </c>
      <c r="S116" s="52" t="s">
        <v>28</v>
      </c>
      <c r="T116" s="52" t="s">
        <v>28</v>
      </c>
      <c r="U116" s="52" t="s">
        <v>28</v>
      </c>
      <c r="V116" s="52" t="s">
        <v>28</v>
      </c>
      <c r="W116" s="52" t="s">
        <v>28</v>
      </c>
      <c r="X116" s="13" t="s">
        <v>29</v>
      </c>
      <c r="Y116" s="14" t="s">
        <v>30</v>
      </c>
      <c r="Z116" s="15" t="str">
        <f aca="false">A116</f>
        <v>THE DOUGERNAUTS</v>
      </c>
      <c r="AA116" s="16"/>
      <c r="AW116" s="17" t="s">
        <v>31</v>
      </c>
      <c r="AX116" s="27"/>
      <c r="AZ116" s="28"/>
      <c r="BA116" s="55" t="n">
        <v>0</v>
      </c>
      <c r="BB116" s="30" t="n">
        <v>0</v>
      </c>
      <c r="BC116" s="56" t="n">
        <v>0</v>
      </c>
      <c r="BD116" s="27"/>
      <c r="BE116" s="26"/>
      <c r="BF116" s="32"/>
      <c r="BG116" s="33"/>
    </row>
    <row r="117" customFormat="false" ht="15" hidden="false" customHeight="false" outlineLevel="0" collapsed="false">
      <c r="A117" s="21" t="str">
        <f aca="false">B!B362</f>
        <v>MICHAEL</v>
      </c>
      <c r="B117" s="22" t="n">
        <f aca="false">C!B109</f>
        <v>47</v>
      </c>
      <c r="C117" s="22" t="n">
        <f aca="false">D!B109</f>
        <v>27</v>
      </c>
      <c r="D117" s="22" t="n">
        <f aca="false">E!B109</f>
        <v>40</v>
      </c>
      <c r="E117" s="22" t="n">
        <f aca="false">F!B109</f>
        <v>37</v>
      </c>
      <c r="F117" s="22" t="n">
        <f aca="false">G!B109</f>
        <v>44</v>
      </c>
      <c r="G117" s="22" t="n">
        <f aca="false">H!B109</f>
        <v>50</v>
      </c>
      <c r="H117" s="22" t="n">
        <f aca="false">I!B109</f>
        <v>0</v>
      </c>
      <c r="I117" s="22" t="n">
        <f aca="false">J!B109</f>
        <v>0</v>
      </c>
      <c r="J117" s="22" t="n">
        <f aca="false">K!B109</f>
        <v>0</v>
      </c>
      <c r="K117" s="22" t="n">
        <f aca="false">L!B109</f>
        <v>0</v>
      </c>
      <c r="L117" s="22" t="n">
        <f aca="false">M!B109</f>
        <v>0</v>
      </c>
      <c r="M117" s="22" t="n">
        <f aca="false">N!B109</f>
        <v>0</v>
      </c>
      <c r="N117" s="22" t="n">
        <f aca="false">O!B109</f>
        <v>0</v>
      </c>
      <c r="O117" s="22" t="n">
        <f aca="false">P!B109</f>
        <v>0</v>
      </c>
      <c r="P117" s="22" t="n">
        <f aca="false">Q!B109</f>
        <v>0</v>
      </c>
      <c r="Q117" s="22" t="n">
        <f aca="false">R!B109</f>
        <v>0</v>
      </c>
      <c r="R117" s="22" t="n">
        <f aca="false">S!B109</f>
        <v>0</v>
      </c>
      <c r="S117" s="22" t="n">
        <f aca="false">T!B109</f>
        <v>0</v>
      </c>
      <c r="T117" s="22" t="n">
        <f aca="false">U!B109</f>
        <v>0</v>
      </c>
      <c r="U117" s="22" t="n">
        <f aca="false">V!B109</f>
        <v>0</v>
      </c>
      <c r="V117" s="22" t="n">
        <f aca="false">W!B109</f>
        <v>0</v>
      </c>
      <c r="W117" s="22" t="n">
        <f aca="false">X!B109</f>
        <v>0</v>
      </c>
      <c r="X117" s="23" t="n">
        <f aca="false">SUM(B117:W117)</f>
        <v>245</v>
      </c>
      <c r="Y117" s="24" t="n">
        <f aca="false">IF(AW117=0,0,X117/AW117)</f>
        <v>40.8333333333333</v>
      </c>
      <c r="Z117" s="25" t="str">
        <f aca="false">A117</f>
        <v>MICHAEL</v>
      </c>
      <c r="AA117" s="16" t="n">
        <f aca="false">IF(B117=0,0,1)</f>
        <v>1</v>
      </c>
      <c r="AB117" s="0" t="n">
        <f aca="false">IF(C117=0,0,1)</f>
        <v>1</v>
      </c>
      <c r="AC117" s="0" t="n">
        <f aca="false">IF(D117=0,0,1)</f>
        <v>1</v>
      </c>
      <c r="AD117" s="0" t="n">
        <f aca="false">IF(E117=0,0,1)</f>
        <v>1</v>
      </c>
      <c r="AE117" s="0" t="n">
        <f aca="false">IF(F117=0,0,1)</f>
        <v>1</v>
      </c>
      <c r="AF117" s="0" t="n">
        <f aca="false">IF(G117=0,0,1)</f>
        <v>1</v>
      </c>
      <c r="AG117" s="0" t="n">
        <f aca="false">IF(H117=0,0,1)</f>
        <v>0</v>
      </c>
      <c r="AH117" s="0" t="n">
        <f aca="false">IF(I117=0,0,1)</f>
        <v>0</v>
      </c>
      <c r="AI117" s="0" t="n">
        <f aca="false">IF(J117=0,0,1)</f>
        <v>0</v>
      </c>
      <c r="AJ117" s="0" t="n">
        <f aca="false">IF(K117=0,0,1)</f>
        <v>0</v>
      </c>
      <c r="AK117" s="0" t="n">
        <f aca="false">IF(L117=0,0,1)</f>
        <v>0</v>
      </c>
      <c r="AL117" s="0" t="n">
        <f aca="false">IF(M117=0,0,1)</f>
        <v>0</v>
      </c>
      <c r="AM117" s="0" t="n">
        <f aca="false">IF(N117=0,0,1)</f>
        <v>0</v>
      </c>
      <c r="AN117" s="0" t="n">
        <f aca="false">IF(O117=0,0,1)</f>
        <v>0</v>
      </c>
      <c r="AO117" s="0" t="n">
        <f aca="false">IF(P117=0,0,1)</f>
        <v>0</v>
      </c>
      <c r="AP117" s="0" t="n">
        <f aca="false">IF(Q117=0,0,1)</f>
        <v>0</v>
      </c>
      <c r="AQ117" s="0" t="n">
        <f aca="false">IF(R117=0,0,1)</f>
        <v>0</v>
      </c>
      <c r="AR117" s="0" t="n">
        <f aca="false">IF(S117=0,0,1)</f>
        <v>0</v>
      </c>
      <c r="AS117" s="0" t="n">
        <f aca="false">IF(T117=0,0,1)</f>
        <v>0</v>
      </c>
      <c r="AT117" s="0" t="n">
        <f aca="false">IF(U117=0,0,1)</f>
        <v>0</v>
      </c>
      <c r="AU117" s="0" t="n">
        <f aca="false">IF(V117=0,0,1)</f>
        <v>0</v>
      </c>
      <c r="AV117" s="0" t="n">
        <f aca="false">IF(W117=0,0,1)</f>
        <v>0</v>
      </c>
      <c r="AW117" s="26" t="n">
        <f aca="false">SUM(AA117:AV117)</f>
        <v>6</v>
      </c>
      <c r="AX117" s="27" t="n">
        <f aca="false">IF(X117=0,0,X117)</f>
        <v>245</v>
      </c>
      <c r="AY117" s="1" t="str">
        <f aca="false">IF(X117=0,0,A117)</f>
        <v>MICHAEL</v>
      </c>
      <c r="AZ117" s="28" t="str">
        <f aca="false">IF(AX117=0,0,A$116)</f>
        <v>THE DOUGERNAUTS</v>
      </c>
      <c r="BA117" s="55" t="n">
        <v>0</v>
      </c>
      <c r="BB117" s="30" t="n">
        <v>0</v>
      </c>
      <c r="BC117" s="56" t="n">
        <v>0</v>
      </c>
      <c r="BD117" s="27"/>
      <c r="BE117" s="26"/>
      <c r="BF117" s="32"/>
      <c r="BG117" s="33"/>
    </row>
    <row r="118" customFormat="false" ht="15" hidden="false" customHeight="false" outlineLevel="0" collapsed="false">
      <c r="A118" s="21" t="str">
        <f aca="false">B!B367</f>
        <v>JIM</v>
      </c>
      <c r="B118" s="22" t="n">
        <f aca="false">C!B110</f>
        <v>34</v>
      </c>
      <c r="C118" s="22" t="n">
        <f aca="false">D!B110</f>
        <v>41</v>
      </c>
      <c r="D118" s="22" t="n">
        <f aca="false">E!B110</f>
        <v>40</v>
      </c>
      <c r="E118" s="22" t="n">
        <f aca="false">F!B110</f>
        <v>26</v>
      </c>
      <c r="F118" s="22" t="n">
        <f aca="false">G!B110</f>
        <v>47</v>
      </c>
      <c r="G118" s="22" t="n">
        <f aca="false">H!B110</f>
        <v>46</v>
      </c>
      <c r="H118" s="22" t="n">
        <f aca="false">I!B110</f>
        <v>0</v>
      </c>
      <c r="I118" s="22" t="n">
        <f aca="false">J!B110</f>
        <v>0</v>
      </c>
      <c r="J118" s="22" t="n">
        <f aca="false">K!B110</f>
        <v>0</v>
      </c>
      <c r="K118" s="22" t="n">
        <f aca="false">L!B110</f>
        <v>0</v>
      </c>
      <c r="L118" s="22" t="n">
        <f aca="false">M!B110</f>
        <v>0</v>
      </c>
      <c r="M118" s="22" t="n">
        <f aca="false">N!B110</f>
        <v>0</v>
      </c>
      <c r="N118" s="22" t="n">
        <f aca="false">O!B110</f>
        <v>0</v>
      </c>
      <c r="O118" s="22" t="n">
        <f aca="false">P!B110</f>
        <v>0</v>
      </c>
      <c r="P118" s="22" t="n">
        <f aca="false">Q!B110</f>
        <v>0</v>
      </c>
      <c r="Q118" s="22" t="n">
        <f aca="false">R!B110</f>
        <v>0</v>
      </c>
      <c r="R118" s="22" t="n">
        <f aca="false">S!B110</f>
        <v>0</v>
      </c>
      <c r="S118" s="22" t="n">
        <f aca="false">T!B110</f>
        <v>0</v>
      </c>
      <c r="T118" s="22" t="n">
        <f aca="false">U!B110</f>
        <v>0</v>
      </c>
      <c r="U118" s="22" t="n">
        <f aca="false">V!B110</f>
        <v>0</v>
      </c>
      <c r="V118" s="22" t="n">
        <f aca="false">W!B110</f>
        <v>0</v>
      </c>
      <c r="W118" s="22" t="n">
        <f aca="false">X!B110</f>
        <v>0</v>
      </c>
      <c r="X118" s="23" t="n">
        <f aca="false">SUM(B118:W118)</f>
        <v>234</v>
      </c>
      <c r="Y118" s="24" t="n">
        <f aca="false">IF(AW118=0,0,X118/AW118)</f>
        <v>39</v>
      </c>
      <c r="Z118" s="25" t="str">
        <f aca="false">A118</f>
        <v>JIM</v>
      </c>
      <c r="AA118" s="16" t="n">
        <f aca="false">IF(B118=0,0,1)</f>
        <v>1</v>
      </c>
      <c r="AB118" s="0" t="n">
        <f aca="false">IF(C118=0,0,1)</f>
        <v>1</v>
      </c>
      <c r="AC118" s="0" t="n">
        <f aca="false">IF(D118=0,0,1)</f>
        <v>1</v>
      </c>
      <c r="AD118" s="0" t="n">
        <f aca="false">IF(E118=0,0,1)</f>
        <v>1</v>
      </c>
      <c r="AE118" s="0" t="n">
        <f aca="false">IF(F118=0,0,1)</f>
        <v>1</v>
      </c>
      <c r="AF118" s="0" t="n">
        <f aca="false">IF(G118=0,0,1)</f>
        <v>1</v>
      </c>
      <c r="AG118" s="0" t="n">
        <f aca="false">IF(H118=0,0,1)</f>
        <v>0</v>
      </c>
      <c r="AH118" s="0" t="n">
        <f aca="false">IF(I118=0,0,1)</f>
        <v>0</v>
      </c>
      <c r="AI118" s="0" t="n">
        <f aca="false">IF(J118=0,0,1)</f>
        <v>0</v>
      </c>
      <c r="AJ118" s="0" t="n">
        <f aca="false">IF(K118=0,0,1)</f>
        <v>0</v>
      </c>
      <c r="AK118" s="0" t="n">
        <f aca="false">IF(L118=0,0,1)</f>
        <v>0</v>
      </c>
      <c r="AL118" s="0" t="n">
        <f aca="false">IF(M118=0,0,1)</f>
        <v>0</v>
      </c>
      <c r="AM118" s="0" t="n">
        <f aca="false">IF(N118=0,0,1)</f>
        <v>0</v>
      </c>
      <c r="AN118" s="0" t="n">
        <f aca="false">IF(O118=0,0,1)</f>
        <v>0</v>
      </c>
      <c r="AO118" s="0" t="n">
        <f aca="false">IF(P118=0,0,1)</f>
        <v>0</v>
      </c>
      <c r="AP118" s="0" t="n">
        <f aca="false">IF(Q118=0,0,1)</f>
        <v>0</v>
      </c>
      <c r="AQ118" s="0" t="n">
        <f aca="false">IF(R118=0,0,1)</f>
        <v>0</v>
      </c>
      <c r="AR118" s="0" t="n">
        <f aca="false">IF(S118=0,0,1)</f>
        <v>0</v>
      </c>
      <c r="AS118" s="0" t="n">
        <f aca="false">IF(T118=0,0,1)</f>
        <v>0</v>
      </c>
      <c r="AT118" s="0" t="n">
        <f aca="false">IF(U118=0,0,1)</f>
        <v>0</v>
      </c>
      <c r="AU118" s="0" t="n">
        <f aca="false">IF(V118=0,0,1)</f>
        <v>0</v>
      </c>
      <c r="AV118" s="0" t="n">
        <f aca="false">IF(W118=0,0,1)</f>
        <v>0</v>
      </c>
      <c r="AW118" s="26" t="n">
        <f aca="false">SUM(AA118:AV118)</f>
        <v>6</v>
      </c>
      <c r="AX118" s="27" t="n">
        <f aca="false">IF(X118=0,0,X118)</f>
        <v>234</v>
      </c>
      <c r="AY118" s="1" t="str">
        <f aca="false">IF(X118=0,0,A118)</f>
        <v>JIM</v>
      </c>
      <c r="AZ118" s="28" t="str">
        <f aca="false">IF(AX118=0,0,A$116)</f>
        <v>THE DOUGERNAUTS</v>
      </c>
      <c r="BA118" s="55" t="n">
        <v>0</v>
      </c>
      <c r="BB118" s="30" t="n">
        <v>0</v>
      </c>
      <c r="BC118" s="56" t="n">
        <v>0</v>
      </c>
      <c r="BD118" s="27"/>
      <c r="BE118" s="26"/>
      <c r="BF118" s="32"/>
      <c r="BG118" s="33"/>
    </row>
    <row r="119" customFormat="false" ht="15" hidden="false" customHeight="false" outlineLevel="0" collapsed="false">
      <c r="A119" s="21" t="str">
        <f aca="false">B!B372</f>
        <v>DOUG</v>
      </c>
      <c r="B119" s="22" t="n">
        <f aca="false">C!B111</f>
        <v>29</v>
      </c>
      <c r="C119" s="22" t="n">
        <f aca="false">D!B111</f>
        <v>29</v>
      </c>
      <c r="D119" s="22" t="n">
        <f aca="false">E!B111</f>
        <v>40</v>
      </c>
      <c r="E119" s="22" t="n">
        <f aca="false">F!B111</f>
        <v>34</v>
      </c>
      <c r="F119" s="22" t="n">
        <f aca="false">G!B111</f>
        <v>42</v>
      </c>
      <c r="G119" s="22" t="n">
        <f aca="false">H!B111</f>
        <v>35</v>
      </c>
      <c r="H119" s="22" t="n">
        <f aca="false">I!B111</f>
        <v>0</v>
      </c>
      <c r="I119" s="22" t="n">
        <f aca="false">J!B111</f>
        <v>0</v>
      </c>
      <c r="J119" s="22" t="n">
        <f aca="false">K!B111</f>
        <v>0</v>
      </c>
      <c r="K119" s="22" t="n">
        <f aca="false">L!B111</f>
        <v>0</v>
      </c>
      <c r="L119" s="22" t="n">
        <f aca="false">M!B111</f>
        <v>0</v>
      </c>
      <c r="M119" s="22" t="n">
        <f aca="false">N!B111</f>
        <v>0</v>
      </c>
      <c r="N119" s="22" t="n">
        <f aca="false">O!B111</f>
        <v>0</v>
      </c>
      <c r="O119" s="22" t="n">
        <f aca="false">P!B111</f>
        <v>0</v>
      </c>
      <c r="P119" s="22" t="n">
        <f aca="false">Q!B111</f>
        <v>0</v>
      </c>
      <c r="Q119" s="22" t="n">
        <f aca="false">R!B111</f>
        <v>0</v>
      </c>
      <c r="R119" s="22" t="n">
        <f aca="false">S!B111</f>
        <v>0</v>
      </c>
      <c r="S119" s="22" t="n">
        <f aca="false">T!B111</f>
        <v>0</v>
      </c>
      <c r="T119" s="22" t="n">
        <f aca="false">U!B111</f>
        <v>0</v>
      </c>
      <c r="U119" s="22" t="n">
        <f aca="false">V!B111</f>
        <v>0</v>
      </c>
      <c r="V119" s="22" t="n">
        <f aca="false">W!B111</f>
        <v>0</v>
      </c>
      <c r="W119" s="22" t="n">
        <f aca="false">X!B111</f>
        <v>0</v>
      </c>
      <c r="X119" s="23" t="n">
        <f aca="false">SUM(B119:W119)</f>
        <v>209</v>
      </c>
      <c r="Y119" s="24" t="n">
        <f aca="false">IF(AW119=0,0,X119/AW119)</f>
        <v>34.8333333333333</v>
      </c>
      <c r="Z119" s="25" t="str">
        <f aca="false">A119</f>
        <v>DOUG</v>
      </c>
      <c r="AA119" s="16" t="n">
        <f aca="false">IF(B119=0,0,1)</f>
        <v>1</v>
      </c>
      <c r="AB119" s="0" t="n">
        <f aca="false">IF(C119=0,0,1)</f>
        <v>1</v>
      </c>
      <c r="AC119" s="0" t="n">
        <f aca="false">IF(D119=0,0,1)</f>
        <v>1</v>
      </c>
      <c r="AD119" s="0" t="n">
        <f aca="false">IF(E119=0,0,1)</f>
        <v>1</v>
      </c>
      <c r="AE119" s="0" t="n">
        <f aca="false">IF(F119=0,0,1)</f>
        <v>1</v>
      </c>
      <c r="AF119" s="0" t="n">
        <f aca="false">IF(G119=0,0,1)</f>
        <v>1</v>
      </c>
      <c r="AG119" s="0" t="n">
        <f aca="false">IF(H119=0,0,1)</f>
        <v>0</v>
      </c>
      <c r="AH119" s="0" t="n">
        <f aca="false">IF(I119=0,0,1)</f>
        <v>0</v>
      </c>
      <c r="AI119" s="0" t="n">
        <f aca="false">IF(J119=0,0,1)</f>
        <v>0</v>
      </c>
      <c r="AJ119" s="0" t="n">
        <f aca="false">IF(K119=0,0,1)</f>
        <v>0</v>
      </c>
      <c r="AK119" s="0" t="n">
        <f aca="false">IF(L119=0,0,1)</f>
        <v>0</v>
      </c>
      <c r="AL119" s="0" t="n">
        <f aca="false">IF(M119=0,0,1)</f>
        <v>0</v>
      </c>
      <c r="AM119" s="0" t="n">
        <f aca="false">IF(N119=0,0,1)</f>
        <v>0</v>
      </c>
      <c r="AN119" s="0" t="n">
        <f aca="false">IF(O119=0,0,1)</f>
        <v>0</v>
      </c>
      <c r="AO119" s="0" t="n">
        <f aca="false">IF(P119=0,0,1)</f>
        <v>0</v>
      </c>
      <c r="AP119" s="0" t="n">
        <f aca="false">IF(Q119=0,0,1)</f>
        <v>0</v>
      </c>
      <c r="AQ119" s="0" t="n">
        <f aca="false">IF(R119=0,0,1)</f>
        <v>0</v>
      </c>
      <c r="AR119" s="0" t="n">
        <f aca="false">IF(S119=0,0,1)</f>
        <v>0</v>
      </c>
      <c r="AS119" s="0" t="n">
        <f aca="false">IF(T119=0,0,1)</f>
        <v>0</v>
      </c>
      <c r="AT119" s="0" t="n">
        <f aca="false">IF(U119=0,0,1)</f>
        <v>0</v>
      </c>
      <c r="AU119" s="0" t="n">
        <f aca="false">IF(V119=0,0,1)</f>
        <v>0</v>
      </c>
      <c r="AV119" s="0" t="n">
        <f aca="false">IF(W119=0,0,1)</f>
        <v>0</v>
      </c>
      <c r="AW119" s="26" t="n">
        <f aca="false">SUM(AA119:AV119)</f>
        <v>6</v>
      </c>
      <c r="AX119" s="27" t="n">
        <f aca="false">IF(X119=0,0,X119)</f>
        <v>209</v>
      </c>
      <c r="AY119" s="1" t="str">
        <f aca="false">IF(X119=0,0,A119)</f>
        <v>DOUG</v>
      </c>
      <c r="AZ119" s="28" t="str">
        <f aca="false">IF(AX119=0,0,A$116)</f>
        <v>THE DOUGERNAUTS</v>
      </c>
      <c r="BA119" s="55" t="n">
        <v>0</v>
      </c>
      <c r="BB119" s="30" t="n">
        <v>0</v>
      </c>
      <c r="BC119" s="56" t="n">
        <v>0</v>
      </c>
      <c r="BD119" s="27"/>
      <c r="BE119" s="26"/>
      <c r="BF119" s="32"/>
      <c r="BG119" s="33"/>
    </row>
    <row r="120" customFormat="false" ht="15" hidden="false" customHeight="false" outlineLevel="0" collapsed="false">
      <c r="A120" s="21" t="str">
        <f aca="false">B!B377</f>
        <v>SARAH</v>
      </c>
      <c r="B120" s="22" t="n">
        <f aca="false">C!B112</f>
        <v>34</v>
      </c>
      <c r="C120" s="22" t="n">
        <f aca="false">D!B112</f>
        <v>34</v>
      </c>
      <c r="D120" s="22" t="n">
        <f aca="false">E!B112</f>
        <v>40</v>
      </c>
      <c r="E120" s="22" t="n">
        <f aca="false">F!B112</f>
        <v>39</v>
      </c>
      <c r="F120" s="22" t="n">
        <f aca="false">G!B112</f>
        <v>36</v>
      </c>
      <c r="G120" s="22" t="n">
        <f aca="false">H!B112</f>
        <v>41</v>
      </c>
      <c r="H120" s="22" t="n">
        <f aca="false">I!B112</f>
        <v>0</v>
      </c>
      <c r="I120" s="22" t="n">
        <f aca="false">J!B112</f>
        <v>0</v>
      </c>
      <c r="J120" s="22" t="n">
        <f aca="false">K!B112</f>
        <v>0</v>
      </c>
      <c r="K120" s="22" t="n">
        <f aca="false">L!B112</f>
        <v>0</v>
      </c>
      <c r="L120" s="22" t="n">
        <f aca="false">M!B112</f>
        <v>0</v>
      </c>
      <c r="M120" s="22" t="n">
        <f aca="false">N!B112</f>
        <v>0</v>
      </c>
      <c r="N120" s="22" t="n">
        <f aca="false">O!B112</f>
        <v>0</v>
      </c>
      <c r="O120" s="22" t="n">
        <f aca="false">P!B112</f>
        <v>0</v>
      </c>
      <c r="P120" s="22" t="n">
        <f aca="false">Q!B112</f>
        <v>0</v>
      </c>
      <c r="Q120" s="22" t="n">
        <f aca="false">R!B112</f>
        <v>0</v>
      </c>
      <c r="R120" s="22" t="n">
        <f aca="false">S!B112</f>
        <v>0</v>
      </c>
      <c r="S120" s="22" t="n">
        <f aca="false">T!B112</f>
        <v>0</v>
      </c>
      <c r="T120" s="22" t="n">
        <f aca="false">U!B112</f>
        <v>0</v>
      </c>
      <c r="U120" s="22" t="n">
        <f aca="false">V!B112</f>
        <v>0</v>
      </c>
      <c r="V120" s="22" t="n">
        <f aca="false">W!B112</f>
        <v>0</v>
      </c>
      <c r="W120" s="22" t="n">
        <f aca="false">X!B112</f>
        <v>0</v>
      </c>
      <c r="X120" s="23" t="n">
        <f aca="false">SUM(B120:W120)</f>
        <v>224</v>
      </c>
      <c r="Y120" s="24" t="n">
        <f aca="false">IF(AW120=0,0,X120/AW120)</f>
        <v>37.3333333333333</v>
      </c>
      <c r="Z120" s="25" t="str">
        <f aca="false">A120</f>
        <v>SARAH</v>
      </c>
      <c r="AA120" s="16" t="n">
        <f aca="false">IF(B120=0,0,1)</f>
        <v>1</v>
      </c>
      <c r="AB120" s="0" t="n">
        <f aca="false">IF(C120=0,0,1)</f>
        <v>1</v>
      </c>
      <c r="AC120" s="0" t="n">
        <f aca="false">IF(D120=0,0,1)</f>
        <v>1</v>
      </c>
      <c r="AD120" s="0" t="n">
        <f aca="false">IF(E120=0,0,1)</f>
        <v>1</v>
      </c>
      <c r="AE120" s="0" t="n">
        <f aca="false">IF(F120=0,0,1)</f>
        <v>1</v>
      </c>
      <c r="AF120" s="0" t="n">
        <f aca="false">IF(G120=0,0,1)</f>
        <v>1</v>
      </c>
      <c r="AG120" s="0" t="n">
        <f aca="false">IF(H120=0,0,1)</f>
        <v>0</v>
      </c>
      <c r="AH120" s="0" t="n">
        <f aca="false">IF(I120=0,0,1)</f>
        <v>0</v>
      </c>
      <c r="AI120" s="0" t="n">
        <f aca="false">IF(J120=0,0,1)</f>
        <v>0</v>
      </c>
      <c r="AJ120" s="0" t="n">
        <f aca="false">IF(K120=0,0,1)</f>
        <v>0</v>
      </c>
      <c r="AK120" s="0" t="n">
        <f aca="false">IF(L120=0,0,1)</f>
        <v>0</v>
      </c>
      <c r="AL120" s="0" t="n">
        <f aca="false">IF(M120=0,0,1)</f>
        <v>0</v>
      </c>
      <c r="AM120" s="0" t="n">
        <f aca="false">IF(N120=0,0,1)</f>
        <v>0</v>
      </c>
      <c r="AN120" s="0" t="n">
        <f aca="false">IF(O120=0,0,1)</f>
        <v>0</v>
      </c>
      <c r="AO120" s="0" t="n">
        <f aca="false">IF(P120=0,0,1)</f>
        <v>0</v>
      </c>
      <c r="AP120" s="0" t="n">
        <f aca="false">IF(Q120=0,0,1)</f>
        <v>0</v>
      </c>
      <c r="AQ120" s="0" t="n">
        <f aca="false">IF(R120=0,0,1)</f>
        <v>0</v>
      </c>
      <c r="AR120" s="0" t="n">
        <f aca="false">IF(S120=0,0,1)</f>
        <v>0</v>
      </c>
      <c r="AS120" s="0" t="n">
        <f aca="false">IF(T120=0,0,1)</f>
        <v>0</v>
      </c>
      <c r="AT120" s="0" t="n">
        <f aca="false">IF(U120=0,0,1)</f>
        <v>0</v>
      </c>
      <c r="AU120" s="0" t="n">
        <f aca="false">IF(V120=0,0,1)</f>
        <v>0</v>
      </c>
      <c r="AV120" s="0" t="n">
        <f aca="false">IF(W120=0,0,1)</f>
        <v>0</v>
      </c>
      <c r="AW120" s="26" t="n">
        <f aca="false">SUM(AA120:AV120)</f>
        <v>6</v>
      </c>
      <c r="AX120" s="27" t="n">
        <f aca="false">IF(X120=0,0,X120)</f>
        <v>224</v>
      </c>
      <c r="AY120" s="1" t="str">
        <f aca="false">IF(X120=0,0,A120)</f>
        <v>SARAH</v>
      </c>
      <c r="AZ120" s="28" t="str">
        <f aca="false">IF(AX120=0,0,A$116)</f>
        <v>THE DOUGERNAUTS</v>
      </c>
      <c r="BA120" s="55" t="n">
        <v>0</v>
      </c>
      <c r="BB120" s="30" t="n">
        <v>0</v>
      </c>
      <c r="BC120" s="56" t="n">
        <v>0</v>
      </c>
      <c r="BD120" s="27"/>
      <c r="BE120" s="26"/>
      <c r="BF120" s="32"/>
      <c r="BG120" s="33"/>
    </row>
    <row r="121" customFormat="false" ht="15" hidden="false" customHeight="false" outlineLevel="0" collapsed="false">
      <c r="A121" s="21" t="str">
        <f aca="false">B!B382</f>
        <v>KASH</v>
      </c>
      <c r="B121" s="22" t="n">
        <f aca="false">C!B113</f>
        <v>40</v>
      </c>
      <c r="C121" s="22" t="n">
        <f aca="false">D!B113</f>
        <v>42</v>
      </c>
      <c r="D121" s="22" t="n">
        <f aca="false">E!B113</f>
        <v>40</v>
      </c>
      <c r="E121" s="22" t="n">
        <f aca="false">F!B113</f>
        <v>46</v>
      </c>
      <c r="F121" s="22" t="n">
        <f aca="false">G!B113</f>
        <v>41</v>
      </c>
      <c r="G121" s="22" t="n">
        <f aca="false">H!B113</f>
        <v>50</v>
      </c>
      <c r="H121" s="22" t="n">
        <f aca="false">I!B113</f>
        <v>0</v>
      </c>
      <c r="I121" s="22" t="n">
        <f aca="false">J!B113</f>
        <v>0</v>
      </c>
      <c r="J121" s="22" t="n">
        <f aca="false">K!B113</f>
        <v>0</v>
      </c>
      <c r="K121" s="22" t="n">
        <f aca="false">L!B113</f>
        <v>0</v>
      </c>
      <c r="L121" s="22" t="n">
        <f aca="false">M!B113</f>
        <v>0</v>
      </c>
      <c r="M121" s="22" t="n">
        <f aca="false">N!B113</f>
        <v>0</v>
      </c>
      <c r="N121" s="22" t="n">
        <f aca="false">O!B113</f>
        <v>0</v>
      </c>
      <c r="O121" s="22" t="n">
        <f aca="false">P!B113</f>
        <v>0</v>
      </c>
      <c r="P121" s="22" t="n">
        <f aca="false">Q!B113</f>
        <v>0</v>
      </c>
      <c r="Q121" s="22" t="n">
        <f aca="false">R!B113</f>
        <v>0</v>
      </c>
      <c r="R121" s="22" t="n">
        <f aca="false">S!B113</f>
        <v>0</v>
      </c>
      <c r="S121" s="22" t="n">
        <f aca="false">T!B113</f>
        <v>0</v>
      </c>
      <c r="T121" s="22" t="n">
        <f aca="false">U!B113</f>
        <v>0</v>
      </c>
      <c r="U121" s="22" t="n">
        <f aca="false">V!B113</f>
        <v>0</v>
      </c>
      <c r="V121" s="22" t="n">
        <f aca="false">W!B113</f>
        <v>0</v>
      </c>
      <c r="W121" s="22" t="n">
        <f aca="false">X!B113</f>
        <v>0</v>
      </c>
      <c r="X121" s="23" t="n">
        <f aca="false">SUM(B121:W121)</f>
        <v>259</v>
      </c>
      <c r="Y121" s="24" t="n">
        <f aca="false">IF(AW121=0,0,X121/AW121)</f>
        <v>43.1666666666667</v>
      </c>
      <c r="Z121" s="25" t="str">
        <f aca="false">A121</f>
        <v>KASH</v>
      </c>
      <c r="AA121" s="16" t="n">
        <f aca="false">IF(B121=0,0,1)</f>
        <v>1</v>
      </c>
      <c r="AB121" s="0" t="n">
        <f aca="false">IF(C121=0,0,1)</f>
        <v>1</v>
      </c>
      <c r="AC121" s="0" t="n">
        <f aca="false">IF(D121=0,0,1)</f>
        <v>1</v>
      </c>
      <c r="AD121" s="0" t="n">
        <f aca="false">IF(E121=0,0,1)</f>
        <v>1</v>
      </c>
      <c r="AE121" s="0" t="n">
        <f aca="false">IF(F121=0,0,1)</f>
        <v>1</v>
      </c>
      <c r="AF121" s="0" t="n">
        <f aca="false">IF(G121=0,0,1)</f>
        <v>1</v>
      </c>
      <c r="AG121" s="0" t="n">
        <f aca="false">IF(H121=0,0,1)</f>
        <v>0</v>
      </c>
      <c r="AH121" s="0" t="n">
        <f aca="false">IF(I121=0,0,1)</f>
        <v>0</v>
      </c>
      <c r="AI121" s="0" t="n">
        <f aca="false">IF(J121=0,0,1)</f>
        <v>0</v>
      </c>
      <c r="AJ121" s="0" t="n">
        <f aca="false">IF(K121=0,0,1)</f>
        <v>0</v>
      </c>
      <c r="AK121" s="0" t="n">
        <f aca="false">IF(L121=0,0,1)</f>
        <v>0</v>
      </c>
      <c r="AL121" s="0" t="n">
        <f aca="false">IF(M121=0,0,1)</f>
        <v>0</v>
      </c>
      <c r="AM121" s="0" t="n">
        <f aca="false">IF(N121=0,0,1)</f>
        <v>0</v>
      </c>
      <c r="AN121" s="0" t="n">
        <f aca="false">IF(O121=0,0,1)</f>
        <v>0</v>
      </c>
      <c r="AO121" s="0" t="n">
        <f aca="false">IF(P121=0,0,1)</f>
        <v>0</v>
      </c>
      <c r="AP121" s="0" t="n">
        <f aca="false">IF(Q121=0,0,1)</f>
        <v>0</v>
      </c>
      <c r="AQ121" s="0" t="n">
        <f aca="false">IF(R121=0,0,1)</f>
        <v>0</v>
      </c>
      <c r="AR121" s="0" t="n">
        <f aca="false">IF(S121=0,0,1)</f>
        <v>0</v>
      </c>
      <c r="AS121" s="0" t="n">
        <f aca="false">IF(T121=0,0,1)</f>
        <v>0</v>
      </c>
      <c r="AT121" s="0" t="n">
        <f aca="false">IF(U121=0,0,1)</f>
        <v>0</v>
      </c>
      <c r="AU121" s="0" t="n">
        <f aca="false">IF(V121=0,0,1)</f>
        <v>0</v>
      </c>
      <c r="AV121" s="0" t="n">
        <f aca="false">IF(W121=0,0,1)</f>
        <v>0</v>
      </c>
      <c r="AW121" s="26" t="n">
        <f aca="false">SUM(AA121:AV121)</f>
        <v>6</v>
      </c>
      <c r="AX121" s="27" t="n">
        <f aca="false">IF(X121=0,0,X121)</f>
        <v>259</v>
      </c>
      <c r="AY121" s="1" t="str">
        <f aca="false">IF(X121=0,0,A121)</f>
        <v>KASH</v>
      </c>
      <c r="AZ121" s="28" t="str">
        <f aca="false">IF(AX121=0,0,A$116)</f>
        <v>THE DOUGERNAUTS</v>
      </c>
      <c r="BA121" s="55" t="n">
        <v>0</v>
      </c>
      <c r="BB121" s="30" t="n">
        <v>0</v>
      </c>
      <c r="BC121" s="56" t="n">
        <v>0</v>
      </c>
      <c r="BD121" s="27"/>
      <c r="BE121" s="26"/>
      <c r="BF121" s="32"/>
      <c r="BG121" s="33"/>
    </row>
    <row r="122" customFormat="false" ht="15" hidden="false" customHeight="false" outlineLevel="0" collapsed="false">
      <c r="A122" s="21" t="n">
        <f aca="false">B!B387</f>
        <v>0</v>
      </c>
      <c r="B122" s="22" t="n">
        <f aca="false">C!B114</f>
        <v>0</v>
      </c>
      <c r="C122" s="22" t="n">
        <f aca="false">D!B114</f>
        <v>0</v>
      </c>
      <c r="D122" s="22" t="n">
        <f aca="false">E!B114</f>
        <v>0</v>
      </c>
      <c r="E122" s="22" t="n">
        <f aca="false">F!B114</f>
        <v>0</v>
      </c>
      <c r="F122" s="22" t="n">
        <f aca="false">G!B114</f>
        <v>0</v>
      </c>
      <c r="G122" s="22" t="n">
        <f aca="false">H!B114</f>
        <v>0</v>
      </c>
      <c r="H122" s="22" t="n">
        <f aca="false">I!B114</f>
        <v>0</v>
      </c>
      <c r="I122" s="22" t="n">
        <f aca="false">J!B114</f>
        <v>0</v>
      </c>
      <c r="J122" s="22" t="n">
        <f aca="false">K!B114</f>
        <v>0</v>
      </c>
      <c r="K122" s="22" t="n">
        <f aca="false">L!B114</f>
        <v>0</v>
      </c>
      <c r="L122" s="22" t="n">
        <f aca="false">M!B114</f>
        <v>0</v>
      </c>
      <c r="M122" s="22" t="n">
        <f aca="false">N!B114</f>
        <v>0</v>
      </c>
      <c r="N122" s="22" t="n">
        <f aca="false">O!B114</f>
        <v>0</v>
      </c>
      <c r="O122" s="22" t="n">
        <f aca="false">P!B114</f>
        <v>0</v>
      </c>
      <c r="P122" s="22" t="n">
        <f aca="false">Q!B114</f>
        <v>0</v>
      </c>
      <c r="Q122" s="22" t="n">
        <f aca="false">R!B114</f>
        <v>0</v>
      </c>
      <c r="R122" s="22" t="n">
        <f aca="false">S!B114</f>
        <v>0</v>
      </c>
      <c r="S122" s="22" t="n">
        <f aca="false">T!B114</f>
        <v>0</v>
      </c>
      <c r="T122" s="22" t="n">
        <f aca="false">U!B114</f>
        <v>0</v>
      </c>
      <c r="U122" s="22" t="n">
        <f aca="false">V!B114</f>
        <v>0</v>
      </c>
      <c r="V122" s="22" t="n">
        <f aca="false">W!B114</f>
        <v>0</v>
      </c>
      <c r="W122" s="22" t="n">
        <f aca="false">X!B114</f>
        <v>0</v>
      </c>
      <c r="X122" s="23" t="n">
        <f aca="false">SUM(B122:W122)</f>
        <v>0</v>
      </c>
      <c r="Y122" s="24" t="n">
        <f aca="false">IF(AW122=0,0,X122/AW122)</f>
        <v>0</v>
      </c>
      <c r="Z122" s="25" t="n">
        <f aca="false">A122</f>
        <v>0</v>
      </c>
      <c r="AA122" s="16" t="n">
        <f aca="false">IF(B122=0,0,1)</f>
        <v>0</v>
      </c>
      <c r="AB122" s="0" t="n">
        <f aca="false">IF(C122=0,0,1)</f>
        <v>0</v>
      </c>
      <c r="AC122" s="0" t="n">
        <f aca="false">IF(D122=0,0,1)</f>
        <v>0</v>
      </c>
      <c r="AD122" s="0" t="n">
        <f aca="false">IF(E122=0,0,1)</f>
        <v>0</v>
      </c>
      <c r="AE122" s="0" t="n">
        <f aca="false">IF(F122=0,0,1)</f>
        <v>0</v>
      </c>
      <c r="AF122" s="0" t="n">
        <f aca="false">IF(G122=0,0,1)</f>
        <v>0</v>
      </c>
      <c r="AG122" s="0" t="n">
        <f aca="false">IF(H122=0,0,1)</f>
        <v>0</v>
      </c>
      <c r="AH122" s="0" t="n">
        <f aca="false">IF(I122=0,0,1)</f>
        <v>0</v>
      </c>
      <c r="AI122" s="0" t="n">
        <f aca="false">IF(J122=0,0,1)</f>
        <v>0</v>
      </c>
      <c r="AJ122" s="0" t="n">
        <f aca="false">IF(K122=0,0,1)</f>
        <v>0</v>
      </c>
      <c r="AK122" s="0" t="n">
        <f aca="false">IF(L122=0,0,1)</f>
        <v>0</v>
      </c>
      <c r="AL122" s="0" t="n">
        <f aca="false">IF(M122=0,0,1)</f>
        <v>0</v>
      </c>
      <c r="AM122" s="0" t="n">
        <f aca="false">IF(N122=0,0,1)</f>
        <v>0</v>
      </c>
      <c r="AN122" s="0" t="n">
        <f aca="false">IF(O122=0,0,1)</f>
        <v>0</v>
      </c>
      <c r="AO122" s="0" t="n">
        <f aca="false">IF(P122=0,0,1)</f>
        <v>0</v>
      </c>
      <c r="AP122" s="0" t="n">
        <f aca="false">IF(Q122=0,0,1)</f>
        <v>0</v>
      </c>
      <c r="AQ122" s="0" t="n">
        <f aca="false">IF(R122=0,0,1)</f>
        <v>0</v>
      </c>
      <c r="AR122" s="0" t="n">
        <f aca="false">IF(S122=0,0,1)</f>
        <v>0</v>
      </c>
      <c r="AS122" s="0" t="n">
        <f aca="false">IF(T122=0,0,1)</f>
        <v>0</v>
      </c>
      <c r="AT122" s="0" t="n">
        <f aca="false">IF(U122=0,0,1)</f>
        <v>0</v>
      </c>
      <c r="AU122" s="0" t="n">
        <f aca="false">IF(V122=0,0,1)</f>
        <v>0</v>
      </c>
      <c r="AV122" s="0" t="n">
        <f aca="false">IF(W122=0,0,1)</f>
        <v>0</v>
      </c>
      <c r="AW122" s="26" t="n">
        <f aca="false">SUM(AA122:AV122)</f>
        <v>0</v>
      </c>
      <c r="AX122" s="27" t="n">
        <f aca="false">IF(X122=0,0,X122)</f>
        <v>0</v>
      </c>
      <c r="AY122" s="1" t="n">
        <f aca="false">IF(X122=0,0,A122)</f>
        <v>0</v>
      </c>
      <c r="AZ122" s="28" t="n">
        <f aca="false">IF(AX122=0,0,A$116)</f>
        <v>0</v>
      </c>
      <c r="BA122" s="55" t="n">
        <v>0</v>
      </c>
      <c r="BB122" s="30" t="n">
        <v>0</v>
      </c>
      <c r="BC122" s="56" t="n">
        <v>0</v>
      </c>
      <c r="BD122" s="27"/>
      <c r="BE122" s="26"/>
      <c r="BF122" s="32"/>
      <c r="BG122" s="33"/>
    </row>
    <row r="123" customFormat="false" ht="15" hidden="false" customHeight="false" outlineLevel="0" collapsed="false">
      <c r="A123" s="21" t="n">
        <f aca="false">B!B392</f>
        <v>0</v>
      </c>
      <c r="B123" s="22" t="n">
        <f aca="false">C!B115</f>
        <v>0</v>
      </c>
      <c r="C123" s="22" t="n">
        <f aca="false">D!B115</f>
        <v>0</v>
      </c>
      <c r="D123" s="22" t="n">
        <f aca="false">E!B115</f>
        <v>0</v>
      </c>
      <c r="E123" s="22" t="n">
        <f aca="false">F!B115</f>
        <v>0</v>
      </c>
      <c r="F123" s="22" t="n">
        <f aca="false">G!B115</f>
        <v>0</v>
      </c>
      <c r="G123" s="22" t="n">
        <f aca="false">H!B115</f>
        <v>0</v>
      </c>
      <c r="H123" s="22" t="n">
        <f aca="false">I!B115</f>
        <v>0</v>
      </c>
      <c r="I123" s="22" t="n">
        <f aca="false">J!B115</f>
        <v>0</v>
      </c>
      <c r="J123" s="22" t="n">
        <f aca="false">K!B115</f>
        <v>0</v>
      </c>
      <c r="K123" s="22" t="n">
        <f aca="false">L!B115</f>
        <v>0</v>
      </c>
      <c r="L123" s="22" t="n">
        <f aca="false">M!B115</f>
        <v>0</v>
      </c>
      <c r="M123" s="22" t="n">
        <f aca="false">N!B115</f>
        <v>0</v>
      </c>
      <c r="N123" s="22" t="n">
        <f aca="false">O!B115</f>
        <v>0</v>
      </c>
      <c r="O123" s="22" t="n">
        <f aca="false">P!B115</f>
        <v>0</v>
      </c>
      <c r="P123" s="22" t="n">
        <f aca="false">Q!B115</f>
        <v>0</v>
      </c>
      <c r="Q123" s="22" t="n">
        <f aca="false">R!B115</f>
        <v>0</v>
      </c>
      <c r="R123" s="22" t="n">
        <f aca="false">S!B115</f>
        <v>0</v>
      </c>
      <c r="S123" s="22" t="n">
        <f aca="false">T!B115</f>
        <v>0</v>
      </c>
      <c r="T123" s="22" t="n">
        <f aca="false">U!B115</f>
        <v>0</v>
      </c>
      <c r="U123" s="22" t="n">
        <f aca="false">V!B115</f>
        <v>0</v>
      </c>
      <c r="V123" s="22" t="n">
        <f aca="false">W!B115</f>
        <v>0</v>
      </c>
      <c r="W123" s="22" t="n">
        <f aca="false">X!B115</f>
        <v>0</v>
      </c>
      <c r="X123" s="23" t="n">
        <f aca="false">SUM(B123:W123)</f>
        <v>0</v>
      </c>
      <c r="Y123" s="24" t="n">
        <f aca="false">IF(AW123=0,0,X123/AW123)</f>
        <v>0</v>
      </c>
      <c r="Z123" s="25" t="n">
        <f aca="false">A123</f>
        <v>0</v>
      </c>
      <c r="AA123" s="16" t="n">
        <f aca="false">IF(B123=0,0,1)</f>
        <v>0</v>
      </c>
      <c r="AB123" s="0" t="n">
        <f aca="false">IF(C123=0,0,1)</f>
        <v>0</v>
      </c>
      <c r="AC123" s="0" t="n">
        <f aca="false">IF(D123=0,0,1)</f>
        <v>0</v>
      </c>
      <c r="AD123" s="0" t="n">
        <f aca="false">IF(E123=0,0,1)</f>
        <v>0</v>
      </c>
      <c r="AE123" s="0" t="n">
        <f aca="false">IF(F123=0,0,1)</f>
        <v>0</v>
      </c>
      <c r="AF123" s="0" t="n">
        <f aca="false">IF(G123=0,0,1)</f>
        <v>0</v>
      </c>
      <c r="AG123" s="0" t="n">
        <f aca="false">IF(H123=0,0,1)</f>
        <v>0</v>
      </c>
      <c r="AH123" s="0" t="n">
        <f aca="false">IF(I123=0,0,1)</f>
        <v>0</v>
      </c>
      <c r="AI123" s="0" t="n">
        <f aca="false">IF(J123=0,0,1)</f>
        <v>0</v>
      </c>
      <c r="AJ123" s="0" t="n">
        <f aca="false">IF(K123=0,0,1)</f>
        <v>0</v>
      </c>
      <c r="AK123" s="0" t="n">
        <f aca="false">IF(L123=0,0,1)</f>
        <v>0</v>
      </c>
      <c r="AL123" s="0" t="n">
        <f aca="false">IF(M123=0,0,1)</f>
        <v>0</v>
      </c>
      <c r="AM123" s="0" t="n">
        <f aca="false">IF(N123=0,0,1)</f>
        <v>0</v>
      </c>
      <c r="AN123" s="0" t="n">
        <f aca="false">IF(O123=0,0,1)</f>
        <v>0</v>
      </c>
      <c r="AO123" s="0" t="n">
        <f aca="false">IF(P123=0,0,1)</f>
        <v>0</v>
      </c>
      <c r="AP123" s="0" t="n">
        <f aca="false">IF(Q123=0,0,1)</f>
        <v>0</v>
      </c>
      <c r="AQ123" s="0" t="n">
        <f aca="false">IF(R123=0,0,1)</f>
        <v>0</v>
      </c>
      <c r="AR123" s="0" t="n">
        <f aca="false">IF(S123=0,0,1)</f>
        <v>0</v>
      </c>
      <c r="AS123" s="0" t="n">
        <f aca="false">IF(T123=0,0,1)</f>
        <v>0</v>
      </c>
      <c r="AT123" s="0" t="n">
        <f aca="false">IF(U123=0,0,1)</f>
        <v>0</v>
      </c>
      <c r="AU123" s="0" t="n">
        <f aca="false">IF(V123=0,0,1)</f>
        <v>0</v>
      </c>
      <c r="AV123" s="0" t="n">
        <f aca="false">IF(W123=0,0,1)</f>
        <v>0</v>
      </c>
      <c r="AW123" s="26" t="n">
        <f aca="false">SUM(AA123:AV123)</f>
        <v>0</v>
      </c>
      <c r="AX123" s="27" t="n">
        <f aca="false">IF(X123=0,0,X123)</f>
        <v>0</v>
      </c>
      <c r="AY123" s="1" t="n">
        <f aca="false">IF(X123=0,0,A123)</f>
        <v>0</v>
      </c>
      <c r="AZ123" s="28" t="n">
        <f aca="false">IF(AX123=0,0,A$116)</f>
        <v>0</v>
      </c>
      <c r="BA123" s="55" t="n">
        <v>0</v>
      </c>
      <c r="BB123" s="30" t="n">
        <v>0</v>
      </c>
      <c r="BC123" s="56" t="n">
        <v>0</v>
      </c>
      <c r="BD123" s="27"/>
      <c r="BE123" s="26"/>
      <c r="BF123" s="32"/>
      <c r="BG123" s="33"/>
    </row>
    <row r="124" customFormat="false" ht="15" hidden="false" customHeight="false" outlineLevel="0" collapsed="false">
      <c r="A124" s="16" t="n">
        <f aca="false">B!B397</f>
        <v>0</v>
      </c>
      <c r="B124" s="22" t="n">
        <f aca="false">C!B116</f>
        <v>0</v>
      </c>
      <c r="C124" s="22" t="n">
        <f aca="false">D!B116</f>
        <v>0</v>
      </c>
      <c r="D124" s="22" t="n">
        <f aca="false">E!B116</f>
        <v>0</v>
      </c>
      <c r="E124" s="22" t="n">
        <f aca="false">F!B116</f>
        <v>0</v>
      </c>
      <c r="F124" s="22" t="n">
        <f aca="false">G!B116</f>
        <v>0</v>
      </c>
      <c r="G124" s="22" t="n">
        <f aca="false">H!B116</f>
        <v>0</v>
      </c>
      <c r="H124" s="22" t="n">
        <f aca="false">I!B116</f>
        <v>0</v>
      </c>
      <c r="I124" s="22" t="n">
        <f aca="false">J!B116</f>
        <v>0</v>
      </c>
      <c r="J124" s="22" t="n">
        <f aca="false">K!B116</f>
        <v>0</v>
      </c>
      <c r="K124" s="22" t="n">
        <f aca="false">L!B116</f>
        <v>0</v>
      </c>
      <c r="L124" s="22" t="n">
        <f aca="false">M!B116</f>
        <v>0</v>
      </c>
      <c r="M124" s="22" t="n">
        <f aca="false">N!B116</f>
        <v>0</v>
      </c>
      <c r="N124" s="22" t="n">
        <f aca="false">O!B116</f>
        <v>0</v>
      </c>
      <c r="O124" s="22" t="n">
        <f aca="false">P!B116</f>
        <v>0</v>
      </c>
      <c r="P124" s="22" t="n">
        <f aca="false">Q!B116</f>
        <v>0</v>
      </c>
      <c r="Q124" s="22" t="n">
        <f aca="false">R!B116</f>
        <v>0</v>
      </c>
      <c r="R124" s="22" t="n">
        <f aca="false">S!B116</f>
        <v>0</v>
      </c>
      <c r="S124" s="22" t="n">
        <f aca="false">T!B116</f>
        <v>0</v>
      </c>
      <c r="T124" s="22" t="n">
        <f aca="false">U!B116</f>
        <v>0</v>
      </c>
      <c r="U124" s="22" t="n">
        <f aca="false">V!B116</f>
        <v>0</v>
      </c>
      <c r="V124" s="22" t="n">
        <f aca="false">W!B116</f>
        <v>0</v>
      </c>
      <c r="W124" s="22" t="n">
        <f aca="false">X!B116</f>
        <v>0</v>
      </c>
      <c r="X124" s="23" t="n">
        <f aca="false">SUM(B124:W124)</f>
        <v>0</v>
      </c>
      <c r="Y124" s="24" t="n">
        <f aca="false">IF(AW124=0,0,X124/AW124)</f>
        <v>0</v>
      </c>
      <c r="Z124" s="25" t="n">
        <f aca="false">A124</f>
        <v>0</v>
      </c>
      <c r="AA124" s="16" t="n">
        <f aca="false">IF(B124=0,0,1)</f>
        <v>0</v>
      </c>
      <c r="AB124" s="0" t="n">
        <f aca="false">IF(C124=0,0,1)</f>
        <v>0</v>
      </c>
      <c r="AC124" s="0" t="n">
        <f aca="false">IF(D124=0,0,1)</f>
        <v>0</v>
      </c>
      <c r="AD124" s="0" t="n">
        <f aca="false">IF(E124=0,0,1)</f>
        <v>0</v>
      </c>
      <c r="AE124" s="0" t="n">
        <f aca="false">IF(F124=0,0,1)</f>
        <v>0</v>
      </c>
      <c r="AF124" s="0" t="n">
        <f aca="false">IF(G124=0,0,1)</f>
        <v>0</v>
      </c>
      <c r="AG124" s="0" t="n">
        <f aca="false">IF(H124=0,0,1)</f>
        <v>0</v>
      </c>
      <c r="AH124" s="0" t="n">
        <f aca="false">IF(I124=0,0,1)</f>
        <v>0</v>
      </c>
      <c r="AI124" s="0" t="n">
        <f aca="false">IF(J124=0,0,1)</f>
        <v>0</v>
      </c>
      <c r="AJ124" s="0" t="n">
        <f aca="false">IF(K124=0,0,1)</f>
        <v>0</v>
      </c>
      <c r="AK124" s="0" t="n">
        <f aca="false">IF(L124=0,0,1)</f>
        <v>0</v>
      </c>
      <c r="AL124" s="0" t="n">
        <f aca="false">IF(M124=0,0,1)</f>
        <v>0</v>
      </c>
      <c r="AM124" s="0" t="n">
        <f aca="false">IF(N124=0,0,1)</f>
        <v>0</v>
      </c>
      <c r="AN124" s="0" t="n">
        <f aca="false">IF(O124=0,0,1)</f>
        <v>0</v>
      </c>
      <c r="AO124" s="0" t="n">
        <f aca="false">IF(P124=0,0,1)</f>
        <v>0</v>
      </c>
      <c r="AP124" s="0" t="n">
        <f aca="false">IF(Q124=0,0,1)</f>
        <v>0</v>
      </c>
      <c r="AQ124" s="0" t="n">
        <f aca="false">IF(R124=0,0,1)</f>
        <v>0</v>
      </c>
      <c r="AR124" s="0" t="n">
        <f aca="false">IF(S124=0,0,1)</f>
        <v>0</v>
      </c>
      <c r="AS124" s="0" t="n">
        <f aca="false">IF(T124=0,0,1)</f>
        <v>0</v>
      </c>
      <c r="AT124" s="0" t="n">
        <f aca="false">IF(U124=0,0,1)</f>
        <v>0</v>
      </c>
      <c r="AU124" s="0" t="n">
        <f aca="false">IF(V124=0,0,1)</f>
        <v>0</v>
      </c>
      <c r="AV124" s="0" t="n">
        <f aca="false">IF(W124=0,0,1)</f>
        <v>0</v>
      </c>
      <c r="AW124" s="26" t="n">
        <f aca="false">SUM(AA124:AV124)</f>
        <v>0</v>
      </c>
      <c r="AX124" s="27" t="n">
        <f aca="false">IF(X124=0,0,X124)</f>
        <v>0</v>
      </c>
      <c r="AY124" s="1" t="n">
        <f aca="false">IF(X124=0,0,A124)</f>
        <v>0</v>
      </c>
      <c r="AZ124" s="28" t="n">
        <f aca="false">IF(AX124=0,0,A$116)</f>
        <v>0</v>
      </c>
      <c r="BA124" s="55" t="n">
        <v>0</v>
      </c>
      <c r="BB124" s="30" t="n">
        <v>0</v>
      </c>
      <c r="BC124" s="56" t="n">
        <v>0</v>
      </c>
      <c r="BD124" s="27"/>
      <c r="BE124" s="26"/>
      <c r="BF124" s="32"/>
      <c r="BG124" s="33"/>
    </row>
    <row r="125" customFormat="false" ht="15" hidden="false" customHeight="false" outlineLevel="0" collapsed="false">
      <c r="A125" s="38" t="s">
        <v>60</v>
      </c>
      <c r="B125" s="39" t="n">
        <f aca="false">SUM(B117:B124)</f>
        <v>184</v>
      </c>
      <c r="C125" s="39" t="n">
        <f aca="false">SUM(C117:C124)</f>
        <v>173</v>
      </c>
      <c r="D125" s="39" t="n">
        <f aca="false">SUM(D117:D124)</f>
        <v>200</v>
      </c>
      <c r="E125" s="39" t="n">
        <f aca="false">SUM(E117:E124)</f>
        <v>182</v>
      </c>
      <c r="F125" s="39" t="n">
        <f aca="false">SUM(F117:F124)</f>
        <v>210</v>
      </c>
      <c r="G125" s="39" t="n">
        <f aca="false">SUM(G117:G124)</f>
        <v>222</v>
      </c>
      <c r="H125" s="39" t="n">
        <f aca="false">SUM(H117:H124)</f>
        <v>0</v>
      </c>
      <c r="I125" s="39" t="n">
        <f aca="false">SUM(I117:I124)</f>
        <v>0</v>
      </c>
      <c r="J125" s="39" t="n">
        <f aca="false">SUM(J117:J124)</f>
        <v>0</v>
      </c>
      <c r="K125" s="39" t="n">
        <f aca="false">SUM(K117:K124)</f>
        <v>0</v>
      </c>
      <c r="L125" s="39" t="n">
        <f aca="false">SUM(L117:L124)</f>
        <v>0</v>
      </c>
      <c r="M125" s="39" t="n">
        <f aca="false">SUM(M117:M124)</f>
        <v>0</v>
      </c>
      <c r="N125" s="39" t="n">
        <f aca="false">SUM(N117:N124)</f>
        <v>0</v>
      </c>
      <c r="O125" s="39" t="n">
        <f aca="false">SUM(O117:O124)</f>
        <v>0</v>
      </c>
      <c r="P125" s="39" t="n">
        <f aca="false">SUM(P117:P124)</f>
        <v>0</v>
      </c>
      <c r="Q125" s="39" t="n">
        <f aca="false">SUM(Q117:Q124)</f>
        <v>0</v>
      </c>
      <c r="R125" s="39" t="n">
        <f aca="false">SUM(R117:R124)</f>
        <v>0</v>
      </c>
      <c r="S125" s="39" t="n">
        <f aca="false">SUM(S117:S124)</f>
        <v>0</v>
      </c>
      <c r="T125" s="39" t="n">
        <f aca="false">SUM(T117:T124)</f>
        <v>0</v>
      </c>
      <c r="U125" s="39" t="n">
        <f aca="false">SUM(U117:U124)</f>
        <v>0</v>
      </c>
      <c r="V125" s="39" t="n">
        <f aca="false">SUM(V117:V124)</f>
        <v>0</v>
      </c>
      <c r="W125" s="39" t="n">
        <f aca="false">SUM(W117:W124)</f>
        <v>0</v>
      </c>
      <c r="X125" s="40" t="n">
        <f aca="false">SUM(B125:W125)</f>
        <v>1171</v>
      </c>
      <c r="Y125" s="41" t="n">
        <f aca="false">IF(X125=0,0,X125/AW125)</f>
        <v>195.166666666667</v>
      </c>
      <c r="Z125" s="25"/>
      <c r="AA125" s="42" t="n">
        <f aca="false">SUM(AA117:AA124)</f>
        <v>5</v>
      </c>
      <c r="AB125" s="43" t="n">
        <f aca="false">SUM(AB117:AB124)</f>
        <v>5</v>
      </c>
      <c r="AC125" s="43" t="n">
        <f aca="false">SUM(AC117:AC124)</f>
        <v>5</v>
      </c>
      <c r="AD125" s="43" t="n">
        <f aca="false">SUM(AD117:AD124)</f>
        <v>5</v>
      </c>
      <c r="AE125" s="43" t="n">
        <f aca="false">SUM(AE117:AE124)</f>
        <v>5</v>
      </c>
      <c r="AF125" s="43" t="n">
        <f aca="false">SUM(AF117:AF124)</f>
        <v>5</v>
      </c>
      <c r="AG125" s="43" t="n">
        <f aca="false">SUM(AG117:AG124)</f>
        <v>0</v>
      </c>
      <c r="AH125" s="43" t="n">
        <f aca="false">SUM(AH117:AH124)</f>
        <v>0</v>
      </c>
      <c r="AI125" s="43" t="n">
        <f aca="false">SUM(AI117:AI124)</f>
        <v>0</v>
      </c>
      <c r="AJ125" s="43" t="n">
        <f aca="false">SUM(AJ117:AJ124)</f>
        <v>0</v>
      </c>
      <c r="AK125" s="43" t="n">
        <f aca="false">SUM(AK117:AK124)</f>
        <v>0</v>
      </c>
      <c r="AL125" s="43" t="n">
        <f aca="false">SUM(AL117:AL124)</f>
        <v>0</v>
      </c>
      <c r="AM125" s="43" t="n">
        <f aca="false">SUM(AM117:AM124)</f>
        <v>0</v>
      </c>
      <c r="AN125" s="43" t="n">
        <f aca="false">SUM(AN117:AN124)</f>
        <v>0</v>
      </c>
      <c r="AO125" s="43" t="n">
        <f aca="false">SUM(AO117:AO124)</f>
        <v>0</v>
      </c>
      <c r="AP125" s="43" t="n">
        <f aca="false">SUM(AP117:AP124)</f>
        <v>0</v>
      </c>
      <c r="AQ125" s="43" t="n">
        <f aca="false">SUM(AQ117:AQ124)</f>
        <v>0</v>
      </c>
      <c r="AR125" s="43" t="n">
        <f aca="false">SUM(AR117:AR124)</f>
        <v>0</v>
      </c>
      <c r="AS125" s="43" t="n">
        <f aca="false">SUM(AS117:AS124)</f>
        <v>0</v>
      </c>
      <c r="AT125" s="43" t="n">
        <f aca="false">SUM(AT117:AT124)</f>
        <v>0</v>
      </c>
      <c r="AU125" s="43" t="n">
        <f aca="false">SUM(AU117:AU124)</f>
        <v>0</v>
      </c>
      <c r="AV125" s="43" t="n">
        <f aca="false">SUM(AV117:AV124)</f>
        <v>0</v>
      </c>
      <c r="AW125" s="44" t="n">
        <f aca="false">MAXA(AW117:AW124)</f>
        <v>6</v>
      </c>
      <c r="AX125" s="27"/>
      <c r="AZ125" s="28"/>
      <c r="BA125" s="55" t="n">
        <v>0</v>
      </c>
      <c r="BB125" s="30" t="n">
        <v>0</v>
      </c>
      <c r="BC125" s="56" t="n">
        <v>0</v>
      </c>
      <c r="BD125" s="27"/>
      <c r="BE125" s="26"/>
      <c r="BF125" s="32"/>
      <c r="BG125" s="33"/>
    </row>
    <row r="126" customFormat="false" ht="15" hidden="false" customHeight="false" outlineLevel="0" collapsed="false">
      <c r="A126" s="54" t="s">
        <v>64</v>
      </c>
      <c r="B126" s="22" t="n">
        <f aca="false">C!B117</f>
        <v>0</v>
      </c>
      <c r="C126" s="22" t="n">
        <f aca="false">D!B117</f>
        <v>23.4</v>
      </c>
      <c r="D126" s="22" t="n">
        <f aca="false">E!B117</f>
        <v>0</v>
      </c>
      <c r="E126" s="22" t="n">
        <f aca="false">F!B117</f>
        <v>11.7</v>
      </c>
      <c r="F126" s="22" t="n">
        <f aca="false">G!B117</f>
        <v>5.175</v>
      </c>
      <c r="G126" s="22" t="n">
        <f aca="false">H!B117</f>
        <v>5.58</v>
      </c>
      <c r="H126" s="22" t="n">
        <f aca="false">I!B117</f>
        <v>0</v>
      </c>
      <c r="I126" s="22" t="n">
        <f aca="false">J!B117</f>
        <v>0</v>
      </c>
      <c r="J126" s="22" t="n">
        <f aca="false">K!B117</f>
        <v>0</v>
      </c>
      <c r="K126" s="22" t="n">
        <f aca="false">L!B117</f>
        <v>0</v>
      </c>
      <c r="L126" s="22" t="n">
        <f aca="false">M!B117</f>
        <v>0</v>
      </c>
      <c r="M126" s="22" t="n">
        <f aca="false">N!B117</f>
        <v>0</v>
      </c>
      <c r="N126" s="22" t="n">
        <f aca="false">O!B117</f>
        <v>0</v>
      </c>
      <c r="O126" s="22" t="n">
        <f aca="false">P!B117</f>
        <v>0</v>
      </c>
      <c r="P126" s="22" t="n">
        <f aca="false">Q!B117</f>
        <v>0</v>
      </c>
      <c r="Q126" s="22" t="n">
        <f aca="false">R!B117</f>
        <v>0</v>
      </c>
      <c r="R126" s="22" t="n">
        <f aca="false">S!B117</f>
        <v>0</v>
      </c>
      <c r="S126" s="22" t="n">
        <f aca="false">T!B117</f>
        <v>0</v>
      </c>
      <c r="T126" s="22" t="n">
        <f aca="false">U!B117</f>
        <v>0</v>
      </c>
      <c r="U126" s="22" t="n">
        <f aca="false">V!B117</f>
        <v>0</v>
      </c>
      <c r="V126" s="22" t="n">
        <f aca="false">W!B117</f>
        <v>0</v>
      </c>
      <c r="W126" s="22" t="n">
        <f aca="false">X!B117</f>
        <v>0</v>
      </c>
      <c r="X126" s="23" t="n">
        <f aca="false">SUM(B126:W126)</f>
        <v>45.855</v>
      </c>
      <c r="Y126" s="47"/>
      <c r="Z126" s="25"/>
      <c r="AA126" s="16"/>
      <c r="AW126" s="26"/>
      <c r="AX126" s="27"/>
      <c r="AZ126" s="28"/>
      <c r="BA126" s="55" t="n">
        <v>0</v>
      </c>
      <c r="BB126" s="30" t="n">
        <v>0</v>
      </c>
      <c r="BC126" s="56" t="n">
        <v>0</v>
      </c>
      <c r="BD126" s="27"/>
      <c r="BE126" s="26"/>
      <c r="BF126" s="32"/>
      <c r="BG126" s="33"/>
    </row>
    <row r="127" customFormat="false" ht="15" hidden="false" customHeight="false" outlineLevel="0" collapsed="false">
      <c r="A127" s="48" t="s">
        <v>68</v>
      </c>
      <c r="B127" s="49" t="n">
        <f aca="false">SUM(B125:B126)</f>
        <v>184</v>
      </c>
      <c r="C127" s="49" t="n">
        <f aca="false">SUM(C125:C126)</f>
        <v>196.4</v>
      </c>
      <c r="D127" s="49" t="n">
        <f aca="false">SUM(D125:D126)</f>
        <v>200</v>
      </c>
      <c r="E127" s="49" t="n">
        <f aca="false">SUM(E125:E126)</f>
        <v>193.7</v>
      </c>
      <c r="F127" s="49" t="n">
        <f aca="false">SUM(F125:F126)</f>
        <v>215.175</v>
      </c>
      <c r="G127" s="49" t="n">
        <f aca="false">SUM(G125:G126)</f>
        <v>227.58</v>
      </c>
      <c r="H127" s="49" t="n">
        <f aca="false">SUM(H125:H126)</f>
        <v>0</v>
      </c>
      <c r="I127" s="49" t="n">
        <f aca="false">SUM(I125:I126)</f>
        <v>0</v>
      </c>
      <c r="J127" s="49" t="n">
        <f aca="false">SUM(J125:J126)</f>
        <v>0</v>
      </c>
      <c r="K127" s="49" t="n">
        <f aca="false">SUM(K125:K126)</f>
        <v>0</v>
      </c>
      <c r="L127" s="49" t="n">
        <f aca="false">SUM(L125:L126)</f>
        <v>0</v>
      </c>
      <c r="M127" s="49" t="n">
        <f aca="false">SUM(M125:M126)</f>
        <v>0</v>
      </c>
      <c r="N127" s="49" t="n">
        <f aca="false">SUM(N125:N126)</f>
        <v>0</v>
      </c>
      <c r="O127" s="49" t="n">
        <f aca="false">SUM(O125:O126)</f>
        <v>0</v>
      </c>
      <c r="P127" s="49" t="n">
        <f aca="false">SUM(P125:P126)</f>
        <v>0</v>
      </c>
      <c r="Q127" s="49" t="n">
        <f aca="false">SUM(Q125:Q126)</f>
        <v>0</v>
      </c>
      <c r="R127" s="49" t="n">
        <f aca="false">SUM(R125:R126)</f>
        <v>0</v>
      </c>
      <c r="S127" s="49" t="n">
        <f aca="false">SUM(S125:S126)</f>
        <v>0</v>
      </c>
      <c r="T127" s="49" t="n">
        <f aca="false">SUM(T125:T126)</f>
        <v>0</v>
      </c>
      <c r="U127" s="49" t="n">
        <f aca="false">SUM(U125:U126)</f>
        <v>0</v>
      </c>
      <c r="V127" s="49" t="n">
        <f aca="false">SUM(V125:V126)</f>
        <v>0</v>
      </c>
      <c r="W127" s="49" t="n">
        <f aca="false">SUM(W125:W126)</f>
        <v>0</v>
      </c>
      <c r="X127" s="50" t="n">
        <f aca="false">SUM(B127:W127)</f>
        <v>1216.855</v>
      </c>
      <c r="Y127" s="51"/>
      <c r="Z127" s="25"/>
      <c r="AA127" s="16"/>
      <c r="AW127" s="26"/>
      <c r="AX127" s="27"/>
      <c r="AZ127" s="28"/>
      <c r="BA127" s="55" t="n">
        <v>0</v>
      </c>
      <c r="BB127" s="30" t="n">
        <v>0</v>
      </c>
      <c r="BC127" s="56" t="n">
        <v>0</v>
      </c>
      <c r="BD127" s="27" t="n">
        <f aca="false">X127</f>
        <v>1216.855</v>
      </c>
      <c r="BE127" s="26" t="str">
        <f aca="false">A116</f>
        <v>THE DOUGERNAUTS</v>
      </c>
      <c r="BF127" s="32"/>
      <c r="BG127" s="33"/>
    </row>
    <row r="128" customFormat="false" ht="15" hidden="false" customHeight="false" outlineLevel="0" collapsed="false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25"/>
      <c r="AA128" s="16"/>
      <c r="AW128" s="26"/>
      <c r="AX128" s="27"/>
      <c r="AZ128" s="28"/>
      <c r="BA128" s="55" t="n">
        <v>0</v>
      </c>
      <c r="BB128" s="30" t="n">
        <v>0</v>
      </c>
      <c r="BC128" s="56" t="n">
        <v>0</v>
      </c>
      <c r="BD128" s="27"/>
      <c r="BE128" s="26"/>
      <c r="BF128" s="32"/>
      <c r="BG128" s="33"/>
    </row>
    <row r="129" customFormat="false" ht="15" hidden="false" customHeight="false" outlineLevel="0" collapsed="false">
      <c r="A129" s="5" t="s">
        <v>132</v>
      </c>
      <c r="B129" s="6" t="s">
        <v>1</v>
      </c>
      <c r="C129" s="6" t="s">
        <v>2</v>
      </c>
      <c r="D129" s="6" t="s">
        <v>3</v>
      </c>
      <c r="E129" s="6" t="s">
        <v>4</v>
      </c>
      <c r="F129" s="6" t="s">
        <v>5</v>
      </c>
      <c r="G129" s="6" t="s">
        <v>6</v>
      </c>
      <c r="H129" s="6" t="s">
        <v>7</v>
      </c>
      <c r="I129" s="6" t="s">
        <v>8</v>
      </c>
      <c r="J129" s="6" t="s">
        <v>9</v>
      </c>
      <c r="K129" s="6" t="s">
        <v>10</v>
      </c>
      <c r="L129" s="6" t="s">
        <v>11</v>
      </c>
      <c r="M129" s="6" t="s">
        <v>12</v>
      </c>
      <c r="N129" s="6" t="s">
        <v>13</v>
      </c>
      <c r="O129" s="6" t="s">
        <v>14</v>
      </c>
      <c r="P129" s="6" t="s">
        <v>15</v>
      </c>
      <c r="Q129" s="6" t="s">
        <v>16</v>
      </c>
      <c r="R129" s="6" t="s">
        <v>17</v>
      </c>
      <c r="S129" s="6" t="s">
        <v>18</v>
      </c>
      <c r="T129" s="6" t="s">
        <v>19</v>
      </c>
      <c r="U129" s="6" t="s">
        <v>20</v>
      </c>
      <c r="V129" s="6" t="s">
        <v>21</v>
      </c>
      <c r="W129" s="6" t="s">
        <v>22</v>
      </c>
      <c r="X129" s="34"/>
      <c r="Y129" s="34"/>
      <c r="Z129" s="4" t="str">
        <f aca="false">A129</f>
        <v>Team #10 Name:</v>
      </c>
      <c r="AA129" s="16"/>
      <c r="AW129" s="26"/>
      <c r="AX129" s="27"/>
      <c r="AZ129" s="28"/>
      <c r="BA129" s="55" t="n">
        <v>0</v>
      </c>
      <c r="BB129" s="30" t="n">
        <v>0</v>
      </c>
      <c r="BC129" s="56" t="n">
        <v>0</v>
      </c>
      <c r="BD129" s="27"/>
      <c r="BE129" s="26"/>
      <c r="BF129" s="32"/>
      <c r="BG129" s="33"/>
    </row>
    <row r="130" customFormat="false" ht="15" hidden="false" customHeight="false" outlineLevel="0" collapsed="false">
      <c r="A130" s="11" t="str">
        <f aca="false">B!B403</f>
        <v>CRAZY TRAIN</v>
      </c>
      <c r="B130" s="52" t="s">
        <v>28</v>
      </c>
      <c r="C130" s="52" t="s">
        <v>28</v>
      </c>
      <c r="D130" s="52" t="s">
        <v>28</v>
      </c>
      <c r="E130" s="52" t="s">
        <v>28</v>
      </c>
      <c r="F130" s="52" t="s">
        <v>28</v>
      </c>
      <c r="G130" s="52" t="s">
        <v>28</v>
      </c>
      <c r="H130" s="52" t="s">
        <v>28</v>
      </c>
      <c r="I130" s="52" t="s">
        <v>28</v>
      </c>
      <c r="J130" s="52" t="s">
        <v>28</v>
      </c>
      <c r="K130" s="52" t="s">
        <v>28</v>
      </c>
      <c r="L130" s="52" t="s">
        <v>28</v>
      </c>
      <c r="M130" s="52" t="s">
        <v>28</v>
      </c>
      <c r="N130" s="52" t="s">
        <v>28</v>
      </c>
      <c r="O130" s="52" t="s">
        <v>28</v>
      </c>
      <c r="P130" s="52" t="s">
        <v>28</v>
      </c>
      <c r="Q130" s="52" t="s">
        <v>28</v>
      </c>
      <c r="R130" s="52" t="s">
        <v>28</v>
      </c>
      <c r="S130" s="52" t="s">
        <v>28</v>
      </c>
      <c r="T130" s="52" t="s">
        <v>28</v>
      </c>
      <c r="U130" s="52" t="s">
        <v>28</v>
      </c>
      <c r="V130" s="52" t="s">
        <v>28</v>
      </c>
      <c r="W130" s="52" t="s">
        <v>28</v>
      </c>
      <c r="X130" s="13" t="s">
        <v>29</v>
      </c>
      <c r="Y130" s="14" t="s">
        <v>30</v>
      </c>
      <c r="Z130" s="15" t="str">
        <f aca="false">A130</f>
        <v>CRAZY TRAIN</v>
      </c>
      <c r="AA130" s="16"/>
      <c r="AW130" s="17" t="s">
        <v>31</v>
      </c>
      <c r="AX130" s="27"/>
      <c r="AZ130" s="28"/>
      <c r="BA130" s="55" t="n">
        <v>0</v>
      </c>
      <c r="BB130" s="30" t="n">
        <v>0</v>
      </c>
      <c r="BC130" s="56" t="n">
        <v>0</v>
      </c>
      <c r="BD130" s="27"/>
      <c r="BE130" s="26"/>
      <c r="BF130" s="32"/>
      <c r="BG130" s="33"/>
    </row>
    <row r="131" customFormat="false" ht="15" hidden="false" customHeight="false" outlineLevel="0" collapsed="false">
      <c r="A131" s="21" t="str">
        <f aca="false">B!B405</f>
        <v>DARRIC</v>
      </c>
      <c r="B131" s="22" t="n">
        <f aca="false">C!B122</f>
        <v>46</v>
      </c>
      <c r="C131" s="22" t="n">
        <f aca="false">D!B122</f>
        <v>40</v>
      </c>
      <c r="D131" s="22" t="n">
        <f aca="false">E!B122</f>
        <v>47</v>
      </c>
      <c r="E131" s="22" t="n">
        <f aca="false">F!B122</f>
        <v>40</v>
      </c>
      <c r="F131" s="22" t="n">
        <f aca="false">G!B122</f>
        <v>44</v>
      </c>
      <c r="G131" s="22" t="n">
        <f aca="false">H!B122</f>
        <v>42</v>
      </c>
      <c r="H131" s="22" t="n">
        <f aca="false">I!B122</f>
        <v>0</v>
      </c>
      <c r="I131" s="22" t="n">
        <f aca="false">J!B122</f>
        <v>0</v>
      </c>
      <c r="J131" s="22" t="n">
        <f aca="false">K!B122</f>
        <v>0</v>
      </c>
      <c r="K131" s="22" t="n">
        <f aca="false">L!B122</f>
        <v>0</v>
      </c>
      <c r="L131" s="22" t="n">
        <f aca="false">M!B122</f>
        <v>0</v>
      </c>
      <c r="M131" s="22" t="n">
        <f aca="false">N!B122</f>
        <v>0</v>
      </c>
      <c r="N131" s="22" t="n">
        <f aca="false">O!B122</f>
        <v>0</v>
      </c>
      <c r="O131" s="22" t="n">
        <f aca="false">P!B122</f>
        <v>0</v>
      </c>
      <c r="P131" s="22" t="n">
        <f aca="false">Q!B122</f>
        <v>0</v>
      </c>
      <c r="Q131" s="22" t="n">
        <f aca="false">R!B122</f>
        <v>0</v>
      </c>
      <c r="R131" s="22" t="n">
        <f aca="false">S!B122</f>
        <v>0</v>
      </c>
      <c r="S131" s="22" t="n">
        <f aca="false">T!B122</f>
        <v>0</v>
      </c>
      <c r="T131" s="22" t="n">
        <f aca="false">U!B122</f>
        <v>0</v>
      </c>
      <c r="U131" s="22" t="n">
        <f aca="false">V!B122</f>
        <v>0</v>
      </c>
      <c r="V131" s="22" t="n">
        <f aca="false">W!B122</f>
        <v>0</v>
      </c>
      <c r="W131" s="22" t="n">
        <f aca="false">X!B122</f>
        <v>0</v>
      </c>
      <c r="X131" s="23" t="n">
        <f aca="false">SUM(B131:W131)</f>
        <v>259</v>
      </c>
      <c r="Y131" s="24" t="n">
        <f aca="false">IF(AW131=0,0,X131/AW131)</f>
        <v>43.1666666666667</v>
      </c>
      <c r="Z131" s="25" t="str">
        <f aca="false">A131</f>
        <v>DARRIC</v>
      </c>
      <c r="AA131" s="16" t="n">
        <f aca="false">IF(B131=0,0,1)</f>
        <v>1</v>
      </c>
      <c r="AB131" s="0" t="n">
        <f aca="false">IF(C131=0,0,1)</f>
        <v>1</v>
      </c>
      <c r="AC131" s="0" t="n">
        <f aca="false">IF(D131=0,0,1)</f>
        <v>1</v>
      </c>
      <c r="AD131" s="0" t="n">
        <f aca="false">IF(E131=0,0,1)</f>
        <v>1</v>
      </c>
      <c r="AE131" s="0" t="n">
        <f aca="false">IF(F131=0,0,1)</f>
        <v>1</v>
      </c>
      <c r="AF131" s="0" t="n">
        <f aca="false">IF(G131=0,0,1)</f>
        <v>1</v>
      </c>
      <c r="AG131" s="0" t="n">
        <f aca="false">IF(H131=0,0,1)</f>
        <v>0</v>
      </c>
      <c r="AH131" s="0" t="n">
        <f aca="false">IF(I131=0,0,1)</f>
        <v>0</v>
      </c>
      <c r="AI131" s="0" t="n">
        <f aca="false">IF(J131=0,0,1)</f>
        <v>0</v>
      </c>
      <c r="AJ131" s="0" t="n">
        <f aca="false">IF(K131=0,0,1)</f>
        <v>0</v>
      </c>
      <c r="AK131" s="0" t="n">
        <f aca="false">IF(L131=0,0,1)</f>
        <v>0</v>
      </c>
      <c r="AL131" s="0" t="n">
        <f aca="false">IF(M131=0,0,1)</f>
        <v>0</v>
      </c>
      <c r="AM131" s="0" t="n">
        <f aca="false">IF(N131=0,0,1)</f>
        <v>0</v>
      </c>
      <c r="AN131" s="0" t="n">
        <f aca="false">IF(O131=0,0,1)</f>
        <v>0</v>
      </c>
      <c r="AO131" s="0" t="n">
        <f aca="false">IF(P131=0,0,1)</f>
        <v>0</v>
      </c>
      <c r="AP131" s="0" t="n">
        <f aca="false">IF(Q131=0,0,1)</f>
        <v>0</v>
      </c>
      <c r="AQ131" s="0" t="n">
        <f aca="false">IF(R131=0,0,1)</f>
        <v>0</v>
      </c>
      <c r="AR131" s="0" t="n">
        <f aca="false">IF(S131=0,0,1)</f>
        <v>0</v>
      </c>
      <c r="AS131" s="0" t="n">
        <f aca="false">IF(T131=0,0,1)</f>
        <v>0</v>
      </c>
      <c r="AT131" s="0" t="n">
        <f aca="false">IF(U131=0,0,1)</f>
        <v>0</v>
      </c>
      <c r="AU131" s="0" t="n">
        <f aca="false">IF(V131=0,0,1)</f>
        <v>0</v>
      </c>
      <c r="AV131" s="0" t="n">
        <f aca="false">IF(W131=0,0,1)</f>
        <v>0</v>
      </c>
      <c r="AW131" s="26" t="n">
        <f aca="false">SUM(AA131:AV131)</f>
        <v>6</v>
      </c>
      <c r="AX131" s="27" t="n">
        <f aca="false">IF(X131=0,0,X131)</f>
        <v>259</v>
      </c>
      <c r="AY131" s="1" t="str">
        <f aca="false">IF(X131=0,0,A131)</f>
        <v>DARRIC</v>
      </c>
      <c r="AZ131" s="28" t="str">
        <f aca="false">IF(AX131=0,0,A$130)</f>
        <v>CRAZY TRAIN</v>
      </c>
      <c r="BA131" s="55" t="n">
        <v>0</v>
      </c>
      <c r="BB131" s="30" t="n">
        <v>0</v>
      </c>
      <c r="BC131" s="56" t="n">
        <v>0</v>
      </c>
      <c r="BD131" s="27"/>
      <c r="BE131" s="26"/>
      <c r="BF131" s="32"/>
      <c r="BG131" s="33"/>
    </row>
    <row r="132" customFormat="false" ht="15" hidden="false" customHeight="false" outlineLevel="0" collapsed="false">
      <c r="A132" s="21" t="str">
        <f aca="false">B!B410</f>
        <v>CHRIS</v>
      </c>
      <c r="B132" s="22" t="n">
        <f aca="false">C!B123</f>
        <v>50</v>
      </c>
      <c r="C132" s="22" t="n">
        <f aca="false">D!B123</f>
        <v>42</v>
      </c>
      <c r="D132" s="22" t="n">
        <f aca="false">E!B123</f>
        <v>50</v>
      </c>
      <c r="E132" s="22" t="n">
        <f aca="false">F!B123</f>
        <v>40</v>
      </c>
      <c r="F132" s="22" t="n">
        <f aca="false">G!B123</f>
        <v>50</v>
      </c>
      <c r="G132" s="22" t="n">
        <f aca="false">H!B123</f>
        <v>43</v>
      </c>
      <c r="H132" s="22" t="n">
        <f aca="false">I!B123</f>
        <v>0</v>
      </c>
      <c r="I132" s="22" t="n">
        <f aca="false">J!B123</f>
        <v>0</v>
      </c>
      <c r="J132" s="22" t="n">
        <f aca="false">K!B123</f>
        <v>0</v>
      </c>
      <c r="K132" s="22" t="n">
        <f aca="false">L!B123</f>
        <v>0</v>
      </c>
      <c r="L132" s="22" t="n">
        <f aca="false">M!B123</f>
        <v>0</v>
      </c>
      <c r="M132" s="22" t="n">
        <f aca="false">N!B123</f>
        <v>0</v>
      </c>
      <c r="N132" s="22" t="n">
        <f aca="false">O!B123</f>
        <v>0</v>
      </c>
      <c r="O132" s="22" t="n">
        <f aca="false">P!B123</f>
        <v>0</v>
      </c>
      <c r="P132" s="22" t="n">
        <f aca="false">Q!B123</f>
        <v>0</v>
      </c>
      <c r="Q132" s="22" t="n">
        <f aca="false">R!B123</f>
        <v>0</v>
      </c>
      <c r="R132" s="22" t="n">
        <f aca="false">S!B123</f>
        <v>0</v>
      </c>
      <c r="S132" s="22" t="n">
        <f aca="false">T!B123</f>
        <v>0</v>
      </c>
      <c r="T132" s="22" t="n">
        <f aca="false">U!B123</f>
        <v>0</v>
      </c>
      <c r="U132" s="22" t="n">
        <f aca="false">V!B123</f>
        <v>0</v>
      </c>
      <c r="V132" s="22" t="n">
        <f aca="false">W!B123</f>
        <v>0</v>
      </c>
      <c r="W132" s="22" t="n">
        <f aca="false">X!B123</f>
        <v>0</v>
      </c>
      <c r="X132" s="23" t="n">
        <f aca="false">SUM(B132:W132)</f>
        <v>275</v>
      </c>
      <c r="Y132" s="24" t="n">
        <f aca="false">IF(AW132=0,0,X132/AW132)</f>
        <v>45.8333333333333</v>
      </c>
      <c r="Z132" s="25" t="str">
        <f aca="false">A132</f>
        <v>CHRIS</v>
      </c>
      <c r="AA132" s="16" t="n">
        <f aca="false">IF(B132=0,0,1)</f>
        <v>1</v>
      </c>
      <c r="AB132" s="0" t="n">
        <f aca="false">IF(C132=0,0,1)</f>
        <v>1</v>
      </c>
      <c r="AC132" s="0" t="n">
        <f aca="false">IF(D132=0,0,1)</f>
        <v>1</v>
      </c>
      <c r="AD132" s="0" t="n">
        <f aca="false">IF(E132=0,0,1)</f>
        <v>1</v>
      </c>
      <c r="AE132" s="0" t="n">
        <f aca="false">IF(F132=0,0,1)</f>
        <v>1</v>
      </c>
      <c r="AF132" s="0" t="n">
        <f aca="false">IF(G132=0,0,1)</f>
        <v>1</v>
      </c>
      <c r="AG132" s="0" t="n">
        <f aca="false">IF(H132=0,0,1)</f>
        <v>0</v>
      </c>
      <c r="AH132" s="0" t="n">
        <f aca="false">IF(I132=0,0,1)</f>
        <v>0</v>
      </c>
      <c r="AI132" s="0" t="n">
        <f aca="false">IF(J132=0,0,1)</f>
        <v>0</v>
      </c>
      <c r="AJ132" s="0" t="n">
        <f aca="false">IF(K132=0,0,1)</f>
        <v>0</v>
      </c>
      <c r="AK132" s="0" t="n">
        <f aca="false">IF(L132=0,0,1)</f>
        <v>0</v>
      </c>
      <c r="AL132" s="0" t="n">
        <f aca="false">IF(M132=0,0,1)</f>
        <v>0</v>
      </c>
      <c r="AM132" s="0" t="n">
        <f aca="false">IF(N132=0,0,1)</f>
        <v>0</v>
      </c>
      <c r="AN132" s="0" t="n">
        <f aca="false">IF(O132=0,0,1)</f>
        <v>0</v>
      </c>
      <c r="AO132" s="0" t="n">
        <f aca="false">IF(P132=0,0,1)</f>
        <v>0</v>
      </c>
      <c r="AP132" s="0" t="n">
        <f aca="false">IF(Q132=0,0,1)</f>
        <v>0</v>
      </c>
      <c r="AQ132" s="0" t="n">
        <f aca="false">IF(R132=0,0,1)</f>
        <v>0</v>
      </c>
      <c r="AR132" s="0" t="n">
        <f aca="false">IF(S132=0,0,1)</f>
        <v>0</v>
      </c>
      <c r="AS132" s="0" t="n">
        <f aca="false">IF(T132=0,0,1)</f>
        <v>0</v>
      </c>
      <c r="AT132" s="0" t="n">
        <f aca="false">IF(U132=0,0,1)</f>
        <v>0</v>
      </c>
      <c r="AU132" s="0" t="n">
        <f aca="false">IF(V132=0,0,1)</f>
        <v>0</v>
      </c>
      <c r="AV132" s="0" t="n">
        <f aca="false">IF(W132=0,0,1)</f>
        <v>0</v>
      </c>
      <c r="AW132" s="26" t="n">
        <f aca="false">SUM(AA132:AV132)</f>
        <v>6</v>
      </c>
      <c r="AX132" s="27" t="n">
        <f aca="false">IF(X132=0,0,X132)</f>
        <v>275</v>
      </c>
      <c r="AY132" s="1" t="str">
        <f aca="false">IF(X132=0,0,A132)</f>
        <v>CHRIS</v>
      </c>
      <c r="AZ132" s="28" t="str">
        <f aca="false">IF(AX132=0,0,A$130)</f>
        <v>CRAZY TRAIN</v>
      </c>
      <c r="BA132" s="55" t="n">
        <v>0</v>
      </c>
      <c r="BB132" s="30" t="n">
        <v>0</v>
      </c>
      <c r="BC132" s="56" t="n">
        <v>0</v>
      </c>
      <c r="BD132" s="27"/>
      <c r="BE132" s="26"/>
      <c r="BF132" s="32"/>
      <c r="BG132" s="33"/>
    </row>
    <row r="133" customFormat="false" ht="15" hidden="false" customHeight="false" outlineLevel="0" collapsed="false">
      <c r="A133" s="21" t="str">
        <f aca="false">B!B415</f>
        <v>MIKE R.</v>
      </c>
      <c r="B133" s="22" t="n">
        <f aca="false">C!B124</f>
        <v>28</v>
      </c>
      <c r="C133" s="22" t="n">
        <f aca="false">D!B124</f>
        <v>35</v>
      </c>
      <c r="D133" s="22" t="n">
        <f aca="false">E!B124</f>
        <v>50</v>
      </c>
      <c r="E133" s="22" t="n">
        <f aca="false">F!B124</f>
        <v>40</v>
      </c>
      <c r="F133" s="22" t="n">
        <f aca="false">G!B124</f>
        <v>47</v>
      </c>
      <c r="G133" s="22" t="n">
        <f aca="false">H!B124</f>
        <v>39</v>
      </c>
      <c r="H133" s="22" t="n">
        <f aca="false">I!B124</f>
        <v>0</v>
      </c>
      <c r="I133" s="22" t="n">
        <f aca="false">J!B124</f>
        <v>0</v>
      </c>
      <c r="J133" s="22" t="n">
        <f aca="false">K!B124</f>
        <v>0</v>
      </c>
      <c r="K133" s="22" t="n">
        <f aca="false">L!B124</f>
        <v>0</v>
      </c>
      <c r="L133" s="22" t="n">
        <f aca="false">M!B124</f>
        <v>0</v>
      </c>
      <c r="M133" s="22" t="n">
        <f aca="false">N!B124</f>
        <v>0</v>
      </c>
      <c r="N133" s="22" t="n">
        <f aca="false">O!B124</f>
        <v>0</v>
      </c>
      <c r="O133" s="22" t="n">
        <f aca="false">P!B124</f>
        <v>0</v>
      </c>
      <c r="P133" s="22" t="n">
        <f aca="false">Q!B124</f>
        <v>0</v>
      </c>
      <c r="Q133" s="22" t="n">
        <f aca="false">R!B124</f>
        <v>0</v>
      </c>
      <c r="R133" s="22" t="n">
        <f aca="false">S!B124</f>
        <v>0</v>
      </c>
      <c r="S133" s="22" t="n">
        <f aca="false">T!B124</f>
        <v>0</v>
      </c>
      <c r="T133" s="22" t="n">
        <f aca="false">U!B124</f>
        <v>0</v>
      </c>
      <c r="U133" s="22" t="n">
        <f aca="false">V!B124</f>
        <v>0</v>
      </c>
      <c r="V133" s="22" t="n">
        <f aca="false">W!B124</f>
        <v>0</v>
      </c>
      <c r="W133" s="22" t="n">
        <f aca="false">X!B124</f>
        <v>0</v>
      </c>
      <c r="X133" s="23" t="n">
        <f aca="false">SUM(B133:W133)</f>
        <v>239</v>
      </c>
      <c r="Y133" s="24" t="n">
        <f aca="false">IF(AW133=0,0,X133/AW133)</f>
        <v>39.8333333333333</v>
      </c>
      <c r="Z133" s="25" t="str">
        <f aca="false">A133</f>
        <v>MIKE R.</v>
      </c>
      <c r="AA133" s="16" t="n">
        <f aca="false">IF(B133=0,0,1)</f>
        <v>1</v>
      </c>
      <c r="AB133" s="0" t="n">
        <f aca="false">IF(C133=0,0,1)</f>
        <v>1</v>
      </c>
      <c r="AC133" s="0" t="n">
        <f aca="false">IF(D133=0,0,1)</f>
        <v>1</v>
      </c>
      <c r="AD133" s="0" t="n">
        <f aca="false">IF(E133=0,0,1)</f>
        <v>1</v>
      </c>
      <c r="AE133" s="0" t="n">
        <f aca="false">IF(F133=0,0,1)</f>
        <v>1</v>
      </c>
      <c r="AF133" s="0" t="n">
        <f aca="false">IF(G133=0,0,1)</f>
        <v>1</v>
      </c>
      <c r="AG133" s="0" t="n">
        <f aca="false">IF(H133=0,0,1)</f>
        <v>0</v>
      </c>
      <c r="AH133" s="0" t="n">
        <f aca="false">IF(I133=0,0,1)</f>
        <v>0</v>
      </c>
      <c r="AI133" s="0" t="n">
        <f aca="false">IF(J133=0,0,1)</f>
        <v>0</v>
      </c>
      <c r="AJ133" s="0" t="n">
        <f aca="false">IF(K133=0,0,1)</f>
        <v>0</v>
      </c>
      <c r="AK133" s="0" t="n">
        <f aca="false">IF(L133=0,0,1)</f>
        <v>0</v>
      </c>
      <c r="AL133" s="0" t="n">
        <f aca="false">IF(M133=0,0,1)</f>
        <v>0</v>
      </c>
      <c r="AM133" s="0" t="n">
        <f aca="false">IF(N133=0,0,1)</f>
        <v>0</v>
      </c>
      <c r="AN133" s="0" t="n">
        <f aca="false">IF(O133=0,0,1)</f>
        <v>0</v>
      </c>
      <c r="AO133" s="0" t="n">
        <f aca="false">IF(P133=0,0,1)</f>
        <v>0</v>
      </c>
      <c r="AP133" s="0" t="n">
        <f aca="false">IF(Q133=0,0,1)</f>
        <v>0</v>
      </c>
      <c r="AQ133" s="0" t="n">
        <f aca="false">IF(R133=0,0,1)</f>
        <v>0</v>
      </c>
      <c r="AR133" s="0" t="n">
        <f aca="false">IF(S133=0,0,1)</f>
        <v>0</v>
      </c>
      <c r="AS133" s="0" t="n">
        <f aca="false">IF(T133=0,0,1)</f>
        <v>0</v>
      </c>
      <c r="AT133" s="0" t="n">
        <f aca="false">IF(U133=0,0,1)</f>
        <v>0</v>
      </c>
      <c r="AU133" s="0" t="n">
        <f aca="false">IF(V133=0,0,1)</f>
        <v>0</v>
      </c>
      <c r="AV133" s="0" t="n">
        <f aca="false">IF(W133=0,0,1)</f>
        <v>0</v>
      </c>
      <c r="AW133" s="26" t="n">
        <f aca="false">SUM(AA133:AV133)</f>
        <v>6</v>
      </c>
      <c r="AX133" s="27" t="n">
        <f aca="false">IF(X133=0,0,X133)</f>
        <v>239</v>
      </c>
      <c r="AY133" s="1" t="str">
        <f aca="false">IF(X133=0,0,A133)</f>
        <v>MIKE R.</v>
      </c>
      <c r="AZ133" s="28" t="str">
        <f aca="false">IF(AX133=0,0,A$130)</f>
        <v>CRAZY TRAIN</v>
      </c>
      <c r="BA133" s="55" t="n">
        <v>0</v>
      </c>
      <c r="BB133" s="30" t="n">
        <v>0</v>
      </c>
      <c r="BC133" s="56" t="n">
        <v>0</v>
      </c>
      <c r="BD133" s="27"/>
      <c r="BE133" s="26"/>
      <c r="BF133" s="32"/>
      <c r="BG133" s="33"/>
    </row>
    <row r="134" customFormat="false" ht="15" hidden="false" customHeight="false" outlineLevel="0" collapsed="false">
      <c r="A134" s="21" t="str">
        <f aca="false">B!B420</f>
        <v>SERGEI</v>
      </c>
      <c r="B134" s="22" t="n">
        <f aca="false">C!B125</f>
        <v>40</v>
      </c>
      <c r="C134" s="22" t="n">
        <f aca="false">D!B125</f>
        <v>41</v>
      </c>
      <c r="D134" s="22" t="n">
        <f aca="false">E!B125</f>
        <v>42</v>
      </c>
      <c r="E134" s="22" t="n">
        <f aca="false">F!B125</f>
        <v>40</v>
      </c>
      <c r="F134" s="22" t="n">
        <f aca="false">G!B125</f>
        <v>47</v>
      </c>
      <c r="G134" s="22" t="n">
        <f aca="false">H!B125</f>
        <v>34</v>
      </c>
      <c r="H134" s="22" t="n">
        <f aca="false">I!B125</f>
        <v>0</v>
      </c>
      <c r="I134" s="22" t="n">
        <f aca="false">J!B125</f>
        <v>0</v>
      </c>
      <c r="J134" s="22" t="n">
        <f aca="false">K!B125</f>
        <v>0</v>
      </c>
      <c r="K134" s="22" t="n">
        <f aca="false">L!B125</f>
        <v>0</v>
      </c>
      <c r="L134" s="22" t="n">
        <f aca="false">M!B125</f>
        <v>0</v>
      </c>
      <c r="M134" s="22" t="n">
        <f aca="false">N!B125</f>
        <v>0</v>
      </c>
      <c r="N134" s="22" t="n">
        <f aca="false">O!B125</f>
        <v>0</v>
      </c>
      <c r="O134" s="22" t="n">
        <f aca="false">P!B125</f>
        <v>0</v>
      </c>
      <c r="P134" s="22" t="n">
        <f aca="false">Q!B125</f>
        <v>0</v>
      </c>
      <c r="Q134" s="22" t="n">
        <f aca="false">R!B125</f>
        <v>0</v>
      </c>
      <c r="R134" s="22" t="n">
        <f aca="false">S!B125</f>
        <v>0</v>
      </c>
      <c r="S134" s="22" t="n">
        <f aca="false">T!B125</f>
        <v>0</v>
      </c>
      <c r="T134" s="22" t="n">
        <f aca="false">U!B125</f>
        <v>0</v>
      </c>
      <c r="U134" s="22" t="n">
        <f aca="false">V!B125</f>
        <v>0</v>
      </c>
      <c r="V134" s="22" t="n">
        <f aca="false">W!B125</f>
        <v>0</v>
      </c>
      <c r="W134" s="22" t="n">
        <f aca="false">X!B125</f>
        <v>0</v>
      </c>
      <c r="X134" s="23" t="n">
        <f aca="false">SUM(B134:W134)</f>
        <v>244</v>
      </c>
      <c r="Y134" s="24" t="n">
        <f aca="false">IF(AW134=0,0,X134/AW134)</f>
        <v>40.6666666666667</v>
      </c>
      <c r="Z134" s="25" t="str">
        <f aca="false">A134</f>
        <v>SERGEI</v>
      </c>
      <c r="AA134" s="16" t="n">
        <f aca="false">IF(B134=0,0,1)</f>
        <v>1</v>
      </c>
      <c r="AB134" s="0" t="n">
        <f aca="false">IF(C134=0,0,1)</f>
        <v>1</v>
      </c>
      <c r="AC134" s="0" t="n">
        <f aca="false">IF(D134=0,0,1)</f>
        <v>1</v>
      </c>
      <c r="AD134" s="0" t="n">
        <f aca="false">IF(E134=0,0,1)</f>
        <v>1</v>
      </c>
      <c r="AE134" s="0" t="n">
        <f aca="false">IF(F134=0,0,1)</f>
        <v>1</v>
      </c>
      <c r="AF134" s="0" t="n">
        <f aca="false">IF(G134=0,0,1)</f>
        <v>1</v>
      </c>
      <c r="AG134" s="0" t="n">
        <f aca="false">IF(H134=0,0,1)</f>
        <v>0</v>
      </c>
      <c r="AH134" s="0" t="n">
        <f aca="false">IF(I134=0,0,1)</f>
        <v>0</v>
      </c>
      <c r="AI134" s="0" t="n">
        <f aca="false">IF(J134=0,0,1)</f>
        <v>0</v>
      </c>
      <c r="AJ134" s="0" t="n">
        <f aca="false">IF(K134=0,0,1)</f>
        <v>0</v>
      </c>
      <c r="AK134" s="0" t="n">
        <f aca="false">IF(L134=0,0,1)</f>
        <v>0</v>
      </c>
      <c r="AL134" s="0" t="n">
        <f aca="false">IF(M134=0,0,1)</f>
        <v>0</v>
      </c>
      <c r="AM134" s="0" t="n">
        <f aca="false">IF(N134=0,0,1)</f>
        <v>0</v>
      </c>
      <c r="AN134" s="0" t="n">
        <f aca="false">IF(O134=0,0,1)</f>
        <v>0</v>
      </c>
      <c r="AO134" s="0" t="n">
        <f aca="false">IF(P134=0,0,1)</f>
        <v>0</v>
      </c>
      <c r="AP134" s="0" t="n">
        <f aca="false">IF(Q134=0,0,1)</f>
        <v>0</v>
      </c>
      <c r="AQ134" s="0" t="n">
        <f aca="false">IF(R134=0,0,1)</f>
        <v>0</v>
      </c>
      <c r="AR134" s="0" t="n">
        <f aca="false">IF(S134=0,0,1)</f>
        <v>0</v>
      </c>
      <c r="AS134" s="0" t="n">
        <f aca="false">IF(T134=0,0,1)</f>
        <v>0</v>
      </c>
      <c r="AT134" s="0" t="n">
        <f aca="false">IF(U134=0,0,1)</f>
        <v>0</v>
      </c>
      <c r="AU134" s="0" t="n">
        <f aca="false">IF(V134=0,0,1)</f>
        <v>0</v>
      </c>
      <c r="AV134" s="0" t="n">
        <f aca="false">IF(W134=0,0,1)</f>
        <v>0</v>
      </c>
      <c r="AW134" s="26" t="n">
        <f aca="false">SUM(AA134:AV134)</f>
        <v>6</v>
      </c>
      <c r="AX134" s="27" t="n">
        <f aca="false">IF(X134=0,0,X134)</f>
        <v>244</v>
      </c>
      <c r="AY134" s="1" t="str">
        <f aca="false">IF(X134=0,0,A134)</f>
        <v>SERGEI</v>
      </c>
      <c r="AZ134" s="28" t="str">
        <f aca="false">IF(AX134=0,0,A$130)</f>
        <v>CRAZY TRAIN</v>
      </c>
      <c r="BA134" s="55" t="n">
        <v>0</v>
      </c>
      <c r="BB134" s="30" t="n">
        <v>0</v>
      </c>
      <c r="BC134" s="56" t="n">
        <v>0</v>
      </c>
      <c r="BD134" s="27"/>
      <c r="BE134" s="26"/>
      <c r="BF134" s="32"/>
      <c r="BG134" s="33"/>
    </row>
    <row r="135" customFormat="false" ht="15" hidden="false" customHeight="false" outlineLevel="0" collapsed="false">
      <c r="A135" s="21" t="str">
        <f aca="false">B!B425</f>
        <v>JORDAN</v>
      </c>
      <c r="B135" s="22" t="n">
        <f aca="false">C!B126</f>
        <v>41</v>
      </c>
      <c r="C135" s="22" t="n">
        <f aca="false">D!B126</f>
        <v>25</v>
      </c>
      <c r="D135" s="22" t="n">
        <f aca="false">E!B126</f>
        <v>50</v>
      </c>
      <c r="E135" s="22" t="n">
        <f aca="false">F!B126</f>
        <v>40</v>
      </c>
      <c r="F135" s="22" t="n">
        <f aca="false">G!B126</f>
        <v>46</v>
      </c>
      <c r="G135" s="22" t="n">
        <f aca="false">H!B126</f>
        <v>41</v>
      </c>
      <c r="H135" s="22" t="n">
        <f aca="false">I!B126</f>
        <v>0</v>
      </c>
      <c r="I135" s="22" t="n">
        <f aca="false">J!B126</f>
        <v>0</v>
      </c>
      <c r="J135" s="22" t="n">
        <f aca="false">K!B126</f>
        <v>0</v>
      </c>
      <c r="K135" s="22" t="n">
        <f aca="false">L!B126</f>
        <v>0</v>
      </c>
      <c r="L135" s="22" t="n">
        <f aca="false">M!B126</f>
        <v>0</v>
      </c>
      <c r="M135" s="22" t="n">
        <f aca="false">N!B126</f>
        <v>0</v>
      </c>
      <c r="N135" s="22" t="n">
        <f aca="false">O!B126</f>
        <v>0</v>
      </c>
      <c r="O135" s="22" t="n">
        <f aca="false">P!B126</f>
        <v>0</v>
      </c>
      <c r="P135" s="22" t="n">
        <f aca="false">Q!B126</f>
        <v>0</v>
      </c>
      <c r="Q135" s="22" t="n">
        <f aca="false">R!B126</f>
        <v>0</v>
      </c>
      <c r="R135" s="22" t="n">
        <f aca="false">S!B126</f>
        <v>0</v>
      </c>
      <c r="S135" s="22" t="n">
        <f aca="false">T!B126</f>
        <v>0</v>
      </c>
      <c r="T135" s="22" t="n">
        <f aca="false">U!B126</f>
        <v>0</v>
      </c>
      <c r="U135" s="22" t="n">
        <f aca="false">V!B126</f>
        <v>0</v>
      </c>
      <c r="V135" s="22" t="n">
        <f aca="false">W!B126</f>
        <v>0</v>
      </c>
      <c r="W135" s="22" t="n">
        <f aca="false">X!B126</f>
        <v>0</v>
      </c>
      <c r="X135" s="23" t="n">
        <f aca="false">SUM(B135:W135)</f>
        <v>243</v>
      </c>
      <c r="Y135" s="24" t="n">
        <f aca="false">IF(AW135=0,0,X135/AW135)</f>
        <v>40.5</v>
      </c>
      <c r="Z135" s="25" t="str">
        <f aca="false">A135</f>
        <v>JORDAN</v>
      </c>
      <c r="AA135" s="16" t="n">
        <f aca="false">IF(B135=0,0,1)</f>
        <v>1</v>
      </c>
      <c r="AB135" s="0" t="n">
        <f aca="false">IF(C135=0,0,1)</f>
        <v>1</v>
      </c>
      <c r="AC135" s="0" t="n">
        <f aca="false">IF(D135=0,0,1)</f>
        <v>1</v>
      </c>
      <c r="AD135" s="0" t="n">
        <f aca="false">IF(E135=0,0,1)</f>
        <v>1</v>
      </c>
      <c r="AE135" s="0" t="n">
        <f aca="false">IF(F135=0,0,1)</f>
        <v>1</v>
      </c>
      <c r="AF135" s="0" t="n">
        <f aca="false">IF(G135=0,0,1)</f>
        <v>1</v>
      </c>
      <c r="AG135" s="0" t="n">
        <f aca="false">IF(H135=0,0,1)</f>
        <v>0</v>
      </c>
      <c r="AH135" s="0" t="n">
        <f aca="false">IF(I135=0,0,1)</f>
        <v>0</v>
      </c>
      <c r="AI135" s="0" t="n">
        <f aca="false">IF(J135=0,0,1)</f>
        <v>0</v>
      </c>
      <c r="AJ135" s="0" t="n">
        <f aca="false">IF(K135=0,0,1)</f>
        <v>0</v>
      </c>
      <c r="AK135" s="0" t="n">
        <f aca="false">IF(L135=0,0,1)</f>
        <v>0</v>
      </c>
      <c r="AL135" s="0" t="n">
        <f aca="false">IF(M135=0,0,1)</f>
        <v>0</v>
      </c>
      <c r="AM135" s="0" t="n">
        <f aca="false">IF(N135=0,0,1)</f>
        <v>0</v>
      </c>
      <c r="AN135" s="0" t="n">
        <f aca="false">IF(O135=0,0,1)</f>
        <v>0</v>
      </c>
      <c r="AO135" s="0" t="n">
        <f aca="false">IF(P135=0,0,1)</f>
        <v>0</v>
      </c>
      <c r="AP135" s="0" t="n">
        <f aca="false">IF(Q135=0,0,1)</f>
        <v>0</v>
      </c>
      <c r="AQ135" s="0" t="n">
        <f aca="false">IF(R135=0,0,1)</f>
        <v>0</v>
      </c>
      <c r="AR135" s="0" t="n">
        <f aca="false">IF(S135=0,0,1)</f>
        <v>0</v>
      </c>
      <c r="AS135" s="0" t="n">
        <f aca="false">IF(T135=0,0,1)</f>
        <v>0</v>
      </c>
      <c r="AT135" s="0" t="n">
        <f aca="false">IF(U135=0,0,1)</f>
        <v>0</v>
      </c>
      <c r="AU135" s="0" t="n">
        <f aca="false">IF(V135=0,0,1)</f>
        <v>0</v>
      </c>
      <c r="AV135" s="0" t="n">
        <f aca="false">IF(W135=0,0,1)</f>
        <v>0</v>
      </c>
      <c r="AW135" s="26" t="n">
        <f aca="false">SUM(AA135:AV135)</f>
        <v>6</v>
      </c>
      <c r="AX135" s="27" t="n">
        <f aca="false">IF(X135=0,0,X135)</f>
        <v>243</v>
      </c>
      <c r="AY135" s="1" t="str">
        <f aca="false">IF(X135=0,0,A135)</f>
        <v>JORDAN</v>
      </c>
      <c r="AZ135" s="28" t="str">
        <f aca="false">IF(AX135=0,0,A$130)</f>
        <v>CRAZY TRAIN</v>
      </c>
      <c r="BA135" s="55" t="n">
        <v>0</v>
      </c>
      <c r="BB135" s="30" t="n">
        <v>0</v>
      </c>
      <c r="BC135" s="56" t="n">
        <v>0</v>
      </c>
      <c r="BD135" s="27"/>
      <c r="BE135" s="26"/>
      <c r="BF135" s="32"/>
      <c r="BG135" s="33"/>
    </row>
    <row r="136" customFormat="false" ht="15" hidden="false" customHeight="false" outlineLevel="0" collapsed="false">
      <c r="A136" s="21" t="n">
        <f aca="false">B!B430</f>
        <v>0</v>
      </c>
      <c r="B136" s="22" t="n">
        <f aca="false">C!B127</f>
        <v>0</v>
      </c>
      <c r="C136" s="22" t="n">
        <f aca="false">D!B127</f>
        <v>0</v>
      </c>
      <c r="D136" s="22" t="n">
        <f aca="false">E!B127</f>
        <v>0</v>
      </c>
      <c r="E136" s="22" t="n">
        <f aca="false">F!B127</f>
        <v>0</v>
      </c>
      <c r="F136" s="22" t="n">
        <f aca="false">G!B127</f>
        <v>0</v>
      </c>
      <c r="G136" s="22" t="n">
        <f aca="false">H!B127</f>
        <v>0</v>
      </c>
      <c r="H136" s="22" t="n">
        <f aca="false">I!B127</f>
        <v>0</v>
      </c>
      <c r="I136" s="22" t="n">
        <f aca="false">J!B127</f>
        <v>0</v>
      </c>
      <c r="J136" s="22" t="n">
        <f aca="false">K!B127</f>
        <v>0</v>
      </c>
      <c r="K136" s="22" t="n">
        <f aca="false">L!B127</f>
        <v>0</v>
      </c>
      <c r="L136" s="22" t="n">
        <f aca="false">M!B127</f>
        <v>0</v>
      </c>
      <c r="M136" s="22" t="n">
        <f aca="false">N!B127</f>
        <v>0</v>
      </c>
      <c r="N136" s="22" t="n">
        <f aca="false">O!B127</f>
        <v>0</v>
      </c>
      <c r="O136" s="22" t="n">
        <f aca="false">P!B127</f>
        <v>0</v>
      </c>
      <c r="P136" s="22" t="n">
        <f aca="false">Q!B127</f>
        <v>0</v>
      </c>
      <c r="Q136" s="22" t="n">
        <f aca="false">R!B127</f>
        <v>0</v>
      </c>
      <c r="R136" s="22" t="n">
        <f aca="false">S!B127</f>
        <v>0</v>
      </c>
      <c r="S136" s="22" t="n">
        <f aca="false">T!B127</f>
        <v>0</v>
      </c>
      <c r="T136" s="22" t="n">
        <f aca="false">U!B127</f>
        <v>0</v>
      </c>
      <c r="U136" s="22" t="n">
        <f aca="false">V!B127</f>
        <v>0</v>
      </c>
      <c r="V136" s="22" t="n">
        <f aca="false">W!B127</f>
        <v>0</v>
      </c>
      <c r="W136" s="22" t="n">
        <f aca="false">X!B127</f>
        <v>0</v>
      </c>
      <c r="X136" s="23" t="n">
        <f aca="false">SUM(B136:W136)</f>
        <v>0</v>
      </c>
      <c r="Y136" s="24" t="n">
        <f aca="false">IF(AW136=0,0,X136/AW136)</f>
        <v>0</v>
      </c>
      <c r="Z136" s="25" t="n">
        <f aca="false">A136</f>
        <v>0</v>
      </c>
      <c r="AA136" s="16" t="n">
        <f aca="false">IF(B136=0,0,1)</f>
        <v>0</v>
      </c>
      <c r="AB136" s="0" t="n">
        <f aca="false">IF(C136=0,0,1)</f>
        <v>0</v>
      </c>
      <c r="AC136" s="0" t="n">
        <f aca="false">IF(D136=0,0,1)</f>
        <v>0</v>
      </c>
      <c r="AD136" s="0" t="n">
        <f aca="false">IF(E136=0,0,1)</f>
        <v>0</v>
      </c>
      <c r="AE136" s="0" t="n">
        <f aca="false">IF(F136=0,0,1)</f>
        <v>0</v>
      </c>
      <c r="AF136" s="0" t="n">
        <f aca="false">IF(G136=0,0,1)</f>
        <v>0</v>
      </c>
      <c r="AG136" s="0" t="n">
        <f aca="false">IF(H136=0,0,1)</f>
        <v>0</v>
      </c>
      <c r="AH136" s="0" t="n">
        <f aca="false">IF(I136=0,0,1)</f>
        <v>0</v>
      </c>
      <c r="AI136" s="0" t="n">
        <f aca="false">IF(J136=0,0,1)</f>
        <v>0</v>
      </c>
      <c r="AJ136" s="0" t="n">
        <f aca="false">IF(K136=0,0,1)</f>
        <v>0</v>
      </c>
      <c r="AK136" s="0" t="n">
        <f aca="false">IF(L136=0,0,1)</f>
        <v>0</v>
      </c>
      <c r="AL136" s="0" t="n">
        <f aca="false">IF(M136=0,0,1)</f>
        <v>0</v>
      </c>
      <c r="AM136" s="0" t="n">
        <f aca="false">IF(N136=0,0,1)</f>
        <v>0</v>
      </c>
      <c r="AN136" s="0" t="n">
        <f aca="false">IF(O136=0,0,1)</f>
        <v>0</v>
      </c>
      <c r="AO136" s="0" t="n">
        <f aca="false">IF(P136=0,0,1)</f>
        <v>0</v>
      </c>
      <c r="AP136" s="0" t="n">
        <f aca="false">IF(Q136=0,0,1)</f>
        <v>0</v>
      </c>
      <c r="AQ136" s="0" t="n">
        <f aca="false">IF(R136=0,0,1)</f>
        <v>0</v>
      </c>
      <c r="AR136" s="0" t="n">
        <f aca="false">IF(S136=0,0,1)</f>
        <v>0</v>
      </c>
      <c r="AS136" s="0" t="n">
        <f aca="false">IF(T136=0,0,1)</f>
        <v>0</v>
      </c>
      <c r="AT136" s="0" t="n">
        <f aca="false">IF(U136=0,0,1)</f>
        <v>0</v>
      </c>
      <c r="AU136" s="0" t="n">
        <f aca="false">IF(V136=0,0,1)</f>
        <v>0</v>
      </c>
      <c r="AV136" s="0" t="n">
        <f aca="false">IF(W136=0,0,1)</f>
        <v>0</v>
      </c>
      <c r="AW136" s="26" t="n">
        <f aca="false">SUM(AA136:AV136)</f>
        <v>0</v>
      </c>
      <c r="AX136" s="27" t="n">
        <f aca="false">IF(X136=0,0,X136)</f>
        <v>0</v>
      </c>
      <c r="AY136" s="1" t="n">
        <f aca="false">IF(X136=0,0,A136)</f>
        <v>0</v>
      </c>
      <c r="AZ136" s="28" t="n">
        <f aca="false">IF(AX136=0,0,A$130)</f>
        <v>0</v>
      </c>
      <c r="BA136" s="55" t="n">
        <v>0</v>
      </c>
      <c r="BB136" s="30" t="n">
        <v>0</v>
      </c>
      <c r="BC136" s="56" t="n">
        <v>0</v>
      </c>
      <c r="BD136" s="27"/>
      <c r="BE136" s="26"/>
      <c r="BF136" s="32"/>
      <c r="BG136" s="33"/>
    </row>
    <row r="137" customFormat="false" ht="15" hidden="false" customHeight="false" outlineLevel="0" collapsed="false">
      <c r="A137" s="21" t="n">
        <f aca="false">B!B435</f>
        <v>0</v>
      </c>
      <c r="B137" s="22" t="n">
        <f aca="false">C!B128</f>
        <v>0</v>
      </c>
      <c r="C137" s="22" t="n">
        <f aca="false">D!B128</f>
        <v>0</v>
      </c>
      <c r="D137" s="22" t="n">
        <f aca="false">E!B128</f>
        <v>0</v>
      </c>
      <c r="E137" s="22" t="n">
        <f aca="false">F!B128</f>
        <v>0</v>
      </c>
      <c r="F137" s="22" t="n">
        <f aca="false">G!B128</f>
        <v>0</v>
      </c>
      <c r="G137" s="22" t="n">
        <f aca="false">H!B128</f>
        <v>0</v>
      </c>
      <c r="H137" s="22" t="n">
        <f aca="false">I!B128</f>
        <v>0</v>
      </c>
      <c r="I137" s="22" t="n">
        <f aca="false">J!B128</f>
        <v>0</v>
      </c>
      <c r="J137" s="22" t="n">
        <f aca="false">K!B128</f>
        <v>0</v>
      </c>
      <c r="K137" s="22" t="n">
        <f aca="false">L!B128</f>
        <v>0</v>
      </c>
      <c r="L137" s="22" t="n">
        <f aca="false">M!B128</f>
        <v>0</v>
      </c>
      <c r="M137" s="22" t="n">
        <f aca="false">N!B128</f>
        <v>0</v>
      </c>
      <c r="N137" s="22" t="n">
        <f aca="false">O!B128</f>
        <v>0</v>
      </c>
      <c r="O137" s="22" t="n">
        <f aca="false">P!B128</f>
        <v>0</v>
      </c>
      <c r="P137" s="22" t="n">
        <f aca="false">Q!B128</f>
        <v>0</v>
      </c>
      <c r="Q137" s="22" t="n">
        <f aca="false">R!B128</f>
        <v>0</v>
      </c>
      <c r="R137" s="22" t="n">
        <f aca="false">S!B128</f>
        <v>0</v>
      </c>
      <c r="S137" s="22" t="n">
        <f aca="false">T!B128</f>
        <v>0</v>
      </c>
      <c r="T137" s="22" t="n">
        <f aca="false">U!B128</f>
        <v>0</v>
      </c>
      <c r="U137" s="22" t="n">
        <f aca="false">V!B128</f>
        <v>0</v>
      </c>
      <c r="V137" s="22" t="n">
        <f aca="false">W!B128</f>
        <v>0</v>
      </c>
      <c r="W137" s="22" t="n">
        <f aca="false">X!B128</f>
        <v>0</v>
      </c>
      <c r="X137" s="23" t="n">
        <f aca="false">SUM(B137:W137)</f>
        <v>0</v>
      </c>
      <c r="Y137" s="24" t="n">
        <f aca="false">IF(AW137=0,0,X137/AW137)</f>
        <v>0</v>
      </c>
      <c r="Z137" s="25" t="n">
        <f aca="false">A137</f>
        <v>0</v>
      </c>
      <c r="AA137" s="16" t="n">
        <f aca="false">IF(B137=0,0,1)</f>
        <v>0</v>
      </c>
      <c r="AB137" s="0" t="n">
        <f aca="false">IF(C137=0,0,1)</f>
        <v>0</v>
      </c>
      <c r="AC137" s="0" t="n">
        <f aca="false">IF(D137=0,0,1)</f>
        <v>0</v>
      </c>
      <c r="AD137" s="0" t="n">
        <f aca="false">IF(E137=0,0,1)</f>
        <v>0</v>
      </c>
      <c r="AE137" s="0" t="n">
        <f aca="false">IF(F137=0,0,1)</f>
        <v>0</v>
      </c>
      <c r="AF137" s="0" t="n">
        <f aca="false">IF(G137=0,0,1)</f>
        <v>0</v>
      </c>
      <c r="AG137" s="0" t="n">
        <f aca="false">IF(H137=0,0,1)</f>
        <v>0</v>
      </c>
      <c r="AH137" s="0" t="n">
        <f aca="false">IF(I137=0,0,1)</f>
        <v>0</v>
      </c>
      <c r="AI137" s="0" t="n">
        <f aca="false">IF(J137=0,0,1)</f>
        <v>0</v>
      </c>
      <c r="AJ137" s="0" t="n">
        <f aca="false">IF(K137=0,0,1)</f>
        <v>0</v>
      </c>
      <c r="AK137" s="0" t="n">
        <f aca="false">IF(L137=0,0,1)</f>
        <v>0</v>
      </c>
      <c r="AL137" s="0" t="n">
        <f aca="false">IF(M137=0,0,1)</f>
        <v>0</v>
      </c>
      <c r="AM137" s="0" t="n">
        <f aca="false">IF(N137=0,0,1)</f>
        <v>0</v>
      </c>
      <c r="AN137" s="0" t="n">
        <f aca="false">IF(O137=0,0,1)</f>
        <v>0</v>
      </c>
      <c r="AO137" s="0" t="n">
        <f aca="false">IF(P137=0,0,1)</f>
        <v>0</v>
      </c>
      <c r="AP137" s="0" t="n">
        <f aca="false">IF(Q137=0,0,1)</f>
        <v>0</v>
      </c>
      <c r="AQ137" s="0" t="n">
        <f aca="false">IF(R137=0,0,1)</f>
        <v>0</v>
      </c>
      <c r="AR137" s="0" t="n">
        <f aca="false">IF(S137=0,0,1)</f>
        <v>0</v>
      </c>
      <c r="AS137" s="0" t="n">
        <f aca="false">IF(T137=0,0,1)</f>
        <v>0</v>
      </c>
      <c r="AT137" s="0" t="n">
        <f aca="false">IF(U137=0,0,1)</f>
        <v>0</v>
      </c>
      <c r="AU137" s="0" t="n">
        <f aca="false">IF(V137=0,0,1)</f>
        <v>0</v>
      </c>
      <c r="AV137" s="0" t="n">
        <f aca="false">IF(W137=0,0,1)</f>
        <v>0</v>
      </c>
      <c r="AW137" s="26" t="n">
        <f aca="false">SUM(AA137:AV137)</f>
        <v>0</v>
      </c>
      <c r="AX137" s="27" t="n">
        <f aca="false">IF(X137=0,0,X137)</f>
        <v>0</v>
      </c>
      <c r="AY137" s="1" t="n">
        <f aca="false">IF(X137=0,0,A137)</f>
        <v>0</v>
      </c>
      <c r="AZ137" s="28" t="n">
        <f aca="false">IF(AX137=0,0,A$130)</f>
        <v>0</v>
      </c>
      <c r="BA137" s="55" t="n">
        <v>0</v>
      </c>
      <c r="BB137" s="30" t="n">
        <v>0</v>
      </c>
      <c r="BC137" s="56" t="n">
        <v>0</v>
      </c>
      <c r="BD137" s="27"/>
      <c r="BE137" s="26"/>
      <c r="BF137" s="32"/>
      <c r="BG137" s="33"/>
    </row>
    <row r="138" customFormat="false" ht="15" hidden="false" customHeight="false" outlineLevel="0" collapsed="false">
      <c r="A138" s="16" t="n">
        <f aca="false">B!B440</f>
        <v>0</v>
      </c>
      <c r="B138" s="22" t="n">
        <f aca="false">C!B129</f>
        <v>0</v>
      </c>
      <c r="C138" s="22" t="n">
        <f aca="false">D!B129</f>
        <v>0</v>
      </c>
      <c r="D138" s="22" t="n">
        <f aca="false">E!B129</f>
        <v>0</v>
      </c>
      <c r="E138" s="22" t="n">
        <f aca="false">F!B129</f>
        <v>0</v>
      </c>
      <c r="F138" s="22" t="n">
        <f aca="false">G!B129</f>
        <v>0</v>
      </c>
      <c r="G138" s="22" t="n">
        <f aca="false">H!B129</f>
        <v>0</v>
      </c>
      <c r="H138" s="22" t="n">
        <f aca="false">I!B129</f>
        <v>0</v>
      </c>
      <c r="I138" s="22" t="n">
        <f aca="false">J!B129</f>
        <v>0</v>
      </c>
      <c r="J138" s="22" t="n">
        <f aca="false">K!B129</f>
        <v>0</v>
      </c>
      <c r="K138" s="22" t="n">
        <f aca="false">L!B129</f>
        <v>0</v>
      </c>
      <c r="L138" s="22" t="n">
        <f aca="false">M!B129</f>
        <v>0</v>
      </c>
      <c r="M138" s="22" t="n">
        <f aca="false">N!B129</f>
        <v>0</v>
      </c>
      <c r="N138" s="22" t="n">
        <f aca="false">O!B129</f>
        <v>0</v>
      </c>
      <c r="O138" s="22" t="n">
        <f aca="false">P!B129</f>
        <v>0</v>
      </c>
      <c r="P138" s="22" t="n">
        <f aca="false">Q!B129</f>
        <v>0</v>
      </c>
      <c r="Q138" s="22" t="n">
        <f aca="false">R!B129</f>
        <v>0</v>
      </c>
      <c r="R138" s="22" t="n">
        <f aca="false">S!B129</f>
        <v>0</v>
      </c>
      <c r="S138" s="22" t="n">
        <f aca="false">T!B129</f>
        <v>0</v>
      </c>
      <c r="T138" s="22" t="n">
        <f aca="false">U!B129</f>
        <v>0</v>
      </c>
      <c r="U138" s="22" t="n">
        <f aca="false">V!B129</f>
        <v>0</v>
      </c>
      <c r="V138" s="22" t="n">
        <f aca="false">W!B129</f>
        <v>0</v>
      </c>
      <c r="W138" s="22" t="n">
        <f aca="false">X!B129</f>
        <v>0</v>
      </c>
      <c r="X138" s="23" t="n">
        <f aca="false">SUM(B138:W138)</f>
        <v>0</v>
      </c>
      <c r="Y138" s="24" t="n">
        <f aca="false">IF(AW138=0,0,X138/AW138)</f>
        <v>0</v>
      </c>
      <c r="Z138" s="25" t="n">
        <f aca="false">A138</f>
        <v>0</v>
      </c>
      <c r="AA138" s="16" t="n">
        <f aca="false">IF(B138=0,0,1)</f>
        <v>0</v>
      </c>
      <c r="AB138" s="0" t="n">
        <f aca="false">IF(C138=0,0,1)</f>
        <v>0</v>
      </c>
      <c r="AC138" s="0" t="n">
        <f aca="false">IF(D138=0,0,1)</f>
        <v>0</v>
      </c>
      <c r="AD138" s="0" t="n">
        <f aca="false">IF(E138=0,0,1)</f>
        <v>0</v>
      </c>
      <c r="AE138" s="0" t="n">
        <f aca="false">IF(F138=0,0,1)</f>
        <v>0</v>
      </c>
      <c r="AF138" s="0" t="n">
        <f aca="false">IF(G138=0,0,1)</f>
        <v>0</v>
      </c>
      <c r="AG138" s="0" t="n">
        <f aca="false">IF(H138=0,0,1)</f>
        <v>0</v>
      </c>
      <c r="AH138" s="0" t="n">
        <f aca="false">IF(I138=0,0,1)</f>
        <v>0</v>
      </c>
      <c r="AI138" s="0" t="n">
        <f aca="false">IF(J138=0,0,1)</f>
        <v>0</v>
      </c>
      <c r="AJ138" s="0" t="n">
        <f aca="false">IF(K138=0,0,1)</f>
        <v>0</v>
      </c>
      <c r="AK138" s="0" t="n">
        <f aca="false">IF(L138=0,0,1)</f>
        <v>0</v>
      </c>
      <c r="AL138" s="0" t="n">
        <f aca="false">IF(M138=0,0,1)</f>
        <v>0</v>
      </c>
      <c r="AM138" s="0" t="n">
        <f aca="false">IF(N138=0,0,1)</f>
        <v>0</v>
      </c>
      <c r="AN138" s="0" t="n">
        <f aca="false">IF(O138=0,0,1)</f>
        <v>0</v>
      </c>
      <c r="AO138" s="0" t="n">
        <f aca="false">IF(P138=0,0,1)</f>
        <v>0</v>
      </c>
      <c r="AP138" s="0" t="n">
        <f aca="false">IF(Q138=0,0,1)</f>
        <v>0</v>
      </c>
      <c r="AQ138" s="0" t="n">
        <f aca="false">IF(R138=0,0,1)</f>
        <v>0</v>
      </c>
      <c r="AR138" s="0" t="n">
        <f aca="false">IF(S138=0,0,1)</f>
        <v>0</v>
      </c>
      <c r="AS138" s="0" t="n">
        <f aca="false">IF(T138=0,0,1)</f>
        <v>0</v>
      </c>
      <c r="AT138" s="0" t="n">
        <f aca="false">IF(U138=0,0,1)</f>
        <v>0</v>
      </c>
      <c r="AU138" s="0" t="n">
        <f aca="false">IF(V138=0,0,1)</f>
        <v>0</v>
      </c>
      <c r="AV138" s="0" t="n">
        <f aca="false">IF(W138=0,0,1)</f>
        <v>0</v>
      </c>
      <c r="AW138" s="26" t="n">
        <f aca="false">SUM(AA138:AV138)</f>
        <v>0</v>
      </c>
      <c r="AX138" s="27" t="n">
        <f aca="false">IF(X138=0,0,X138)</f>
        <v>0</v>
      </c>
      <c r="AY138" s="1" t="n">
        <f aca="false">IF(X138=0,0,A138)</f>
        <v>0</v>
      </c>
      <c r="AZ138" s="28" t="n">
        <f aca="false">IF(AX138=0,0,A$130)</f>
        <v>0</v>
      </c>
      <c r="BA138" s="55" t="n">
        <v>0</v>
      </c>
      <c r="BB138" s="30" t="n">
        <v>0</v>
      </c>
      <c r="BC138" s="56" t="n">
        <v>0</v>
      </c>
      <c r="BD138" s="27"/>
      <c r="BE138" s="26"/>
      <c r="BF138" s="32"/>
      <c r="BG138" s="33"/>
    </row>
    <row r="139" customFormat="false" ht="15" hidden="false" customHeight="false" outlineLevel="0" collapsed="false">
      <c r="A139" s="38" t="s">
        <v>60</v>
      </c>
      <c r="B139" s="39" t="n">
        <f aca="false">SUM(B131:B138)</f>
        <v>205</v>
      </c>
      <c r="C139" s="39" t="n">
        <f aca="false">SUM(C131:C138)</f>
        <v>183</v>
      </c>
      <c r="D139" s="39" t="n">
        <f aca="false">SUM(D131:D138)</f>
        <v>239</v>
      </c>
      <c r="E139" s="39" t="n">
        <f aca="false">SUM(E131:E138)</f>
        <v>200</v>
      </c>
      <c r="F139" s="39" t="n">
        <f aca="false">SUM(F131:F138)</f>
        <v>234</v>
      </c>
      <c r="G139" s="39" t="n">
        <f aca="false">SUM(G131:G138)</f>
        <v>199</v>
      </c>
      <c r="H139" s="39" t="n">
        <f aca="false">SUM(H131:H138)</f>
        <v>0</v>
      </c>
      <c r="I139" s="39" t="n">
        <f aca="false">SUM(I131:I138)</f>
        <v>0</v>
      </c>
      <c r="J139" s="39" t="n">
        <f aca="false">SUM(J131:J138)</f>
        <v>0</v>
      </c>
      <c r="K139" s="39" t="n">
        <f aca="false">SUM(K131:K138)</f>
        <v>0</v>
      </c>
      <c r="L139" s="39" t="n">
        <f aca="false">SUM(L131:L138)</f>
        <v>0</v>
      </c>
      <c r="M139" s="39" t="n">
        <f aca="false">SUM(M131:M138)</f>
        <v>0</v>
      </c>
      <c r="N139" s="39" t="n">
        <f aca="false">SUM(N131:N138)</f>
        <v>0</v>
      </c>
      <c r="O139" s="39" t="n">
        <f aca="false">SUM(O131:O138)</f>
        <v>0</v>
      </c>
      <c r="P139" s="39" t="n">
        <f aca="false">SUM(P131:P138)</f>
        <v>0</v>
      </c>
      <c r="Q139" s="39" t="n">
        <f aca="false">SUM(Q131:Q138)</f>
        <v>0</v>
      </c>
      <c r="R139" s="39" t="n">
        <f aca="false">SUM(R131:R138)</f>
        <v>0</v>
      </c>
      <c r="S139" s="39" t="n">
        <f aca="false">SUM(S131:S138)</f>
        <v>0</v>
      </c>
      <c r="T139" s="39" t="n">
        <f aca="false">SUM(T131:T138)</f>
        <v>0</v>
      </c>
      <c r="U139" s="39" t="n">
        <f aca="false">SUM(U131:U138)</f>
        <v>0</v>
      </c>
      <c r="V139" s="39" t="n">
        <f aca="false">SUM(V131:V138)</f>
        <v>0</v>
      </c>
      <c r="W139" s="39" t="n">
        <f aca="false">SUM(W131:W138)</f>
        <v>0</v>
      </c>
      <c r="X139" s="40" t="n">
        <f aca="false">SUM(B139:W139)</f>
        <v>1260</v>
      </c>
      <c r="Y139" s="41" t="n">
        <f aca="false">IF(X139=0,0,X139/AW139)</f>
        <v>210</v>
      </c>
      <c r="Z139" s="25"/>
      <c r="AA139" s="42" t="n">
        <f aca="false">SUM(AA131:AA138)</f>
        <v>5</v>
      </c>
      <c r="AB139" s="43" t="n">
        <f aca="false">SUM(AB131:AB138)</f>
        <v>5</v>
      </c>
      <c r="AC139" s="43" t="n">
        <f aca="false">SUM(AC131:AC138)</f>
        <v>5</v>
      </c>
      <c r="AD139" s="43" t="n">
        <f aca="false">SUM(AD131:AD138)</f>
        <v>5</v>
      </c>
      <c r="AE139" s="43" t="n">
        <f aca="false">SUM(AE131:AE138)</f>
        <v>5</v>
      </c>
      <c r="AF139" s="43" t="n">
        <f aca="false">SUM(AF131:AF138)</f>
        <v>5</v>
      </c>
      <c r="AG139" s="43" t="n">
        <f aca="false">SUM(AG131:AG138)</f>
        <v>0</v>
      </c>
      <c r="AH139" s="43" t="n">
        <f aca="false">SUM(AH131:AH138)</f>
        <v>0</v>
      </c>
      <c r="AI139" s="43" t="n">
        <f aca="false">SUM(AI131:AI138)</f>
        <v>0</v>
      </c>
      <c r="AJ139" s="43" t="n">
        <f aca="false">SUM(AJ131:AJ138)</f>
        <v>0</v>
      </c>
      <c r="AK139" s="43" t="n">
        <f aca="false">SUM(AK131:AK138)</f>
        <v>0</v>
      </c>
      <c r="AL139" s="43" t="n">
        <f aca="false">SUM(AL131:AL138)</f>
        <v>0</v>
      </c>
      <c r="AM139" s="43" t="n">
        <f aca="false">SUM(AM131:AM138)</f>
        <v>0</v>
      </c>
      <c r="AN139" s="43" t="n">
        <f aca="false">SUM(AN131:AN138)</f>
        <v>0</v>
      </c>
      <c r="AO139" s="43" t="n">
        <f aca="false">SUM(AO131:AO138)</f>
        <v>0</v>
      </c>
      <c r="AP139" s="43" t="n">
        <f aca="false">SUM(AP131:AP138)</f>
        <v>0</v>
      </c>
      <c r="AQ139" s="43" t="n">
        <f aca="false">SUM(AQ131:AQ138)</f>
        <v>0</v>
      </c>
      <c r="AR139" s="43" t="n">
        <f aca="false">SUM(AR131:AR138)</f>
        <v>0</v>
      </c>
      <c r="AS139" s="43" t="n">
        <f aca="false">SUM(AS131:AS138)</f>
        <v>0</v>
      </c>
      <c r="AT139" s="43" t="n">
        <f aca="false">SUM(AT131:AT138)</f>
        <v>0</v>
      </c>
      <c r="AU139" s="43" t="n">
        <f aca="false">SUM(AU131:AU138)</f>
        <v>0</v>
      </c>
      <c r="AV139" s="43" t="n">
        <f aca="false">SUM(AV131:AV138)</f>
        <v>0</v>
      </c>
      <c r="AW139" s="44" t="n">
        <f aca="false">MAXA(AW131:AW138)</f>
        <v>6</v>
      </c>
      <c r="AX139" s="27"/>
      <c r="AZ139" s="28"/>
      <c r="BA139" s="55" t="n">
        <v>0</v>
      </c>
      <c r="BB139" s="30" t="n">
        <v>0</v>
      </c>
      <c r="BC139" s="56" t="n">
        <v>0</v>
      </c>
      <c r="BD139" s="27"/>
      <c r="BE139" s="26"/>
      <c r="BF139" s="32"/>
      <c r="BG139" s="33"/>
    </row>
    <row r="140" customFormat="false" ht="15" hidden="false" customHeight="false" outlineLevel="0" collapsed="false">
      <c r="A140" s="54" t="s">
        <v>64</v>
      </c>
      <c r="B140" s="22" t="n">
        <f aca="false">C!B130</f>
        <v>0</v>
      </c>
      <c r="C140" s="22" t="n">
        <f aca="false">D!B130</f>
        <v>0</v>
      </c>
      <c r="D140" s="22" t="n">
        <f aca="false">E!B130</f>
        <v>0</v>
      </c>
      <c r="E140" s="22" t="n">
        <f aca="false">F!B130</f>
        <v>0</v>
      </c>
      <c r="F140" s="22" t="n">
        <f aca="false">G!B130</f>
        <v>0</v>
      </c>
      <c r="G140" s="22" t="n">
        <f aca="false">H!B130</f>
        <v>0</v>
      </c>
      <c r="H140" s="22" t="n">
        <f aca="false">I!B130</f>
        <v>0</v>
      </c>
      <c r="I140" s="22" t="n">
        <f aca="false">J!B130</f>
        <v>0</v>
      </c>
      <c r="J140" s="22" t="n">
        <f aca="false">K!B130</f>
        <v>0</v>
      </c>
      <c r="K140" s="22" t="n">
        <f aca="false">L!B130</f>
        <v>0</v>
      </c>
      <c r="L140" s="22" t="n">
        <f aca="false">M!B130</f>
        <v>0</v>
      </c>
      <c r="M140" s="22" t="n">
        <f aca="false">N!B130</f>
        <v>0</v>
      </c>
      <c r="N140" s="22" t="n">
        <f aca="false">O!B130</f>
        <v>0</v>
      </c>
      <c r="O140" s="22" t="n">
        <f aca="false">P!B130</f>
        <v>0</v>
      </c>
      <c r="P140" s="22" t="n">
        <f aca="false">Q!B130</f>
        <v>0</v>
      </c>
      <c r="Q140" s="22" t="n">
        <f aca="false">R!B130</f>
        <v>0</v>
      </c>
      <c r="R140" s="22" t="n">
        <f aca="false">S!B130</f>
        <v>0</v>
      </c>
      <c r="S140" s="22" t="n">
        <f aca="false">T!B130</f>
        <v>0</v>
      </c>
      <c r="T140" s="22" t="n">
        <f aca="false">U!B130</f>
        <v>0</v>
      </c>
      <c r="U140" s="22" t="n">
        <f aca="false">V!B130</f>
        <v>0</v>
      </c>
      <c r="V140" s="22" t="n">
        <f aca="false">W!B130</f>
        <v>0</v>
      </c>
      <c r="W140" s="22" t="n">
        <f aca="false">X!B130</f>
        <v>0</v>
      </c>
      <c r="X140" s="23" t="n">
        <f aca="false">SUM(B140:W140)</f>
        <v>0</v>
      </c>
      <c r="Y140" s="47"/>
      <c r="Z140" s="25"/>
      <c r="AA140" s="16"/>
      <c r="AW140" s="26"/>
      <c r="AX140" s="27"/>
      <c r="AZ140" s="28"/>
      <c r="BA140" s="55" t="n">
        <v>0</v>
      </c>
      <c r="BB140" s="30" t="n">
        <v>0</v>
      </c>
      <c r="BC140" s="56" t="n">
        <v>0</v>
      </c>
      <c r="BD140" s="27"/>
      <c r="BE140" s="26"/>
      <c r="BF140" s="32"/>
      <c r="BG140" s="33"/>
    </row>
    <row r="141" customFormat="false" ht="15" hidden="false" customHeight="false" outlineLevel="0" collapsed="false">
      <c r="A141" s="48" t="s">
        <v>68</v>
      </c>
      <c r="B141" s="49" t="n">
        <f aca="false">SUM(B139:B140)</f>
        <v>205</v>
      </c>
      <c r="C141" s="49" t="n">
        <f aca="false">SUM(C139:C140)</f>
        <v>183</v>
      </c>
      <c r="D141" s="49" t="n">
        <f aca="false">SUM(D139:D140)</f>
        <v>239</v>
      </c>
      <c r="E141" s="49" t="n">
        <f aca="false">SUM(E139:E140)</f>
        <v>200</v>
      </c>
      <c r="F141" s="49" t="n">
        <f aca="false">SUM(F139:F140)</f>
        <v>234</v>
      </c>
      <c r="G141" s="49" t="n">
        <f aca="false">SUM(G139:G140)</f>
        <v>199</v>
      </c>
      <c r="H141" s="49" t="n">
        <f aca="false">SUM(H139:H140)</f>
        <v>0</v>
      </c>
      <c r="I141" s="49" t="n">
        <f aca="false">SUM(I139:I140)</f>
        <v>0</v>
      </c>
      <c r="J141" s="49" t="n">
        <f aca="false">SUM(J139:J140)</f>
        <v>0</v>
      </c>
      <c r="K141" s="49" t="n">
        <f aca="false">SUM(K139:K140)</f>
        <v>0</v>
      </c>
      <c r="L141" s="49" t="n">
        <f aca="false">SUM(L139:L140)</f>
        <v>0</v>
      </c>
      <c r="M141" s="49" t="n">
        <f aca="false">SUM(M139:M140)</f>
        <v>0</v>
      </c>
      <c r="N141" s="49" t="n">
        <f aca="false">SUM(N139:N140)</f>
        <v>0</v>
      </c>
      <c r="O141" s="49" t="n">
        <f aca="false">SUM(O139:O140)</f>
        <v>0</v>
      </c>
      <c r="P141" s="49" t="n">
        <f aca="false">SUM(P139:P140)</f>
        <v>0</v>
      </c>
      <c r="Q141" s="49" t="n">
        <f aca="false">SUM(Q139:Q140)</f>
        <v>0</v>
      </c>
      <c r="R141" s="49" t="n">
        <f aca="false">SUM(R139:R140)</f>
        <v>0</v>
      </c>
      <c r="S141" s="49" t="n">
        <f aca="false">SUM(S139:S140)</f>
        <v>0</v>
      </c>
      <c r="T141" s="49" t="n">
        <f aca="false">SUM(T139:T140)</f>
        <v>0</v>
      </c>
      <c r="U141" s="49" t="n">
        <f aca="false">SUM(U139:U140)</f>
        <v>0</v>
      </c>
      <c r="V141" s="49" t="n">
        <f aca="false">SUM(V139:V140)</f>
        <v>0</v>
      </c>
      <c r="W141" s="49" t="n">
        <f aca="false">SUM(W139:W140)</f>
        <v>0</v>
      </c>
      <c r="X141" s="50" t="n">
        <f aca="false">SUM(B141:W141)</f>
        <v>1260</v>
      </c>
      <c r="Y141" s="51"/>
      <c r="Z141" s="25"/>
      <c r="AA141" s="16"/>
      <c r="AW141" s="26"/>
      <c r="AX141" s="27"/>
      <c r="AZ141" s="28"/>
      <c r="BA141" s="55" t="n">
        <v>0</v>
      </c>
      <c r="BB141" s="30" t="n">
        <v>0</v>
      </c>
      <c r="BC141" s="56" t="n">
        <v>0</v>
      </c>
      <c r="BD141" s="27" t="n">
        <f aca="false">X141</f>
        <v>1260</v>
      </c>
      <c r="BE141" s="26" t="str">
        <f aca="false">A130</f>
        <v>CRAZY TRAIN</v>
      </c>
      <c r="BF141" s="32"/>
      <c r="BG141" s="33"/>
    </row>
    <row r="142" customFormat="false" ht="15" hidden="false" customHeight="false" outlineLevel="0" collapsed="false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25"/>
      <c r="AA142" s="16"/>
      <c r="AW142" s="26"/>
      <c r="AX142" s="27"/>
      <c r="AZ142" s="28"/>
      <c r="BA142" s="55" t="n">
        <v>0</v>
      </c>
      <c r="BB142" s="30" t="n">
        <v>0</v>
      </c>
      <c r="BC142" s="56" t="n">
        <v>0</v>
      </c>
      <c r="BD142" s="27"/>
      <c r="BE142" s="26"/>
      <c r="BF142" s="32"/>
      <c r="BG142" s="33"/>
    </row>
    <row r="143" customFormat="false" ht="15" hidden="false" customHeight="false" outlineLevel="0" collapsed="false">
      <c r="A143" s="5" t="s">
        <v>133</v>
      </c>
      <c r="B143" s="6" t="s">
        <v>1</v>
      </c>
      <c r="C143" s="6" t="s">
        <v>2</v>
      </c>
      <c r="D143" s="6" t="s">
        <v>3</v>
      </c>
      <c r="E143" s="6" t="s">
        <v>4</v>
      </c>
      <c r="F143" s="6" t="s">
        <v>5</v>
      </c>
      <c r="G143" s="6" t="s">
        <v>6</v>
      </c>
      <c r="H143" s="6" t="s">
        <v>7</v>
      </c>
      <c r="I143" s="6" t="s">
        <v>8</v>
      </c>
      <c r="J143" s="6" t="s">
        <v>9</v>
      </c>
      <c r="K143" s="6" t="s">
        <v>10</v>
      </c>
      <c r="L143" s="6" t="s">
        <v>11</v>
      </c>
      <c r="M143" s="6" t="s">
        <v>12</v>
      </c>
      <c r="N143" s="6" t="s">
        <v>13</v>
      </c>
      <c r="O143" s="6" t="s">
        <v>14</v>
      </c>
      <c r="P143" s="6" t="s">
        <v>15</v>
      </c>
      <c r="Q143" s="6" t="s">
        <v>16</v>
      </c>
      <c r="R143" s="6" t="s">
        <v>17</v>
      </c>
      <c r="S143" s="6" t="s">
        <v>18</v>
      </c>
      <c r="T143" s="6" t="s">
        <v>19</v>
      </c>
      <c r="U143" s="6" t="s">
        <v>20</v>
      </c>
      <c r="V143" s="6" t="s">
        <v>21</v>
      </c>
      <c r="W143" s="6" t="s">
        <v>22</v>
      </c>
      <c r="X143" s="34"/>
      <c r="Y143" s="34"/>
      <c r="Z143" s="4" t="str">
        <f aca="false">A143</f>
        <v>Team #11 Name:</v>
      </c>
      <c r="AA143" s="16"/>
      <c r="AW143" s="26"/>
      <c r="AX143" s="27"/>
      <c r="AZ143" s="28"/>
      <c r="BA143" s="55" t="n">
        <v>0</v>
      </c>
      <c r="BB143" s="30" t="n">
        <v>0</v>
      </c>
      <c r="BC143" s="56" t="n">
        <v>0</v>
      </c>
      <c r="BD143" s="27"/>
      <c r="BE143" s="26"/>
      <c r="BF143" s="32"/>
      <c r="BG143" s="33"/>
    </row>
    <row r="144" customFormat="false" ht="15" hidden="false" customHeight="false" outlineLevel="0" collapsed="false">
      <c r="A144" s="11" t="str">
        <f aca="false">B!$E$16</f>
        <v>SPAM FO LUNCH</v>
      </c>
      <c r="B144" s="52" t="s">
        <v>28</v>
      </c>
      <c r="C144" s="52" t="s">
        <v>28</v>
      </c>
      <c r="D144" s="52" t="s">
        <v>28</v>
      </c>
      <c r="E144" s="52" t="s">
        <v>28</v>
      </c>
      <c r="F144" s="52" t="s">
        <v>28</v>
      </c>
      <c r="G144" s="52" t="s">
        <v>28</v>
      </c>
      <c r="H144" s="52" t="s">
        <v>28</v>
      </c>
      <c r="I144" s="52" t="s">
        <v>28</v>
      </c>
      <c r="J144" s="52" t="s">
        <v>28</v>
      </c>
      <c r="K144" s="52" t="s">
        <v>28</v>
      </c>
      <c r="L144" s="52" t="s">
        <v>28</v>
      </c>
      <c r="M144" s="52" t="s">
        <v>28</v>
      </c>
      <c r="N144" s="52" t="s">
        <v>28</v>
      </c>
      <c r="O144" s="52" t="s">
        <v>28</v>
      </c>
      <c r="P144" s="52" t="s">
        <v>28</v>
      </c>
      <c r="Q144" s="52" t="s">
        <v>28</v>
      </c>
      <c r="R144" s="52" t="s">
        <v>28</v>
      </c>
      <c r="S144" s="52" t="s">
        <v>28</v>
      </c>
      <c r="T144" s="52" t="s">
        <v>28</v>
      </c>
      <c r="U144" s="52" t="s">
        <v>28</v>
      </c>
      <c r="V144" s="52" t="s">
        <v>28</v>
      </c>
      <c r="W144" s="52" t="s">
        <v>28</v>
      </c>
      <c r="X144" s="13" t="s">
        <v>29</v>
      </c>
      <c r="Y144" s="14" t="s">
        <v>30</v>
      </c>
      <c r="Z144" s="15" t="str">
        <f aca="false">A144</f>
        <v>SPAM FO LUNCH</v>
      </c>
      <c r="AA144" s="16"/>
      <c r="AW144" s="17" t="s">
        <v>31</v>
      </c>
      <c r="AX144" s="27"/>
      <c r="AZ144" s="28"/>
      <c r="BA144" s="55" t="n">
        <v>0</v>
      </c>
      <c r="BB144" s="30" t="n">
        <v>0</v>
      </c>
      <c r="BC144" s="56" t="n">
        <v>0</v>
      </c>
      <c r="BD144" s="27"/>
      <c r="BE144" s="26"/>
      <c r="BF144" s="32"/>
      <c r="BG144" s="33"/>
    </row>
    <row r="145" customFormat="false" ht="15" hidden="false" customHeight="false" outlineLevel="0" collapsed="false">
      <c r="A145" s="21" t="str">
        <f aca="false">B!$E$18</f>
        <v>PABLO</v>
      </c>
      <c r="B145" s="22" t="n">
        <f aca="false">C!G5</f>
        <v>37</v>
      </c>
      <c r="C145" s="22" t="n">
        <f aca="false">D!G5</f>
        <v>46</v>
      </c>
      <c r="D145" s="22" t="n">
        <f aca="false">E!G5</f>
        <v>39</v>
      </c>
      <c r="E145" s="22" t="n">
        <f aca="false">F!G5</f>
        <v>39</v>
      </c>
      <c r="F145" s="22" t="n">
        <f aca="false">G!G5</f>
        <v>37</v>
      </c>
      <c r="G145" s="22" t="n">
        <f aca="false">H!G5</f>
        <v>40</v>
      </c>
      <c r="H145" s="22" t="n">
        <f aca="false">I!G5</f>
        <v>0</v>
      </c>
      <c r="I145" s="22" t="n">
        <f aca="false">J!G5</f>
        <v>0</v>
      </c>
      <c r="J145" s="22" t="n">
        <f aca="false">K!G5</f>
        <v>0</v>
      </c>
      <c r="K145" s="22" t="n">
        <f aca="false">L!G5</f>
        <v>0</v>
      </c>
      <c r="L145" s="22" t="n">
        <f aca="false">M!G5</f>
        <v>0</v>
      </c>
      <c r="M145" s="22" t="n">
        <f aca="false">N!G5</f>
        <v>0</v>
      </c>
      <c r="N145" s="22" t="n">
        <f aca="false">O!G5</f>
        <v>0</v>
      </c>
      <c r="O145" s="22" t="n">
        <f aca="false">P!G5</f>
        <v>0</v>
      </c>
      <c r="P145" s="22" t="n">
        <f aca="false">Q!G5</f>
        <v>0</v>
      </c>
      <c r="Q145" s="22" t="n">
        <f aca="false">R!G5</f>
        <v>0</v>
      </c>
      <c r="R145" s="22" t="n">
        <f aca="false">S!G5</f>
        <v>0</v>
      </c>
      <c r="S145" s="22" t="n">
        <f aca="false">T!G5</f>
        <v>0</v>
      </c>
      <c r="T145" s="22" t="n">
        <f aca="false">U!G5</f>
        <v>0</v>
      </c>
      <c r="U145" s="22" t="n">
        <f aca="false">V!G5</f>
        <v>0</v>
      </c>
      <c r="V145" s="22" t="n">
        <f aca="false">W!G5</f>
        <v>0</v>
      </c>
      <c r="W145" s="22" t="n">
        <f aca="false">X!G5</f>
        <v>0</v>
      </c>
      <c r="X145" s="23" t="n">
        <f aca="false">SUM(B145:W145)</f>
        <v>238</v>
      </c>
      <c r="Y145" s="24" t="n">
        <f aca="false">IF(AW145=0,0,X145/AW145)</f>
        <v>39.6666666666667</v>
      </c>
      <c r="Z145" s="25" t="str">
        <f aca="false">A145</f>
        <v>PABLO</v>
      </c>
      <c r="AA145" s="16" t="n">
        <f aca="false">IF(B145=0,0,1)</f>
        <v>1</v>
      </c>
      <c r="AB145" s="0" t="n">
        <f aca="false">IF(C145=0,0,1)</f>
        <v>1</v>
      </c>
      <c r="AC145" s="0" t="n">
        <f aca="false">IF(D145=0,0,1)</f>
        <v>1</v>
      </c>
      <c r="AD145" s="0" t="n">
        <f aca="false">IF(E145=0,0,1)</f>
        <v>1</v>
      </c>
      <c r="AE145" s="0" t="n">
        <f aca="false">IF(F145=0,0,1)</f>
        <v>1</v>
      </c>
      <c r="AF145" s="0" t="n">
        <f aca="false">IF(G145=0,0,1)</f>
        <v>1</v>
      </c>
      <c r="AG145" s="0" t="n">
        <f aca="false">IF(H145=0,0,1)</f>
        <v>0</v>
      </c>
      <c r="AH145" s="0" t="n">
        <f aca="false">IF(I145=0,0,1)</f>
        <v>0</v>
      </c>
      <c r="AI145" s="0" t="n">
        <f aca="false">IF(J145=0,0,1)</f>
        <v>0</v>
      </c>
      <c r="AJ145" s="0" t="n">
        <f aca="false">IF(K145=0,0,1)</f>
        <v>0</v>
      </c>
      <c r="AK145" s="0" t="n">
        <f aca="false">IF(L145=0,0,1)</f>
        <v>0</v>
      </c>
      <c r="AL145" s="0" t="n">
        <f aca="false">IF(M145=0,0,1)</f>
        <v>0</v>
      </c>
      <c r="AM145" s="0" t="n">
        <f aca="false">IF(N145=0,0,1)</f>
        <v>0</v>
      </c>
      <c r="AN145" s="0" t="n">
        <f aca="false">IF(O145=0,0,1)</f>
        <v>0</v>
      </c>
      <c r="AO145" s="0" t="n">
        <f aca="false">IF(P145=0,0,1)</f>
        <v>0</v>
      </c>
      <c r="AP145" s="0" t="n">
        <f aca="false">IF(Q145=0,0,1)</f>
        <v>0</v>
      </c>
      <c r="AQ145" s="0" t="n">
        <f aca="false">IF(R145=0,0,1)</f>
        <v>0</v>
      </c>
      <c r="AR145" s="0" t="n">
        <f aca="false">IF(S145=0,0,1)</f>
        <v>0</v>
      </c>
      <c r="AS145" s="0" t="n">
        <f aca="false">IF(T145=0,0,1)</f>
        <v>0</v>
      </c>
      <c r="AT145" s="0" t="n">
        <f aca="false">IF(U145=0,0,1)</f>
        <v>0</v>
      </c>
      <c r="AU145" s="0" t="n">
        <f aca="false">IF(V145=0,0,1)</f>
        <v>0</v>
      </c>
      <c r="AV145" s="0" t="n">
        <f aca="false">IF(W145=0,0,1)</f>
        <v>0</v>
      </c>
      <c r="AW145" s="26" t="n">
        <f aca="false">SUM(AA145:AV145)</f>
        <v>6</v>
      </c>
      <c r="AX145" s="27" t="n">
        <f aca="false">IF(X145=0,0,X145)</f>
        <v>238</v>
      </c>
      <c r="AY145" s="1" t="str">
        <f aca="false">IF(X145=0,0,A145)</f>
        <v>PABLO</v>
      </c>
      <c r="AZ145" s="28" t="str">
        <f aca="false">IF(AX145=0,0,A$144)</f>
        <v>SPAM FO LUNCH</v>
      </c>
      <c r="BA145" s="55" t="n">
        <v>0</v>
      </c>
      <c r="BB145" s="30" t="n">
        <v>0</v>
      </c>
      <c r="BC145" s="56" t="n">
        <v>0</v>
      </c>
      <c r="BD145" s="27"/>
      <c r="BE145" s="26"/>
      <c r="BF145" s="32"/>
      <c r="BG145" s="33"/>
    </row>
    <row r="146" customFormat="false" ht="15" hidden="false" customHeight="false" outlineLevel="0" collapsed="false">
      <c r="A146" s="21" t="str">
        <f aca="false">B!$E$23</f>
        <v>ERIC</v>
      </c>
      <c r="B146" s="22" t="n">
        <f aca="false">C!G6</f>
        <v>35</v>
      </c>
      <c r="C146" s="22" t="n">
        <f aca="false">D!G6</f>
        <v>50</v>
      </c>
      <c r="D146" s="22" t="n">
        <f aca="false">E!G6</f>
        <v>45</v>
      </c>
      <c r="E146" s="22" t="n">
        <f aca="false">F!G6</f>
        <v>45</v>
      </c>
      <c r="F146" s="22" t="n">
        <f aca="false">G!G6</f>
        <v>46</v>
      </c>
      <c r="G146" s="22" t="n">
        <f aca="false">H!G6</f>
        <v>35</v>
      </c>
      <c r="H146" s="22" t="n">
        <f aca="false">I!G6</f>
        <v>0</v>
      </c>
      <c r="I146" s="22" t="n">
        <f aca="false">J!G6</f>
        <v>0</v>
      </c>
      <c r="J146" s="22" t="n">
        <f aca="false">K!G6</f>
        <v>0</v>
      </c>
      <c r="K146" s="22" t="n">
        <f aca="false">L!G6</f>
        <v>0</v>
      </c>
      <c r="L146" s="22" t="n">
        <f aca="false">M!G6</f>
        <v>0</v>
      </c>
      <c r="M146" s="22" t="n">
        <f aca="false">N!G6</f>
        <v>0</v>
      </c>
      <c r="N146" s="22" t="n">
        <f aca="false">O!G6</f>
        <v>0</v>
      </c>
      <c r="O146" s="22" t="n">
        <f aca="false">P!G6</f>
        <v>0</v>
      </c>
      <c r="P146" s="22" t="n">
        <f aca="false">Q!G6</f>
        <v>0</v>
      </c>
      <c r="Q146" s="22" t="n">
        <f aca="false">R!G6</f>
        <v>0</v>
      </c>
      <c r="R146" s="22" t="n">
        <f aca="false">S!G6</f>
        <v>0</v>
      </c>
      <c r="S146" s="22" t="n">
        <f aca="false">T!G6</f>
        <v>0</v>
      </c>
      <c r="T146" s="22" t="n">
        <f aca="false">U!G6</f>
        <v>0</v>
      </c>
      <c r="U146" s="22" t="n">
        <f aca="false">V!G6</f>
        <v>0</v>
      </c>
      <c r="V146" s="22" t="n">
        <f aca="false">W!G6</f>
        <v>0</v>
      </c>
      <c r="W146" s="22" t="n">
        <f aca="false">X!G6</f>
        <v>0</v>
      </c>
      <c r="X146" s="23" t="n">
        <f aca="false">SUM(B146:W146)</f>
        <v>256</v>
      </c>
      <c r="Y146" s="24" t="n">
        <f aca="false">IF(AW146=0,0,X146/AW146)</f>
        <v>42.6666666666667</v>
      </c>
      <c r="Z146" s="25" t="str">
        <f aca="false">A146</f>
        <v>ERIC</v>
      </c>
      <c r="AA146" s="16" t="n">
        <f aca="false">IF(B146=0,0,1)</f>
        <v>1</v>
      </c>
      <c r="AB146" s="0" t="n">
        <f aca="false">IF(C146=0,0,1)</f>
        <v>1</v>
      </c>
      <c r="AC146" s="0" t="n">
        <f aca="false">IF(D146=0,0,1)</f>
        <v>1</v>
      </c>
      <c r="AD146" s="0" t="n">
        <f aca="false">IF(E146=0,0,1)</f>
        <v>1</v>
      </c>
      <c r="AE146" s="0" t="n">
        <f aca="false">IF(F146=0,0,1)</f>
        <v>1</v>
      </c>
      <c r="AF146" s="0" t="n">
        <f aca="false">IF(G146=0,0,1)</f>
        <v>1</v>
      </c>
      <c r="AG146" s="0" t="n">
        <f aca="false">IF(H146=0,0,1)</f>
        <v>0</v>
      </c>
      <c r="AH146" s="0" t="n">
        <f aca="false">IF(I146=0,0,1)</f>
        <v>0</v>
      </c>
      <c r="AI146" s="0" t="n">
        <f aca="false">IF(J146=0,0,1)</f>
        <v>0</v>
      </c>
      <c r="AJ146" s="0" t="n">
        <f aca="false">IF(K146=0,0,1)</f>
        <v>0</v>
      </c>
      <c r="AK146" s="0" t="n">
        <f aca="false">IF(L146=0,0,1)</f>
        <v>0</v>
      </c>
      <c r="AL146" s="0" t="n">
        <f aca="false">IF(M146=0,0,1)</f>
        <v>0</v>
      </c>
      <c r="AM146" s="0" t="n">
        <f aca="false">IF(N146=0,0,1)</f>
        <v>0</v>
      </c>
      <c r="AN146" s="0" t="n">
        <f aca="false">IF(O146=0,0,1)</f>
        <v>0</v>
      </c>
      <c r="AO146" s="0" t="n">
        <f aca="false">IF(P146=0,0,1)</f>
        <v>0</v>
      </c>
      <c r="AP146" s="0" t="n">
        <f aca="false">IF(Q146=0,0,1)</f>
        <v>0</v>
      </c>
      <c r="AQ146" s="0" t="n">
        <f aca="false">IF(R146=0,0,1)</f>
        <v>0</v>
      </c>
      <c r="AR146" s="0" t="n">
        <f aca="false">IF(S146=0,0,1)</f>
        <v>0</v>
      </c>
      <c r="AS146" s="0" t="n">
        <f aca="false">IF(T146=0,0,1)</f>
        <v>0</v>
      </c>
      <c r="AT146" s="0" t="n">
        <f aca="false">IF(U146=0,0,1)</f>
        <v>0</v>
      </c>
      <c r="AU146" s="0" t="n">
        <f aca="false">IF(V146=0,0,1)</f>
        <v>0</v>
      </c>
      <c r="AV146" s="0" t="n">
        <f aca="false">IF(W146=0,0,1)</f>
        <v>0</v>
      </c>
      <c r="AW146" s="26" t="n">
        <f aca="false">SUM(AA146:AV146)</f>
        <v>6</v>
      </c>
      <c r="AX146" s="27" t="n">
        <f aca="false">IF(X146=0,0,X146)</f>
        <v>256</v>
      </c>
      <c r="AY146" s="1" t="str">
        <f aca="false">IF(X146=0,0,A146)</f>
        <v>ERIC</v>
      </c>
      <c r="AZ146" s="28" t="str">
        <f aca="false">IF(AX146=0,0,A$144)</f>
        <v>SPAM FO LUNCH</v>
      </c>
      <c r="BA146" s="55" t="n">
        <v>0</v>
      </c>
      <c r="BB146" s="30" t="n">
        <v>0</v>
      </c>
      <c r="BC146" s="56" t="n">
        <v>0</v>
      </c>
      <c r="BD146" s="27"/>
      <c r="BE146" s="26"/>
      <c r="BF146" s="32"/>
      <c r="BG146" s="33"/>
    </row>
    <row r="147" customFormat="false" ht="15" hidden="false" customHeight="false" outlineLevel="0" collapsed="false">
      <c r="A147" s="21" t="str">
        <f aca="false">B!$E$28</f>
        <v>SABRINA</v>
      </c>
      <c r="B147" s="22" t="n">
        <f aca="false">C!G7</f>
        <v>29</v>
      </c>
      <c r="C147" s="22" t="n">
        <f aca="false">D!G7</f>
        <v>46</v>
      </c>
      <c r="D147" s="22" t="n">
        <f aca="false">E!G7</f>
        <v>39</v>
      </c>
      <c r="E147" s="22" t="n">
        <f aca="false">F!G7</f>
        <v>29</v>
      </c>
      <c r="F147" s="22" t="n">
        <f aca="false">G!G7</f>
        <v>46</v>
      </c>
      <c r="G147" s="22" t="n">
        <f aca="false">H!G7</f>
        <v>40</v>
      </c>
      <c r="H147" s="22" t="n">
        <f aca="false">I!G7</f>
        <v>0</v>
      </c>
      <c r="I147" s="22" t="n">
        <f aca="false">J!G7</f>
        <v>0</v>
      </c>
      <c r="J147" s="22" t="n">
        <f aca="false">K!G7</f>
        <v>0</v>
      </c>
      <c r="K147" s="22" t="n">
        <f aca="false">L!G7</f>
        <v>0</v>
      </c>
      <c r="L147" s="22" t="n">
        <f aca="false">M!G7</f>
        <v>0</v>
      </c>
      <c r="M147" s="22" t="n">
        <f aca="false">N!G7</f>
        <v>0</v>
      </c>
      <c r="N147" s="22" t="n">
        <f aca="false">O!G7</f>
        <v>0</v>
      </c>
      <c r="O147" s="22" t="n">
        <f aca="false">P!G7</f>
        <v>0</v>
      </c>
      <c r="P147" s="22" t="n">
        <f aca="false">Q!G7</f>
        <v>0</v>
      </c>
      <c r="Q147" s="22" t="n">
        <f aca="false">R!G7</f>
        <v>0</v>
      </c>
      <c r="R147" s="22" t="n">
        <f aca="false">S!G7</f>
        <v>0</v>
      </c>
      <c r="S147" s="22" t="n">
        <f aca="false">T!G7</f>
        <v>0</v>
      </c>
      <c r="T147" s="22" t="n">
        <f aca="false">U!G7</f>
        <v>0</v>
      </c>
      <c r="U147" s="22" t="n">
        <f aca="false">V!G7</f>
        <v>0</v>
      </c>
      <c r="V147" s="22" t="n">
        <f aca="false">W!G7</f>
        <v>0</v>
      </c>
      <c r="W147" s="22" t="n">
        <f aca="false">X!G7</f>
        <v>0</v>
      </c>
      <c r="X147" s="23" t="n">
        <f aca="false">SUM(B147:W147)</f>
        <v>229</v>
      </c>
      <c r="Y147" s="24" t="n">
        <f aca="false">IF(AW147=0,0,X147/AW147)</f>
        <v>38.1666666666667</v>
      </c>
      <c r="Z147" s="25" t="str">
        <f aca="false">A147</f>
        <v>SABRINA</v>
      </c>
      <c r="AA147" s="16" t="n">
        <f aca="false">IF(B147=0,0,1)</f>
        <v>1</v>
      </c>
      <c r="AB147" s="0" t="n">
        <f aca="false">IF(C147=0,0,1)</f>
        <v>1</v>
      </c>
      <c r="AC147" s="0" t="n">
        <f aca="false">IF(D147=0,0,1)</f>
        <v>1</v>
      </c>
      <c r="AD147" s="0" t="n">
        <f aca="false">IF(E147=0,0,1)</f>
        <v>1</v>
      </c>
      <c r="AE147" s="0" t="n">
        <f aca="false">IF(F147=0,0,1)</f>
        <v>1</v>
      </c>
      <c r="AF147" s="0" t="n">
        <f aca="false">IF(G147=0,0,1)</f>
        <v>1</v>
      </c>
      <c r="AG147" s="0" t="n">
        <f aca="false">IF(H147=0,0,1)</f>
        <v>0</v>
      </c>
      <c r="AH147" s="0" t="n">
        <f aca="false">IF(I147=0,0,1)</f>
        <v>0</v>
      </c>
      <c r="AI147" s="0" t="n">
        <f aca="false">IF(J147=0,0,1)</f>
        <v>0</v>
      </c>
      <c r="AJ147" s="0" t="n">
        <f aca="false">IF(K147=0,0,1)</f>
        <v>0</v>
      </c>
      <c r="AK147" s="0" t="n">
        <f aca="false">IF(L147=0,0,1)</f>
        <v>0</v>
      </c>
      <c r="AL147" s="0" t="n">
        <f aca="false">IF(M147=0,0,1)</f>
        <v>0</v>
      </c>
      <c r="AM147" s="0" t="n">
        <f aca="false">IF(N147=0,0,1)</f>
        <v>0</v>
      </c>
      <c r="AN147" s="0" t="n">
        <f aca="false">IF(O147=0,0,1)</f>
        <v>0</v>
      </c>
      <c r="AO147" s="0" t="n">
        <f aca="false">IF(P147=0,0,1)</f>
        <v>0</v>
      </c>
      <c r="AP147" s="0" t="n">
        <f aca="false">IF(Q147=0,0,1)</f>
        <v>0</v>
      </c>
      <c r="AQ147" s="0" t="n">
        <f aca="false">IF(R147=0,0,1)</f>
        <v>0</v>
      </c>
      <c r="AR147" s="0" t="n">
        <f aca="false">IF(S147=0,0,1)</f>
        <v>0</v>
      </c>
      <c r="AS147" s="0" t="n">
        <f aca="false">IF(T147=0,0,1)</f>
        <v>0</v>
      </c>
      <c r="AT147" s="0" t="n">
        <f aca="false">IF(U147=0,0,1)</f>
        <v>0</v>
      </c>
      <c r="AU147" s="0" t="n">
        <f aca="false">IF(V147=0,0,1)</f>
        <v>0</v>
      </c>
      <c r="AV147" s="0" t="n">
        <f aca="false">IF(W147=0,0,1)</f>
        <v>0</v>
      </c>
      <c r="AW147" s="26" t="n">
        <f aca="false">SUM(AA147:AV147)</f>
        <v>6</v>
      </c>
      <c r="AX147" s="27" t="n">
        <f aca="false">IF(X147=0,0,X147)</f>
        <v>229</v>
      </c>
      <c r="AY147" s="1" t="str">
        <f aca="false">IF(X147=0,0,A147)</f>
        <v>SABRINA</v>
      </c>
      <c r="AZ147" s="28" t="str">
        <f aca="false">IF(AX147=0,0,A$144)</f>
        <v>SPAM FO LUNCH</v>
      </c>
      <c r="BA147" s="55" t="n">
        <v>0</v>
      </c>
      <c r="BB147" s="30" t="n">
        <v>0</v>
      </c>
      <c r="BC147" s="56" t="n">
        <v>0</v>
      </c>
      <c r="BD147" s="27"/>
      <c r="BE147" s="26"/>
      <c r="BF147" s="32"/>
      <c r="BG147" s="33"/>
    </row>
    <row r="148" customFormat="false" ht="15" hidden="false" customHeight="false" outlineLevel="0" collapsed="false">
      <c r="A148" s="21" t="str">
        <f aca="false">B!$E$33</f>
        <v>NICK</v>
      </c>
      <c r="B148" s="22" t="n">
        <f aca="false">C!G8</f>
        <v>39</v>
      </c>
      <c r="C148" s="22" t="n">
        <f aca="false">D!G8</f>
        <v>35</v>
      </c>
      <c r="D148" s="22" t="n">
        <f aca="false">E!G8</f>
        <v>33</v>
      </c>
      <c r="E148" s="22" t="n">
        <f aca="false">F!G8</f>
        <v>34</v>
      </c>
      <c r="F148" s="22" t="n">
        <f aca="false">G!G8</f>
        <v>40</v>
      </c>
      <c r="G148" s="22" t="n">
        <f aca="false">H!G8</f>
        <v>17</v>
      </c>
      <c r="H148" s="22" t="n">
        <f aca="false">I!G8</f>
        <v>0</v>
      </c>
      <c r="I148" s="22" t="n">
        <f aca="false">J!G8</f>
        <v>0</v>
      </c>
      <c r="J148" s="22" t="n">
        <f aca="false">K!G8</f>
        <v>0</v>
      </c>
      <c r="K148" s="22" t="n">
        <f aca="false">L!G8</f>
        <v>0</v>
      </c>
      <c r="L148" s="22" t="n">
        <f aca="false">M!G8</f>
        <v>0</v>
      </c>
      <c r="M148" s="22" t="n">
        <f aca="false">N!G8</f>
        <v>0</v>
      </c>
      <c r="N148" s="22" t="n">
        <f aca="false">O!G8</f>
        <v>0</v>
      </c>
      <c r="O148" s="22" t="n">
        <f aca="false">P!G8</f>
        <v>0</v>
      </c>
      <c r="P148" s="22" t="n">
        <f aca="false">Q!G8</f>
        <v>0</v>
      </c>
      <c r="Q148" s="22" t="n">
        <f aca="false">R!G8</f>
        <v>0</v>
      </c>
      <c r="R148" s="22" t="n">
        <f aca="false">S!G8</f>
        <v>0</v>
      </c>
      <c r="S148" s="22" t="n">
        <f aca="false">T!G8</f>
        <v>0</v>
      </c>
      <c r="T148" s="22" t="n">
        <f aca="false">U!G8</f>
        <v>0</v>
      </c>
      <c r="U148" s="22" t="n">
        <f aca="false">V!G8</f>
        <v>0</v>
      </c>
      <c r="V148" s="22" t="n">
        <f aca="false">W!G8</f>
        <v>0</v>
      </c>
      <c r="W148" s="22" t="n">
        <f aca="false">X!G8</f>
        <v>0</v>
      </c>
      <c r="X148" s="23" t="n">
        <f aca="false">SUM(B148:W148)</f>
        <v>198</v>
      </c>
      <c r="Y148" s="24" t="n">
        <f aca="false">IF(AW148=0,0,X148/AW148)</f>
        <v>33</v>
      </c>
      <c r="Z148" s="25" t="str">
        <f aca="false">A148</f>
        <v>NICK</v>
      </c>
      <c r="AA148" s="16" t="n">
        <f aca="false">IF(B148=0,0,1)</f>
        <v>1</v>
      </c>
      <c r="AB148" s="0" t="n">
        <f aca="false">IF(C148=0,0,1)</f>
        <v>1</v>
      </c>
      <c r="AC148" s="0" t="n">
        <f aca="false">IF(D148=0,0,1)</f>
        <v>1</v>
      </c>
      <c r="AD148" s="0" t="n">
        <f aca="false">IF(E148=0,0,1)</f>
        <v>1</v>
      </c>
      <c r="AE148" s="0" t="n">
        <f aca="false">IF(F148=0,0,1)</f>
        <v>1</v>
      </c>
      <c r="AF148" s="0" t="n">
        <f aca="false">IF(G148=0,0,1)</f>
        <v>1</v>
      </c>
      <c r="AG148" s="0" t="n">
        <f aca="false">IF(H148=0,0,1)</f>
        <v>0</v>
      </c>
      <c r="AH148" s="0" t="n">
        <f aca="false">IF(I148=0,0,1)</f>
        <v>0</v>
      </c>
      <c r="AI148" s="0" t="n">
        <f aca="false">IF(J148=0,0,1)</f>
        <v>0</v>
      </c>
      <c r="AJ148" s="0" t="n">
        <f aca="false">IF(K148=0,0,1)</f>
        <v>0</v>
      </c>
      <c r="AK148" s="0" t="n">
        <f aca="false">IF(L148=0,0,1)</f>
        <v>0</v>
      </c>
      <c r="AL148" s="0" t="n">
        <f aca="false">IF(M148=0,0,1)</f>
        <v>0</v>
      </c>
      <c r="AM148" s="0" t="n">
        <f aca="false">IF(N148=0,0,1)</f>
        <v>0</v>
      </c>
      <c r="AN148" s="0" t="n">
        <f aca="false">IF(O148=0,0,1)</f>
        <v>0</v>
      </c>
      <c r="AO148" s="0" t="n">
        <f aca="false">IF(P148=0,0,1)</f>
        <v>0</v>
      </c>
      <c r="AP148" s="0" t="n">
        <f aca="false">IF(Q148=0,0,1)</f>
        <v>0</v>
      </c>
      <c r="AQ148" s="0" t="n">
        <f aca="false">IF(R148=0,0,1)</f>
        <v>0</v>
      </c>
      <c r="AR148" s="0" t="n">
        <f aca="false">IF(S148=0,0,1)</f>
        <v>0</v>
      </c>
      <c r="AS148" s="0" t="n">
        <f aca="false">IF(T148=0,0,1)</f>
        <v>0</v>
      </c>
      <c r="AT148" s="0" t="n">
        <f aca="false">IF(U148=0,0,1)</f>
        <v>0</v>
      </c>
      <c r="AU148" s="0" t="n">
        <f aca="false">IF(V148=0,0,1)</f>
        <v>0</v>
      </c>
      <c r="AV148" s="0" t="n">
        <f aca="false">IF(W148=0,0,1)</f>
        <v>0</v>
      </c>
      <c r="AW148" s="26" t="n">
        <f aca="false">SUM(AA148:AV148)</f>
        <v>6</v>
      </c>
      <c r="AX148" s="27" t="n">
        <f aca="false">IF(X148=0,0,X148)</f>
        <v>198</v>
      </c>
      <c r="AY148" s="1" t="str">
        <f aca="false">IF(X148=0,0,A148)</f>
        <v>NICK</v>
      </c>
      <c r="AZ148" s="28" t="str">
        <f aca="false">IF(AX148=0,0,A$144)</f>
        <v>SPAM FO LUNCH</v>
      </c>
      <c r="BA148" s="55" t="n">
        <v>0</v>
      </c>
      <c r="BB148" s="30" t="n">
        <v>0</v>
      </c>
      <c r="BC148" s="56" t="n">
        <v>0</v>
      </c>
      <c r="BD148" s="27"/>
      <c r="BE148" s="26"/>
      <c r="BF148" s="32"/>
      <c r="BG148" s="33"/>
    </row>
    <row r="149" customFormat="false" ht="15" hidden="false" customHeight="false" outlineLevel="0" collapsed="false">
      <c r="A149" s="21" t="str">
        <f aca="false">B!$E$38</f>
        <v>LON</v>
      </c>
      <c r="B149" s="22" t="n">
        <f aca="false">C!G9</f>
        <v>37</v>
      </c>
      <c r="C149" s="22" t="n">
        <f aca="false">D!G9</f>
        <v>45</v>
      </c>
      <c r="D149" s="22" t="n">
        <f aca="false">E!G9</f>
        <v>41</v>
      </c>
      <c r="E149" s="22" t="n">
        <f aca="false">F!G9</f>
        <v>39</v>
      </c>
      <c r="F149" s="22" t="n">
        <f aca="false">G!G9</f>
        <v>39</v>
      </c>
      <c r="G149" s="22" t="n">
        <f aca="false">H!G9</f>
        <v>39</v>
      </c>
      <c r="H149" s="22" t="n">
        <f aca="false">I!G9</f>
        <v>0</v>
      </c>
      <c r="I149" s="22" t="n">
        <f aca="false">J!G9</f>
        <v>0</v>
      </c>
      <c r="J149" s="22" t="n">
        <f aca="false">K!G9</f>
        <v>0</v>
      </c>
      <c r="K149" s="22" t="n">
        <f aca="false">L!G9</f>
        <v>0</v>
      </c>
      <c r="L149" s="22" t="n">
        <f aca="false">M!G9</f>
        <v>0</v>
      </c>
      <c r="M149" s="22" t="n">
        <f aca="false">N!G9</f>
        <v>0</v>
      </c>
      <c r="N149" s="22" t="n">
        <f aca="false">O!G9</f>
        <v>0</v>
      </c>
      <c r="O149" s="22" t="n">
        <f aca="false">P!G9</f>
        <v>0</v>
      </c>
      <c r="P149" s="22" t="n">
        <f aca="false">Q!G9</f>
        <v>0</v>
      </c>
      <c r="Q149" s="22" t="n">
        <f aca="false">R!G9</f>
        <v>0</v>
      </c>
      <c r="R149" s="22" t="n">
        <f aca="false">S!G9</f>
        <v>0</v>
      </c>
      <c r="S149" s="22" t="n">
        <f aca="false">T!G9</f>
        <v>0</v>
      </c>
      <c r="T149" s="22" t="n">
        <f aca="false">U!G9</f>
        <v>0</v>
      </c>
      <c r="U149" s="22" t="n">
        <f aca="false">V!G9</f>
        <v>0</v>
      </c>
      <c r="V149" s="22" t="n">
        <f aca="false">W!G9</f>
        <v>0</v>
      </c>
      <c r="W149" s="22" t="n">
        <f aca="false">X!G9</f>
        <v>0</v>
      </c>
      <c r="X149" s="23" t="n">
        <f aca="false">SUM(B149:W149)</f>
        <v>240</v>
      </c>
      <c r="Y149" s="24" t="n">
        <f aca="false">IF(AW149=0,0,X149/AW149)</f>
        <v>40</v>
      </c>
      <c r="Z149" s="25" t="str">
        <f aca="false">A149</f>
        <v>LON</v>
      </c>
      <c r="AA149" s="16" t="n">
        <f aca="false">IF(B149=0,0,1)</f>
        <v>1</v>
      </c>
      <c r="AB149" s="0" t="n">
        <f aca="false">IF(C149=0,0,1)</f>
        <v>1</v>
      </c>
      <c r="AC149" s="0" t="n">
        <f aca="false">IF(D149=0,0,1)</f>
        <v>1</v>
      </c>
      <c r="AD149" s="0" t="n">
        <f aca="false">IF(E149=0,0,1)</f>
        <v>1</v>
      </c>
      <c r="AE149" s="0" t="n">
        <f aca="false">IF(F149=0,0,1)</f>
        <v>1</v>
      </c>
      <c r="AF149" s="0" t="n">
        <f aca="false">IF(G149=0,0,1)</f>
        <v>1</v>
      </c>
      <c r="AG149" s="0" t="n">
        <f aca="false">IF(H149=0,0,1)</f>
        <v>0</v>
      </c>
      <c r="AH149" s="0" t="n">
        <f aca="false">IF(I149=0,0,1)</f>
        <v>0</v>
      </c>
      <c r="AI149" s="0" t="n">
        <f aca="false">IF(J149=0,0,1)</f>
        <v>0</v>
      </c>
      <c r="AJ149" s="0" t="n">
        <f aca="false">IF(K149=0,0,1)</f>
        <v>0</v>
      </c>
      <c r="AK149" s="0" t="n">
        <f aca="false">IF(L149=0,0,1)</f>
        <v>0</v>
      </c>
      <c r="AL149" s="0" t="n">
        <f aca="false">IF(M149=0,0,1)</f>
        <v>0</v>
      </c>
      <c r="AM149" s="0" t="n">
        <f aca="false">IF(N149=0,0,1)</f>
        <v>0</v>
      </c>
      <c r="AN149" s="0" t="n">
        <f aca="false">IF(O149=0,0,1)</f>
        <v>0</v>
      </c>
      <c r="AO149" s="0" t="n">
        <f aca="false">IF(P149=0,0,1)</f>
        <v>0</v>
      </c>
      <c r="AP149" s="0" t="n">
        <f aca="false">IF(Q149=0,0,1)</f>
        <v>0</v>
      </c>
      <c r="AQ149" s="0" t="n">
        <f aca="false">IF(R149=0,0,1)</f>
        <v>0</v>
      </c>
      <c r="AR149" s="0" t="n">
        <f aca="false">IF(S149=0,0,1)</f>
        <v>0</v>
      </c>
      <c r="AS149" s="0" t="n">
        <f aca="false">IF(T149=0,0,1)</f>
        <v>0</v>
      </c>
      <c r="AT149" s="0" t="n">
        <f aca="false">IF(U149=0,0,1)</f>
        <v>0</v>
      </c>
      <c r="AU149" s="0" t="n">
        <f aca="false">IF(V149=0,0,1)</f>
        <v>0</v>
      </c>
      <c r="AV149" s="0" t="n">
        <f aca="false">IF(W149=0,0,1)</f>
        <v>0</v>
      </c>
      <c r="AW149" s="26" t="n">
        <f aca="false">SUM(AA149:AV149)</f>
        <v>6</v>
      </c>
      <c r="AX149" s="27" t="n">
        <f aca="false">IF(X149=0,0,X149)</f>
        <v>240</v>
      </c>
      <c r="AY149" s="1" t="str">
        <f aca="false">IF(X149=0,0,A149)</f>
        <v>LON</v>
      </c>
      <c r="AZ149" s="28" t="str">
        <f aca="false">IF(AX149=0,0,A$144)</f>
        <v>SPAM FO LUNCH</v>
      </c>
      <c r="BA149" s="55" t="n">
        <v>0</v>
      </c>
      <c r="BB149" s="30" t="n">
        <v>0</v>
      </c>
      <c r="BC149" s="56" t="n">
        <v>0</v>
      </c>
      <c r="BD149" s="27"/>
      <c r="BE149" s="26"/>
      <c r="BF149" s="32"/>
      <c r="BG149" s="33"/>
    </row>
    <row r="150" customFormat="false" ht="15" hidden="false" customHeight="false" outlineLevel="0" collapsed="false">
      <c r="A150" s="21" t="n">
        <f aca="false">B!$E$43</f>
        <v>0</v>
      </c>
      <c r="B150" s="22" t="n">
        <f aca="false">C!G10</f>
        <v>0</v>
      </c>
      <c r="C150" s="22" t="n">
        <f aca="false">D!G10</f>
        <v>0</v>
      </c>
      <c r="D150" s="22" t="n">
        <f aca="false">E!G10</f>
        <v>0</v>
      </c>
      <c r="E150" s="22" t="n">
        <f aca="false">F!G10</f>
        <v>0</v>
      </c>
      <c r="F150" s="22" t="n">
        <f aca="false">G!G10</f>
        <v>0</v>
      </c>
      <c r="G150" s="22" t="n">
        <f aca="false">H!G10</f>
        <v>0</v>
      </c>
      <c r="H150" s="22" t="n">
        <f aca="false">I!G10</f>
        <v>0</v>
      </c>
      <c r="I150" s="22" t="n">
        <f aca="false">J!G10</f>
        <v>0</v>
      </c>
      <c r="J150" s="22" t="n">
        <f aca="false">K!G10</f>
        <v>0</v>
      </c>
      <c r="K150" s="22" t="n">
        <f aca="false">L!G10</f>
        <v>0</v>
      </c>
      <c r="L150" s="22" t="n">
        <f aca="false">M!G10</f>
        <v>0</v>
      </c>
      <c r="M150" s="22" t="n">
        <f aca="false">N!G10</f>
        <v>0</v>
      </c>
      <c r="N150" s="22" t="n">
        <f aca="false">O!G10</f>
        <v>0</v>
      </c>
      <c r="O150" s="22" t="n">
        <f aca="false">P!G10</f>
        <v>0</v>
      </c>
      <c r="P150" s="22" t="n">
        <f aca="false">Q!G10</f>
        <v>0</v>
      </c>
      <c r="Q150" s="22" t="n">
        <f aca="false">R!G10</f>
        <v>0</v>
      </c>
      <c r="R150" s="22" t="n">
        <f aca="false">S!G10</f>
        <v>0</v>
      </c>
      <c r="S150" s="22" t="n">
        <f aca="false">T!G10</f>
        <v>0</v>
      </c>
      <c r="T150" s="22" t="n">
        <f aca="false">U!G10</f>
        <v>0</v>
      </c>
      <c r="U150" s="22" t="n">
        <f aca="false">V!G10</f>
        <v>0</v>
      </c>
      <c r="V150" s="22" t="n">
        <f aca="false">W!G10</f>
        <v>0</v>
      </c>
      <c r="W150" s="22" t="n">
        <f aca="false">X!G10</f>
        <v>0</v>
      </c>
      <c r="X150" s="23" t="n">
        <f aca="false">SUM(B150:W150)</f>
        <v>0</v>
      </c>
      <c r="Y150" s="24" t="n">
        <f aca="false">IF(AW150=0,0,X150/AW150)</f>
        <v>0</v>
      </c>
      <c r="Z150" s="25" t="n">
        <f aca="false">A150</f>
        <v>0</v>
      </c>
      <c r="AA150" s="16" t="n">
        <f aca="false">IF(B150=0,0,1)</f>
        <v>0</v>
      </c>
      <c r="AB150" s="0" t="n">
        <f aca="false">IF(C150=0,0,1)</f>
        <v>0</v>
      </c>
      <c r="AC150" s="0" t="n">
        <f aca="false">IF(D150=0,0,1)</f>
        <v>0</v>
      </c>
      <c r="AD150" s="0" t="n">
        <f aca="false">IF(E150=0,0,1)</f>
        <v>0</v>
      </c>
      <c r="AE150" s="0" t="n">
        <f aca="false">IF(F150=0,0,1)</f>
        <v>0</v>
      </c>
      <c r="AF150" s="0" t="n">
        <f aca="false">IF(G150=0,0,1)</f>
        <v>0</v>
      </c>
      <c r="AG150" s="0" t="n">
        <f aca="false">IF(H150=0,0,1)</f>
        <v>0</v>
      </c>
      <c r="AH150" s="0" t="n">
        <f aca="false">IF(I150=0,0,1)</f>
        <v>0</v>
      </c>
      <c r="AI150" s="0" t="n">
        <f aca="false">IF(J150=0,0,1)</f>
        <v>0</v>
      </c>
      <c r="AJ150" s="0" t="n">
        <f aca="false">IF(K150=0,0,1)</f>
        <v>0</v>
      </c>
      <c r="AK150" s="0" t="n">
        <f aca="false">IF(L150=0,0,1)</f>
        <v>0</v>
      </c>
      <c r="AL150" s="0" t="n">
        <f aca="false">IF(M150=0,0,1)</f>
        <v>0</v>
      </c>
      <c r="AM150" s="0" t="n">
        <f aca="false">IF(N150=0,0,1)</f>
        <v>0</v>
      </c>
      <c r="AN150" s="0" t="n">
        <f aca="false">IF(O150=0,0,1)</f>
        <v>0</v>
      </c>
      <c r="AO150" s="0" t="n">
        <f aca="false">IF(P150=0,0,1)</f>
        <v>0</v>
      </c>
      <c r="AP150" s="0" t="n">
        <f aca="false">IF(Q150=0,0,1)</f>
        <v>0</v>
      </c>
      <c r="AQ150" s="0" t="n">
        <f aca="false">IF(R150=0,0,1)</f>
        <v>0</v>
      </c>
      <c r="AR150" s="0" t="n">
        <f aca="false">IF(S150=0,0,1)</f>
        <v>0</v>
      </c>
      <c r="AS150" s="0" t="n">
        <f aca="false">IF(T150=0,0,1)</f>
        <v>0</v>
      </c>
      <c r="AT150" s="0" t="n">
        <f aca="false">IF(U150=0,0,1)</f>
        <v>0</v>
      </c>
      <c r="AU150" s="0" t="n">
        <f aca="false">IF(V150=0,0,1)</f>
        <v>0</v>
      </c>
      <c r="AV150" s="0" t="n">
        <f aca="false">IF(W150=0,0,1)</f>
        <v>0</v>
      </c>
      <c r="AW150" s="26" t="n">
        <f aca="false">SUM(AA150:AV150)</f>
        <v>0</v>
      </c>
      <c r="AX150" s="27" t="n">
        <f aca="false">IF(X150=0,0,X150)</f>
        <v>0</v>
      </c>
      <c r="AY150" s="1" t="n">
        <f aca="false">IF(X150=0,0,A150)</f>
        <v>0</v>
      </c>
      <c r="AZ150" s="28" t="n">
        <f aca="false">IF(AX150=0,0,A$144)</f>
        <v>0</v>
      </c>
      <c r="BA150" s="55" t="n">
        <v>0</v>
      </c>
      <c r="BB150" s="30" t="n">
        <v>0</v>
      </c>
      <c r="BC150" s="56" t="n">
        <v>0</v>
      </c>
      <c r="BD150" s="27"/>
      <c r="BE150" s="26"/>
      <c r="BF150" s="32"/>
      <c r="BG150" s="33"/>
    </row>
    <row r="151" customFormat="false" ht="15" hidden="false" customHeight="false" outlineLevel="0" collapsed="false">
      <c r="A151" s="21" t="n">
        <f aca="false">B!$E$48</f>
        <v>0</v>
      </c>
      <c r="B151" s="22" t="n">
        <f aca="false">C!G11</f>
        <v>0</v>
      </c>
      <c r="C151" s="22" t="n">
        <f aca="false">D!G11</f>
        <v>0</v>
      </c>
      <c r="D151" s="22" t="n">
        <f aca="false">E!G11</f>
        <v>0</v>
      </c>
      <c r="E151" s="22" t="n">
        <f aca="false">F!G11</f>
        <v>0</v>
      </c>
      <c r="F151" s="22" t="n">
        <f aca="false">G!G11</f>
        <v>0</v>
      </c>
      <c r="G151" s="22" t="n">
        <f aca="false">H!G11</f>
        <v>0</v>
      </c>
      <c r="H151" s="22" t="n">
        <f aca="false">I!G11</f>
        <v>0</v>
      </c>
      <c r="I151" s="22" t="n">
        <f aca="false">J!G11</f>
        <v>0</v>
      </c>
      <c r="J151" s="22" t="n">
        <f aca="false">K!G11</f>
        <v>0</v>
      </c>
      <c r="K151" s="22" t="n">
        <f aca="false">L!G11</f>
        <v>0</v>
      </c>
      <c r="L151" s="22" t="n">
        <f aca="false">M!G11</f>
        <v>0</v>
      </c>
      <c r="M151" s="22" t="n">
        <f aca="false">N!G11</f>
        <v>0</v>
      </c>
      <c r="N151" s="22" t="n">
        <f aca="false">O!G11</f>
        <v>0</v>
      </c>
      <c r="O151" s="22" t="n">
        <f aca="false">P!G11</f>
        <v>0</v>
      </c>
      <c r="P151" s="22" t="n">
        <f aca="false">Q!G11</f>
        <v>0</v>
      </c>
      <c r="Q151" s="22" t="n">
        <f aca="false">R!G11</f>
        <v>0</v>
      </c>
      <c r="R151" s="22" t="n">
        <f aca="false">S!G11</f>
        <v>0</v>
      </c>
      <c r="S151" s="22" t="n">
        <f aca="false">T!G11</f>
        <v>0</v>
      </c>
      <c r="T151" s="22" t="n">
        <f aca="false">U!G11</f>
        <v>0</v>
      </c>
      <c r="U151" s="22" t="n">
        <f aca="false">V!G11</f>
        <v>0</v>
      </c>
      <c r="V151" s="22" t="n">
        <f aca="false">W!G11</f>
        <v>0</v>
      </c>
      <c r="W151" s="22" t="n">
        <f aca="false">X!G11</f>
        <v>0</v>
      </c>
      <c r="X151" s="23" t="n">
        <f aca="false">SUM(B151:W151)</f>
        <v>0</v>
      </c>
      <c r="Y151" s="24" t="n">
        <f aca="false">IF(AW151=0,0,X151/AW151)</f>
        <v>0</v>
      </c>
      <c r="Z151" s="25" t="n">
        <f aca="false">A151</f>
        <v>0</v>
      </c>
      <c r="AA151" s="16" t="n">
        <f aca="false">IF(B151=0,0,1)</f>
        <v>0</v>
      </c>
      <c r="AB151" s="0" t="n">
        <f aca="false">IF(C151=0,0,1)</f>
        <v>0</v>
      </c>
      <c r="AC151" s="0" t="n">
        <f aca="false">IF(D151=0,0,1)</f>
        <v>0</v>
      </c>
      <c r="AD151" s="0" t="n">
        <f aca="false">IF(E151=0,0,1)</f>
        <v>0</v>
      </c>
      <c r="AE151" s="0" t="n">
        <f aca="false">IF(F151=0,0,1)</f>
        <v>0</v>
      </c>
      <c r="AF151" s="0" t="n">
        <f aca="false">IF(G151=0,0,1)</f>
        <v>0</v>
      </c>
      <c r="AG151" s="0" t="n">
        <f aca="false">IF(H151=0,0,1)</f>
        <v>0</v>
      </c>
      <c r="AH151" s="0" t="n">
        <f aca="false">IF(I151=0,0,1)</f>
        <v>0</v>
      </c>
      <c r="AI151" s="0" t="n">
        <f aca="false">IF(J151=0,0,1)</f>
        <v>0</v>
      </c>
      <c r="AJ151" s="0" t="n">
        <f aca="false">IF(K151=0,0,1)</f>
        <v>0</v>
      </c>
      <c r="AK151" s="0" t="n">
        <f aca="false">IF(L151=0,0,1)</f>
        <v>0</v>
      </c>
      <c r="AL151" s="0" t="n">
        <f aca="false">IF(M151=0,0,1)</f>
        <v>0</v>
      </c>
      <c r="AM151" s="0" t="n">
        <f aca="false">IF(N151=0,0,1)</f>
        <v>0</v>
      </c>
      <c r="AN151" s="0" t="n">
        <f aca="false">IF(O151=0,0,1)</f>
        <v>0</v>
      </c>
      <c r="AO151" s="0" t="n">
        <f aca="false">IF(P151=0,0,1)</f>
        <v>0</v>
      </c>
      <c r="AP151" s="0" t="n">
        <f aca="false">IF(Q151=0,0,1)</f>
        <v>0</v>
      </c>
      <c r="AQ151" s="0" t="n">
        <f aca="false">IF(R151=0,0,1)</f>
        <v>0</v>
      </c>
      <c r="AR151" s="0" t="n">
        <f aca="false">IF(S151=0,0,1)</f>
        <v>0</v>
      </c>
      <c r="AS151" s="0" t="n">
        <f aca="false">IF(T151=0,0,1)</f>
        <v>0</v>
      </c>
      <c r="AT151" s="0" t="n">
        <f aca="false">IF(U151=0,0,1)</f>
        <v>0</v>
      </c>
      <c r="AU151" s="0" t="n">
        <f aca="false">IF(V151=0,0,1)</f>
        <v>0</v>
      </c>
      <c r="AV151" s="0" t="n">
        <f aca="false">IF(W151=0,0,1)</f>
        <v>0</v>
      </c>
      <c r="AW151" s="26" t="n">
        <f aca="false">SUM(AA151:AV151)</f>
        <v>0</v>
      </c>
      <c r="AX151" s="27" t="n">
        <f aca="false">IF(X151=0,0,X151)</f>
        <v>0</v>
      </c>
      <c r="AY151" s="1" t="n">
        <f aca="false">IF(X151=0,0,A151)</f>
        <v>0</v>
      </c>
      <c r="AZ151" s="28" t="n">
        <f aca="false">IF(AX151=0,0,A$144)</f>
        <v>0</v>
      </c>
      <c r="BA151" s="55" t="n">
        <v>0</v>
      </c>
      <c r="BB151" s="30" t="n">
        <v>0</v>
      </c>
      <c r="BC151" s="56" t="n">
        <v>0</v>
      </c>
      <c r="BD151" s="27"/>
      <c r="BE151" s="26"/>
      <c r="BF151" s="32"/>
      <c r="BG151" s="33"/>
    </row>
    <row r="152" customFormat="false" ht="15" hidden="false" customHeight="false" outlineLevel="0" collapsed="false">
      <c r="A152" s="21" t="n">
        <f aca="false">B!$E$53</f>
        <v>0</v>
      </c>
      <c r="B152" s="22" t="n">
        <f aca="false">C!G12</f>
        <v>0</v>
      </c>
      <c r="C152" s="22" t="n">
        <f aca="false">D!G12</f>
        <v>0</v>
      </c>
      <c r="D152" s="22" t="n">
        <f aca="false">E!G12</f>
        <v>0</v>
      </c>
      <c r="E152" s="22" t="n">
        <f aca="false">F!G12</f>
        <v>0</v>
      </c>
      <c r="F152" s="22" t="n">
        <f aca="false">G!G12</f>
        <v>0</v>
      </c>
      <c r="G152" s="22" t="n">
        <f aca="false">H!G12</f>
        <v>0</v>
      </c>
      <c r="H152" s="22" t="n">
        <f aca="false">I!G12</f>
        <v>0</v>
      </c>
      <c r="I152" s="22" t="n">
        <f aca="false">J!G12</f>
        <v>0</v>
      </c>
      <c r="J152" s="22" t="n">
        <f aca="false">K!G12</f>
        <v>0</v>
      </c>
      <c r="K152" s="22" t="n">
        <f aca="false">L!G12</f>
        <v>0</v>
      </c>
      <c r="L152" s="22" t="n">
        <f aca="false">M!G12</f>
        <v>0</v>
      </c>
      <c r="M152" s="22" t="n">
        <f aca="false">N!G12</f>
        <v>0</v>
      </c>
      <c r="N152" s="22" t="n">
        <f aca="false">O!G12</f>
        <v>0</v>
      </c>
      <c r="O152" s="22" t="n">
        <f aca="false">P!G12</f>
        <v>0</v>
      </c>
      <c r="P152" s="22" t="n">
        <f aca="false">Q!G12</f>
        <v>0</v>
      </c>
      <c r="Q152" s="22" t="n">
        <f aca="false">R!G12</f>
        <v>0</v>
      </c>
      <c r="R152" s="22" t="n">
        <f aca="false">S!G12</f>
        <v>0</v>
      </c>
      <c r="S152" s="22" t="n">
        <f aca="false">T!G12</f>
        <v>0</v>
      </c>
      <c r="T152" s="22" t="n">
        <f aca="false">U!G12</f>
        <v>0</v>
      </c>
      <c r="U152" s="22" t="n">
        <f aca="false">V!G12</f>
        <v>0</v>
      </c>
      <c r="V152" s="22" t="n">
        <f aca="false">W!G12</f>
        <v>0</v>
      </c>
      <c r="W152" s="22" t="n">
        <f aca="false">X!G12</f>
        <v>0</v>
      </c>
      <c r="X152" s="23" t="n">
        <f aca="false">SUM(B152:W152)</f>
        <v>0</v>
      </c>
      <c r="Y152" s="24" t="n">
        <f aca="false">IF(AW152=0,0,X152/AW152)</f>
        <v>0</v>
      </c>
      <c r="Z152" s="25" t="n">
        <f aca="false">A152</f>
        <v>0</v>
      </c>
      <c r="AA152" s="16" t="n">
        <f aca="false">IF(B152=0,0,1)</f>
        <v>0</v>
      </c>
      <c r="AB152" s="0" t="n">
        <f aca="false">IF(C152=0,0,1)</f>
        <v>0</v>
      </c>
      <c r="AC152" s="0" t="n">
        <f aca="false">IF(D152=0,0,1)</f>
        <v>0</v>
      </c>
      <c r="AD152" s="0" t="n">
        <f aca="false">IF(E152=0,0,1)</f>
        <v>0</v>
      </c>
      <c r="AE152" s="0" t="n">
        <f aca="false">IF(F152=0,0,1)</f>
        <v>0</v>
      </c>
      <c r="AF152" s="0" t="n">
        <f aca="false">IF(G152=0,0,1)</f>
        <v>0</v>
      </c>
      <c r="AG152" s="0" t="n">
        <f aca="false">IF(H152=0,0,1)</f>
        <v>0</v>
      </c>
      <c r="AH152" s="0" t="n">
        <f aca="false">IF(I152=0,0,1)</f>
        <v>0</v>
      </c>
      <c r="AI152" s="0" t="n">
        <f aca="false">IF(J152=0,0,1)</f>
        <v>0</v>
      </c>
      <c r="AJ152" s="0" t="n">
        <f aca="false">IF(K152=0,0,1)</f>
        <v>0</v>
      </c>
      <c r="AK152" s="0" t="n">
        <f aca="false">IF(L152=0,0,1)</f>
        <v>0</v>
      </c>
      <c r="AL152" s="0" t="n">
        <f aca="false">IF(M152=0,0,1)</f>
        <v>0</v>
      </c>
      <c r="AM152" s="0" t="n">
        <f aca="false">IF(N152=0,0,1)</f>
        <v>0</v>
      </c>
      <c r="AN152" s="0" t="n">
        <f aca="false">IF(O152=0,0,1)</f>
        <v>0</v>
      </c>
      <c r="AO152" s="0" t="n">
        <f aca="false">IF(P152=0,0,1)</f>
        <v>0</v>
      </c>
      <c r="AP152" s="0" t="n">
        <f aca="false">IF(Q152=0,0,1)</f>
        <v>0</v>
      </c>
      <c r="AQ152" s="0" t="n">
        <f aca="false">IF(R152=0,0,1)</f>
        <v>0</v>
      </c>
      <c r="AR152" s="0" t="n">
        <f aca="false">IF(S152=0,0,1)</f>
        <v>0</v>
      </c>
      <c r="AS152" s="0" t="n">
        <f aca="false">IF(T152=0,0,1)</f>
        <v>0</v>
      </c>
      <c r="AT152" s="0" t="n">
        <f aca="false">IF(U152=0,0,1)</f>
        <v>0</v>
      </c>
      <c r="AU152" s="0" t="n">
        <f aca="false">IF(V152=0,0,1)</f>
        <v>0</v>
      </c>
      <c r="AV152" s="0" t="n">
        <f aca="false">IF(W152=0,0,1)</f>
        <v>0</v>
      </c>
      <c r="AW152" s="26" t="n">
        <f aca="false">SUM(AA152:AV152)</f>
        <v>0</v>
      </c>
      <c r="AX152" s="27" t="n">
        <f aca="false">IF(X152=0,0,X152)</f>
        <v>0</v>
      </c>
      <c r="AY152" s="1" t="n">
        <f aca="false">IF(X152=0,0,A152)</f>
        <v>0</v>
      </c>
      <c r="AZ152" s="28" t="n">
        <f aca="false">IF(AX152=0,0,A$144)</f>
        <v>0</v>
      </c>
      <c r="BA152" s="55" t="n">
        <v>0</v>
      </c>
      <c r="BB152" s="30" t="n">
        <v>0</v>
      </c>
      <c r="BC152" s="56" t="n">
        <v>0</v>
      </c>
      <c r="BD152" s="27"/>
      <c r="BE152" s="26"/>
      <c r="BF152" s="32"/>
      <c r="BG152" s="33"/>
    </row>
    <row r="153" customFormat="false" ht="15" hidden="false" customHeight="false" outlineLevel="0" collapsed="false">
      <c r="A153" s="38" t="s">
        <v>60</v>
      </c>
      <c r="B153" s="39" t="n">
        <f aca="false">SUM(B145:B152)</f>
        <v>177</v>
      </c>
      <c r="C153" s="39" t="n">
        <f aca="false">SUM(C145:C152)</f>
        <v>222</v>
      </c>
      <c r="D153" s="39" t="n">
        <f aca="false">SUM(D145:D152)</f>
        <v>197</v>
      </c>
      <c r="E153" s="39" t="n">
        <f aca="false">SUM(E145:E152)</f>
        <v>186</v>
      </c>
      <c r="F153" s="39" t="n">
        <f aca="false">SUM(F145:F152)</f>
        <v>208</v>
      </c>
      <c r="G153" s="39" t="n">
        <f aca="false">SUM(G145:G152)</f>
        <v>171</v>
      </c>
      <c r="H153" s="39" t="n">
        <f aca="false">SUM(H145:H152)</f>
        <v>0</v>
      </c>
      <c r="I153" s="39" t="n">
        <f aca="false">SUM(I145:I152)</f>
        <v>0</v>
      </c>
      <c r="J153" s="39" t="n">
        <f aca="false">SUM(J145:J152)</f>
        <v>0</v>
      </c>
      <c r="K153" s="39" t="n">
        <f aca="false">SUM(K145:K152)</f>
        <v>0</v>
      </c>
      <c r="L153" s="39" t="n">
        <f aca="false">SUM(L145:L152)</f>
        <v>0</v>
      </c>
      <c r="M153" s="39" t="n">
        <f aca="false">SUM(M145:M152)</f>
        <v>0</v>
      </c>
      <c r="N153" s="39" t="n">
        <f aca="false">SUM(N145:N152)</f>
        <v>0</v>
      </c>
      <c r="O153" s="39" t="n">
        <f aca="false">SUM(O145:O152)</f>
        <v>0</v>
      </c>
      <c r="P153" s="39" t="n">
        <f aca="false">SUM(P145:P152)</f>
        <v>0</v>
      </c>
      <c r="Q153" s="39" t="n">
        <f aca="false">SUM(Q145:Q152)</f>
        <v>0</v>
      </c>
      <c r="R153" s="39" t="n">
        <f aca="false">SUM(R145:R152)</f>
        <v>0</v>
      </c>
      <c r="S153" s="39" t="n">
        <f aca="false">SUM(S145:S152)</f>
        <v>0</v>
      </c>
      <c r="T153" s="39" t="n">
        <f aca="false">SUM(T145:T152)</f>
        <v>0</v>
      </c>
      <c r="U153" s="39" t="n">
        <f aca="false">SUM(U145:U152)</f>
        <v>0</v>
      </c>
      <c r="V153" s="39" t="n">
        <f aca="false">SUM(V145:V152)</f>
        <v>0</v>
      </c>
      <c r="W153" s="39" t="n">
        <f aca="false">SUM(W145:W152)</f>
        <v>0</v>
      </c>
      <c r="X153" s="40" t="n">
        <f aca="false">SUM(B153:W153)</f>
        <v>1161</v>
      </c>
      <c r="Y153" s="41" t="n">
        <f aca="false">IF(X153=0,0,X153/AW153)</f>
        <v>193.5</v>
      </c>
      <c r="Z153" s="25"/>
      <c r="AA153" s="42" t="n">
        <f aca="false">SUM(AA145:AA152)</f>
        <v>5</v>
      </c>
      <c r="AB153" s="43" t="n">
        <f aca="false">SUM(AB145:AB152)</f>
        <v>5</v>
      </c>
      <c r="AC153" s="43" t="n">
        <f aca="false">SUM(AC145:AC152)</f>
        <v>5</v>
      </c>
      <c r="AD153" s="43" t="n">
        <f aca="false">SUM(AD145:AD152)</f>
        <v>5</v>
      </c>
      <c r="AE153" s="43" t="n">
        <f aca="false">SUM(AE145:AE152)</f>
        <v>5</v>
      </c>
      <c r="AF153" s="43" t="n">
        <f aca="false">SUM(AF145:AF152)</f>
        <v>5</v>
      </c>
      <c r="AG153" s="43" t="n">
        <f aca="false">SUM(AG145:AG152)</f>
        <v>0</v>
      </c>
      <c r="AH153" s="43" t="n">
        <f aca="false">SUM(AH145:AH152)</f>
        <v>0</v>
      </c>
      <c r="AI153" s="43" t="n">
        <f aca="false">SUM(AI145:AI152)</f>
        <v>0</v>
      </c>
      <c r="AJ153" s="43" t="n">
        <f aca="false">SUM(AJ145:AJ152)</f>
        <v>0</v>
      </c>
      <c r="AK153" s="43" t="n">
        <f aca="false">SUM(AK145:AK152)</f>
        <v>0</v>
      </c>
      <c r="AL153" s="43" t="n">
        <f aca="false">SUM(AL145:AL152)</f>
        <v>0</v>
      </c>
      <c r="AM153" s="43" t="n">
        <f aca="false">SUM(AM145:AM152)</f>
        <v>0</v>
      </c>
      <c r="AN153" s="43" t="n">
        <f aca="false">SUM(AN145:AN152)</f>
        <v>0</v>
      </c>
      <c r="AO153" s="43" t="n">
        <f aca="false">SUM(AO145:AO152)</f>
        <v>0</v>
      </c>
      <c r="AP153" s="43" t="n">
        <f aca="false">SUM(AP145:AP152)</f>
        <v>0</v>
      </c>
      <c r="AQ153" s="43" t="n">
        <f aca="false">SUM(AQ145:AQ152)</f>
        <v>0</v>
      </c>
      <c r="AR153" s="43" t="n">
        <f aca="false">SUM(AR145:AR152)</f>
        <v>0</v>
      </c>
      <c r="AS153" s="43" t="n">
        <f aca="false">SUM(AS145:AS152)</f>
        <v>0</v>
      </c>
      <c r="AT153" s="43" t="n">
        <f aca="false">SUM(AT145:AT152)</f>
        <v>0</v>
      </c>
      <c r="AU153" s="43" t="n">
        <f aca="false">SUM(AU145:AU152)</f>
        <v>0</v>
      </c>
      <c r="AV153" s="43" t="n">
        <f aca="false">SUM(AV145:AV152)</f>
        <v>0</v>
      </c>
      <c r="AW153" s="44" t="n">
        <f aca="false">MAXA(AW145:AW152)</f>
        <v>6</v>
      </c>
      <c r="AX153" s="27"/>
      <c r="AZ153" s="28"/>
      <c r="BA153" s="55" t="n">
        <v>0</v>
      </c>
      <c r="BB153" s="30" t="n">
        <v>0</v>
      </c>
      <c r="BC153" s="56" t="n">
        <v>0</v>
      </c>
      <c r="BD153" s="27"/>
      <c r="BE153" s="26"/>
      <c r="BF153" s="32"/>
      <c r="BG153" s="33"/>
    </row>
    <row r="154" customFormat="false" ht="15" hidden="false" customHeight="false" outlineLevel="0" collapsed="false">
      <c r="A154" s="54" t="s">
        <v>64</v>
      </c>
      <c r="B154" s="22" t="n">
        <f aca="false">C!G13</f>
        <v>0</v>
      </c>
      <c r="C154" s="22" t="n">
        <f aca="false">D!G13</f>
        <v>20.7</v>
      </c>
      <c r="D154" s="22" t="n">
        <f aca="false">E!G13</f>
        <v>0</v>
      </c>
      <c r="E154" s="22" t="n">
        <f aca="false">F!G13</f>
        <v>0</v>
      </c>
      <c r="F154" s="22" t="n">
        <f aca="false">G!G13</f>
        <v>0</v>
      </c>
      <c r="G154" s="22" t="n">
        <f aca="false">H!G13</f>
        <v>0</v>
      </c>
      <c r="H154" s="22" t="n">
        <f aca="false">I!G13</f>
        <v>0</v>
      </c>
      <c r="I154" s="22" t="n">
        <f aca="false">J!G13</f>
        <v>0</v>
      </c>
      <c r="J154" s="22" t="n">
        <f aca="false">K!G13</f>
        <v>0</v>
      </c>
      <c r="K154" s="22" t="n">
        <f aca="false">L!G13</f>
        <v>0</v>
      </c>
      <c r="L154" s="22" t="n">
        <f aca="false">M!G13</f>
        <v>0</v>
      </c>
      <c r="M154" s="22" t="n">
        <f aca="false">N!G13</f>
        <v>0</v>
      </c>
      <c r="N154" s="22" t="n">
        <f aca="false">O!G13</f>
        <v>0</v>
      </c>
      <c r="O154" s="22" t="n">
        <f aca="false">P!G13</f>
        <v>0</v>
      </c>
      <c r="P154" s="22" t="n">
        <f aca="false">Q!G13</f>
        <v>0</v>
      </c>
      <c r="Q154" s="22" t="n">
        <f aca="false">R!G13</f>
        <v>0</v>
      </c>
      <c r="R154" s="22" t="n">
        <f aca="false">S!G13</f>
        <v>0</v>
      </c>
      <c r="S154" s="22" t="n">
        <f aca="false">T!G13</f>
        <v>0</v>
      </c>
      <c r="T154" s="22" t="n">
        <f aca="false">U!G13</f>
        <v>0</v>
      </c>
      <c r="U154" s="22" t="n">
        <f aca="false">V!G13</f>
        <v>0</v>
      </c>
      <c r="V154" s="22" t="n">
        <f aca="false">W!G13</f>
        <v>0</v>
      </c>
      <c r="W154" s="22" t="n">
        <f aca="false">X!G13</f>
        <v>0</v>
      </c>
      <c r="X154" s="23" t="n">
        <f aca="false">SUM(B154:W154)</f>
        <v>20.7</v>
      </c>
      <c r="Y154" s="47"/>
      <c r="Z154" s="25"/>
      <c r="AA154" s="16"/>
      <c r="AW154" s="26"/>
      <c r="AX154" s="27"/>
      <c r="AZ154" s="28"/>
      <c r="BA154" s="55" t="n">
        <v>0</v>
      </c>
      <c r="BB154" s="30" t="n">
        <v>0</v>
      </c>
      <c r="BC154" s="56" t="n">
        <v>0</v>
      </c>
      <c r="BD154" s="27"/>
      <c r="BE154" s="26"/>
      <c r="BF154" s="32"/>
      <c r="BG154" s="33"/>
    </row>
    <row r="155" customFormat="false" ht="15" hidden="false" customHeight="false" outlineLevel="0" collapsed="false">
      <c r="A155" s="48" t="s">
        <v>68</v>
      </c>
      <c r="B155" s="49" t="n">
        <f aca="false">SUM(B153:B154)</f>
        <v>177</v>
      </c>
      <c r="C155" s="49" t="n">
        <f aca="false">SUM(C153:C154)</f>
        <v>242.7</v>
      </c>
      <c r="D155" s="49" t="n">
        <f aca="false">SUM(D153:D154)</f>
        <v>197</v>
      </c>
      <c r="E155" s="49" t="n">
        <f aca="false">SUM(E153:E154)</f>
        <v>186</v>
      </c>
      <c r="F155" s="49" t="n">
        <f aca="false">SUM(F153:F154)</f>
        <v>208</v>
      </c>
      <c r="G155" s="49" t="n">
        <f aca="false">SUM(G153:G154)</f>
        <v>171</v>
      </c>
      <c r="H155" s="49" t="n">
        <f aca="false">SUM(H153:H154)</f>
        <v>0</v>
      </c>
      <c r="I155" s="49" t="n">
        <f aca="false">SUM(I153:I154)</f>
        <v>0</v>
      </c>
      <c r="J155" s="49" t="n">
        <f aca="false">SUM(J153:J154)</f>
        <v>0</v>
      </c>
      <c r="K155" s="49" t="n">
        <f aca="false">SUM(K153:K154)</f>
        <v>0</v>
      </c>
      <c r="L155" s="49" t="n">
        <f aca="false">SUM(L153:L154)</f>
        <v>0</v>
      </c>
      <c r="M155" s="49" t="n">
        <f aca="false">SUM(M153:M154)</f>
        <v>0</v>
      </c>
      <c r="N155" s="49" t="n">
        <f aca="false">SUM(N153:N154)</f>
        <v>0</v>
      </c>
      <c r="O155" s="49" t="n">
        <f aca="false">SUM(O153:O154)</f>
        <v>0</v>
      </c>
      <c r="P155" s="49" t="n">
        <f aca="false">SUM(P153:P154)</f>
        <v>0</v>
      </c>
      <c r="Q155" s="49" t="n">
        <f aca="false">SUM(Q153:Q154)</f>
        <v>0</v>
      </c>
      <c r="R155" s="49" t="n">
        <f aca="false">SUM(R153:R154)</f>
        <v>0</v>
      </c>
      <c r="S155" s="49" t="n">
        <f aca="false">SUM(S153:S154)</f>
        <v>0</v>
      </c>
      <c r="T155" s="49" t="n">
        <f aca="false">SUM(T153:T154)</f>
        <v>0</v>
      </c>
      <c r="U155" s="49" t="n">
        <f aca="false">SUM(U153:U154)</f>
        <v>0</v>
      </c>
      <c r="V155" s="49" t="n">
        <f aca="false">SUM(V153:V154)</f>
        <v>0</v>
      </c>
      <c r="W155" s="49" t="n">
        <f aca="false">SUM(W153:W154)</f>
        <v>0</v>
      </c>
      <c r="X155" s="50" t="n">
        <f aca="false">SUM(B155:W155)</f>
        <v>1181.7</v>
      </c>
      <c r="Y155" s="51"/>
      <c r="Z155" s="25"/>
      <c r="AA155" s="16"/>
      <c r="AW155" s="26"/>
      <c r="AX155" s="27"/>
      <c r="AZ155" s="28"/>
      <c r="BA155" s="55" t="n">
        <v>0</v>
      </c>
      <c r="BB155" s="30" t="n">
        <v>0</v>
      </c>
      <c r="BC155" s="56" t="n">
        <v>0</v>
      </c>
      <c r="BD155" s="27" t="n">
        <f aca="false">X155</f>
        <v>1181.7</v>
      </c>
      <c r="BE155" s="26" t="str">
        <f aca="false">A144</f>
        <v>SPAM FO LUNCH</v>
      </c>
      <c r="BF155" s="32"/>
      <c r="BG155" s="33"/>
    </row>
    <row r="156" customFormat="false" ht="15" hidden="false" customHeight="false" outlineLevel="0" collapsed="false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5"/>
      <c r="AA156" s="16"/>
      <c r="AW156" s="26"/>
      <c r="AX156" s="27"/>
      <c r="AZ156" s="28"/>
      <c r="BA156" s="55" t="n">
        <v>0</v>
      </c>
      <c r="BB156" s="30" t="n">
        <v>0</v>
      </c>
      <c r="BC156" s="56" t="n">
        <v>0</v>
      </c>
      <c r="BD156" s="27"/>
      <c r="BE156" s="26"/>
      <c r="BF156" s="32"/>
      <c r="BG156" s="33"/>
    </row>
    <row r="157" customFormat="false" ht="15" hidden="false" customHeight="false" outlineLevel="0" collapsed="false">
      <c r="A157" s="5" t="s">
        <v>134</v>
      </c>
      <c r="B157" s="6" t="s">
        <v>1</v>
      </c>
      <c r="C157" s="6" t="s">
        <v>2</v>
      </c>
      <c r="D157" s="6" t="s">
        <v>3</v>
      </c>
      <c r="E157" s="6" t="s">
        <v>4</v>
      </c>
      <c r="F157" s="6" t="s">
        <v>5</v>
      </c>
      <c r="G157" s="6" t="s">
        <v>6</v>
      </c>
      <c r="H157" s="6" t="s">
        <v>7</v>
      </c>
      <c r="I157" s="6" t="s">
        <v>8</v>
      </c>
      <c r="J157" s="6" t="s">
        <v>9</v>
      </c>
      <c r="K157" s="6" t="s">
        <v>10</v>
      </c>
      <c r="L157" s="6" t="s">
        <v>11</v>
      </c>
      <c r="M157" s="6" t="s">
        <v>12</v>
      </c>
      <c r="N157" s="6" t="s">
        <v>13</v>
      </c>
      <c r="O157" s="6" t="s">
        <v>14</v>
      </c>
      <c r="P157" s="6" t="s">
        <v>15</v>
      </c>
      <c r="Q157" s="6" t="s">
        <v>16</v>
      </c>
      <c r="R157" s="6" t="s">
        <v>17</v>
      </c>
      <c r="S157" s="6" t="s">
        <v>18</v>
      </c>
      <c r="T157" s="6" t="s">
        <v>19</v>
      </c>
      <c r="U157" s="6" t="s">
        <v>20</v>
      </c>
      <c r="V157" s="6" t="s">
        <v>21</v>
      </c>
      <c r="W157" s="6" t="s">
        <v>22</v>
      </c>
      <c r="X157" s="34"/>
      <c r="Y157" s="34"/>
      <c r="Z157" s="4" t="str">
        <f aca="false">A157</f>
        <v>Team #12 Name:</v>
      </c>
      <c r="AA157" s="16"/>
      <c r="AW157" s="26"/>
      <c r="AX157" s="27"/>
      <c r="AZ157" s="28"/>
      <c r="BA157" s="55" t="n">
        <v>0</v>
      </c>
      <c r="BB157" s="30" t="n">
        <v>0</v>
      </c>
      <c r="BC157" s="56" t="n">
        <v>0</v>
      </c>
      <c r="BD157" s="27"/>
      <c r="BE157" s="26"/>
      <c r="BF157" s="32"/>
      <c r="BG157" s="33"/>
    </row>
    <row r="158" customFormat="false" ht="15" hidden="false" customHeight="false" outlineLevel="0" collapsed="false">
      <c r="A158" s="11" t="str">
        <f aca="false">B!$E$59</f>
        <v>BYE</v>
      </c>
      <c r="B158" s="52" t="s">
        <v>28</v>
      </c>
      <c r="C158" s="52" t="s">
        <v>28</v>
      </c>
      <c r="D158" s="52" t="s">
        <v>28</v>
      </c>
      <c r="E158" s="52" t="s">
        <v>28</v>
      </c>
      <c r="F158" s="52" t="s">
        <v>28</v>
      </c>
      <c r="G158" s="52" t="s">
        <v>28</v>
      </c>
      <c r="H158" s="52" t="s">
        <v>28</v>
      </c>
      <c r="I158" s="52" t="s">
        <v>28</v>
      </c>
      <c r="J158" s="52" t="s">
        <v>28</v>
      </c>
      <c r="K158" s="52" t="s">
        <v>28</v>
      </c>
      <c r="L158" s="52" t="s">
        <v>28</v>
      </c>
      <c r="M158" s="52" t="s">
        <v>28</v>
      </c>
      <c r="N158" s="52" t="s">
        <v>28</v>
      </c>
      <c r="O158" s="52" t="s">
        <v>28</v>
      </c>
      <c r="P158" s="52" t="s">
        <v>28</v>
      </c>
      <c r="Q158" s="52" t="s">
        <v>28</v>
      </c>
      <c r="R158" s="52" t="s">
        <v>28</v>
      </c>
      <c r="S158" s="52" t="s">
        <v>28</v>
      </c>
      <c r="T158" s="52" t="s">
        <v>28</v>
      </c>
      <c r="U158" s="52" t="s">
        <v>28</v>
      </c>
      <c r="V158" s="52" t="s">
        <v>28</v>
      </c>
      <c r="W158" s="52" t="s">
        <v>28</v>
      </c>
      <c r="X158" s="13" t="s">
        <v>29</v>
      </c>
      <c r="Y158" s="14" t="s">
        <v>30</v>
      </c>
      <c r="Z158" s="15" t="str">
        <f aca="false">A158</f>
        <v>BYE</v>
      </c>
      <c r="AA158" s="16"/>
      <c r="AW158" s="17" t="s">
        <v>31</v>
      </c>
      <c r="AX158" s="27"/>
      <c r="AZ158" s="28"/>
      <c r="BA158" s="55" t="n">
        <v>0</v>
      </c>
      <c r="BB158" s="30" t="n">
        <v>0</v>
      </c>
      <c r="BC158" s="56" t="n">
        <v>0</v>
      </c>
      <c r="BD158" s="27"/>
      <c r="BE158" s="26"/>
      <c r="BF158" s="32"/>
      <c r="BG158" s="33"/>
    </row>
    <row r="159" customFormat="false" ht="15" hidden="false" customHeight="false" outlineLevel="0" collapsed="false">
      <c r="A159" s="21" t="n">
        <f aca="false">B!$E$61</f>
        <v>1</v>
      </c>
      <c r="B159" s="22" t="n">
        <f aca="false">C!G18</f>
        <v>0</v>
      </c>
      <c r="C159" s="22" t="n">
        <f aca="false">D!G18</f>
        <v>1</v>
      </c>
      <c r="D159" s="22" t="n">
        <f aca="false">E!G18</f>
        <v>1</v>
      </c>
      <c r="E159" s="22" t="n">
        <f aca="false">F!G18</f>
        <v>1</v>
      </c>
      <c r="F159" s="22" t="n">
        <f aca="false">G!G18</f>
        <v>1</v>
      </c>
      <c r="G159" s="22" t="n">
        <f aca="false">H!G18</f>
        <v>1</v>
      </c>
      <c r="H159" s="22" t="n">
        <f aca="false">I!G18</f>
        <v>0</v>
      </c>
      <c r="I159" s="22" t="n">
        <f aca="false">J!G18</f>
        <v>0</v>
      </c>
      <c r="J159" s="22" t="n">
        <f aca="false">K!G18</f>
        <v>0</v>
      </c>
      <c r="K159" s="22" t="n">
        <f aca="false">L!G18</f>
        <v>0</v>
      </c>
      <c r="L159" s="22" t="n">
        <f aca="false">M!G18</f>
        <v>0</v>
      </c>
      <c r="M159" s="22" t="n">
        <f aca="false">N!G18</f>
        <v>0</v>
      </c>
      <c r="N159" s="22" t="n">
        <f aca="false">O!G18</f>
        <v>0</v>
      </c>
      <c r="O159" s="22" t="n">
        <f aca="false">P!G18</f>
        <v>0</v>
      </c>
      <c r="P159" s="22" t="n">
        <f aca="false">Q!G18</f>
        <v>0</v>
      </c>
      <c r="Q159" s="22" t="n">
        <f aca="false">R!G18</f>
        <v>0</v>
      </c>
      <c r="R159" s="22" t="n">
        <f aca="false">S!G18</f>
        <v>0</v>
      </c>
      <c r="S159" s="22" t="n">
        <f aca="false">T!G18</f>
        <v>0</v>
      </c>
      <c r="T159" s="22" t="n">
        <f aca="false">U!G18</f>
        <v>0</v>
      </c>
      <c r="U159" s="22" t="n">
        <f aca="false">V!G18</f>
        <v>0</v>
      </c>
      <c r="V159" s="22" t="n">
        <f aca="false">W!G18</f>
        <v>0</v>
      </c>
      <c r="W159" s="22" t="n">
        <f aca="false">X!G18</f>
        <v>0</v>
      </c>
      <c r="X159" s="23" t="n">
        <f aca="false">SUM(B159:W159)</f>
        <v>5</v>
      </c>
      <c r="Y159" s="24" t="n">
        <f aca="false">IF(AW159=0,0,X159/AW159)</f>
        <v>1</v>
      </c>
      <c r="Z159" s="25" t="n">
        <f aca="false">A159</f>
        <v>1</v>
      </c>
      <c r="AA159" s="16" t="n">
        <f aca="false">IF(B159=0,0,1)</f>
        <v>0</v>
      </c>
      <c r="AB159" s="0" t="n">
        <f aca="false">IF(C159=0,0,1)</f>
        <v>1</v>
      </c>
      <c r="AC159" s="0" t="n">
        <f aca="false">IF(D159=0,0,1)</f>
        <v>1</v>
      </c>
      <c r="AD159" s="0" t="n">
        <f aca="false">IF(E159=0,0,1)</f>
        <v>1</v>
      </c>
      <c r="AE159" s="0" t="n">
        <f aca="false">IF(F159=0,0,1)</f>
        <v>1</v>
      </c>
      <c r="AF159" s="0" t="n">
        <f aca="false">IF(G159=0,0,1)</f>
        <v>1</v>
      </c>
      <c r="AG159" s="0" t="n">
        <f aca="false">IF(H159=0,0,1)</f>
        <v>0</v>
      </c>
      <c r="AH159" s="0" t="n">
        <f aca="false">IF(I159=0,0,1)</f>
        <v>0</v>
      </c>
      <c r="AI159" s="0" t="n">
        <f aca="false">IF(J159=0,0,1)</f>
        <v>0</v>
      </c>
      <c r="AJ159" s="0" t="n">
        <f aca="false">IF(K159=0,0,1)</f>
        <v>0</v>
      </c>
      <c r="AK159" s="0" t="n">
        <f aca="false">IF(L159=0,0,1)</f>
        <v>0</v>
      </c>
      <c r="AL159" s="0" t="n">
        <f aca="false">IF(M159=0,0,1)</f>
        <v>0</v>
      </c>
      <c r="AM159" s="0" t="n">
        <f aca="false">IF(N159=0,0,1)</f>
        <v>0</v>
      </c>
      <c r="AN159" s="0" t="n">
        <f aca="false">IF(O159=0,0,1)</f>
        <v>0</v>
      </c>
      <c r="AO159" s="0" t="n">
        <f aca="false">IF(P159=0,0,1)</f>
        <v>0</v>
      </c>
      <c r="AP159" s="0" t="n">
        <f aca="false">IF(Q159=0,0,1)</f>
        <v>0</v>
      </c>
      <c r="AQ159" s="0" t="n">
        <f aca="false">IF(R159=0,0,1)</f>
        <v>0</v>
      </c>
      <c r="AR159" s="0" t="n">
        <f aca="false">IF(S159=0,0,1)</f>
        <v>0</v>
      </c>
      <c r="AS159" s="0" t="n">
        <f aca="false">IF(T159=0,0,1)</f>
        <v>0</v>
      </c>
      <c r="AT159" s="0" t="n">
        <f aca="false">IF(U159=0,0,1)</f>
        <v>0</v>
      </c>
      <c r="AU159" s="0" t="n">
        <f aca="false">IF(V159=0,0,1)</f>
        <v>0</v>
      </c>
      <c r="AV159" s="0" t="n">
        <f aca="false">IF(W159=0,0,1)</f>
        <v>0</v>
      </c>
      <c r="AW159" s="26" t="n">
        <f aca="false">SUM(AA159:AV159)</f>
        <v>5</v>
      </c>
      <c r="AX159" s="27" t="n">
        <f aca="false">IF(X159=0,0,X159)</f>
        <v>5</v>
      </c>
      <c r="AY159" s="1" t="n">
        <f aca="false">IF(X159=0,0,A159)</f>
        <v>1</v>
      </c>
      <c r="AZ159" s="28" t="str">
        <f aca="false">IF(AX159=0,0,A$158)</f>
        <v>BYE</v>
      </c>
      <c r="BA159" s="55" t="n">
        <v>0</v>
      </c>
      <c r="BB159" s="30" t="n">
        <v>0</v>
      </c>
      <c r="BC159" s="56" t="n">
        <v>0</v>
      </c>
      <c r="BD159" s="27"/>
      <c r="BE159" s="26"/>
      <c r="BF159" s="32"/>
      <c r="BG159" s="33"/>
    </row>
    <row r="160" customFormat="false" ht="15" hidden="false" customHeight="false" outlineLevel="0" collapsed="false">
      <c r="A160" s="21" t="n">
        <f aca="false">B!$E$66</f>
        <v>2</v>
      </c>
      <c r="B160" s="22" t="n">
        <f aca="false">C!G19</f>
        <v>0</v>
      </c>
      <c r="C160" s="22" t="n">
        <f aca="false">D!G19</f>
        <v>1</v>
      </c>
      <c r="D160" s="22" t="n">
        <f aca="false">E!G19</f>
        <v>1</v>
      </c>
      <c r="E160" s="22" t="n">
        <f aca="false">F!G19</f>
        <v>1</v>
      </c>
      <c r="F160" s="22" t="n">
        <f aca="false">G!G19</f>
        <v>1</v>
      </c>
      <c r="G160" s="22" t="n">
        <f aca="false">H!G19</f>
        <v>1</v>
      </c>
      <c r="H160" s="22" t="n">
        <f aca="false">I!G19</f>
        <v>0</v>
      </c>
      <c r="I160" s="22" t="n">
        <f aca="false">J!G19</f>
        <v>0</v>
      </c>
      <c r="J160" s="22" t="n">
        <f aca="false">K!G19</f>
        <v>0</v>
      </c>
      <c r="K160" s="22" t="n">
        <f aca="false">L!G19</f>
        <v>0</v>
      </c>
      <c r="L160" s="22" t="n">
        <f aca="false">M!G19</f>
        <v>0</v>
      </c>
      <c r="M160" s="22" t="n">
        <f aca="false">N!G19</f>
        <v>0</v>
      </c>
      <c r="N160" s="22" t="n">
        <f aca="false">O!G19</f>
        <v>0</v>
      </c>
      <c r="O160" s="22" t="n">
        <f aca="false">P!G19</f>
        <v>0</v>
      </c>
      <c r="P160" s="22" t="n">
        <f aca="false">Q!G19</f>
        <v>0</v>
      </c>
      <c r="Q160" s="22" t="n">
        <f aca="false">R!G19</f>
        <v>0</v>
      </c>
      <c r="R160" s="22" t="n">
        <f aca="false">S!G19</f>
        <v>0</v>
      </c>
      <c r="S160" s="22" t="n">
        <f aca="false">T!G19</f>
        <v>0</v>
      </c>
      <c r="T160" s="22" t="n">
        <f aca="false">U!G19</f>
        <v>0</v>
      </c>
      <c r="U160" s="22" t="n">
        <f aca="false">V!G19</f>
        <v>0</v>
      </c>
      <c r="V160" s="22" t="n">
        <f aca="false">W!G19</f>
        <v>0</v>
      </c>
      <c r="W160" s="22" t="n">
        <f aca="false">X!G19</f>
        <v>0</v>
      </c>
      <c r="X160" s="23" t="n">
        <f aca="false">SUM(B160:W160)</f>
        <v>5</v>
      </c>
      <c r="Y160" s="24" t="n">
        <f aca="false">IF(AW160=0,0,X160/AW160)</f>
        <v>1</v>
      </c>
      <c r="Z160" s="25" t="n">
        <f aca="false">A160</f>
        <v>2</v>
      </c>
      <c r="AA160" s="16" t="n">
        <f aca="false">IF(B160=0,0,1)</f>
        <v>0</v>
      </c>
      <c r="AB160" s="0" t="n">
        <f aca="false">IF(C160=0,0,1)</f>
        <v>1</v>
      </c>
      <c r="AC160" s="0" t="n">
        <f aca="false">IF(D160=0,0,1)</f>
        <v>1</v>
      </c>
      <c r="AD160" s="0" t="n">
        <f aca="false">IF(E160=0,0,1)</f>
        <v>1</v>
      </c>
      <c r="AE160" s="0" t="n">
        <f aca="false">IF(F160=0,0,1)</f>
        <v>1</v>
      </c>
      <c r="AF160" s="0" t="n">
        <f aca="false">IF(G160=0,0,1)</f>
        <v>1</v>
      </c>
      <c r="AG160" s="0" t="n">
        <f aca="false">IF(H160=0,0,1)</f>
        <v>0</v>
      </c>
      <c r="AH160" s="0" t="n">
        <f aca="false">IF(I160=0,0,1)</f>
        <v>0</v>
      </c>
      <c r="AI160" s="0" t="n">
        <f aca="false">IF(J160=0,0,1)</f>
        <v>0</v>
      </c>
      <c r="AJ160" s="0" t="n">
        <f aca="false">IF(K160=0,0,1)</f>
        <v>0</v>
      </c>
      <c r="AK160" s="0" t="n">
        <f aca="false">IF(L160=0,0,1)</f>
        <v>0</v>
      </c>
      <c r="AL160" s="0" t="n">
        <f aca="false">IF(M160=0,0,1)</f>
        <v>0</v>
      </c>
      <c r="AM160" s="0" t="n">
        <f aca="false">IF(N160=0,0,1)</f>
        <v>0</v>
      </c>
      <c r="AN160" s="0" t="n">
        <f aca="false">IF(O160=0,0,1)</f>
        <v>0</v>
      </c>
      <c r="AO160" s="0" t="n">
        <f aca="false">IF(P160=0,0,1)</f>
        <v>0</v>
      </c>
      <c r="AP160" s="0" t="n">
        <f aca="false">IF(Q160=0,0,1)</f>
        <v>0</v>
      </c>
      <c r="AQ160" s="0" t="n">
        <f aca="false">IF(R160=0,0,1)</f>
        <v>0</v>
      </c>
      <c r="AR160" s="0" t="n">
        <f aca="false">IF(S160=0,0,1)</f>
        <v>0</v>
      </c>
      <c r="AS160" s="0" t="n">
        <f aca="false">IF(T160=0,0,1)</f>
        <v>0</v>
      </c>
      <c r="AT160" s="0" t="n">
        <f aca="false">IF(U160=0,0,1)</f>
        <v>0</v>
      </c>
      <c r="AU160" s="0" t="n">
        <f aca="false">IF(V160=0,0,1)</f>
        <v>0</v>
      </c>
      <c r="AV160" s="0" t="n">
        <f aca="false">IF(W160=0,0,1)</f>
        <v>0</v>
      </c>
      <c r="AW160" s="26" t="n">
        <f aca="false">SUM(AA160:AV160)</f>
        <v>5</v>
      </c>
      <c r="AX160" s="27" t="n">
        <f aca="false">IF(X160=0,0,X160)</f>
        <v>5</v>
      </c>
      <c r="AY160" s="1" t="n">
        <f aca="false">IF(X160=0,0,A160)</f>
        <v>2</v>
      </c>
      <c r="AZ160" s="28" t="str">
        <f aca="false">IF(AX160=0,0,A$158)</f>
        <v>BYE</v>
      </c>
      <c r="BA160" s="55" t="n">
        <v>0</v>
      </c>
      <c r="BB160" s="30" t="n">
        <v>0</v>
      </c>
      <c r="BC160" s="56" t="n">
        <v>0</v>
      </c>
      <c r="BD160" s="27"/>
      <c r="BE160" s="26"/>
      <c r="BF160" s="32"/>
      <c r="BG160" s="33"/>
    </row>
    <row r="161" customFormat="false" ht="15" hidden="false" customHeight="false" outlineLevel="0" collapsed="false">
      <c r="A161" s="21" t="n">
        <f aca="false">B!$E$71</f>
        <v>3</v>
      </c>
      <c r="B161" s="22" t="n">
        <f aca="false">C!G20</f>
        <v>0</v>
      </c>
      <c r="C161" s="22" t="n">
        <f aca="false">D!G20</f>
        <v>1</v>
      </c>
      <c r="D161" s="22" t="n">
        <f aca="false">E!G20</f>
        <v>1</v>
      </c>
      <c r="E161" s="22" t="n">
        <f aca="false">F!G20</f>
        <v>1</v>
      </c>
      <c r="F161" s="22" t="n">
        <f aca="false">G!G20</f>
        <v>1</v>
      </c>
      <c r="G161" s="22" t="n">
        <f aca="false">H!G20</f>
        <v>1</v>
      </c>
      <c r="H161" s="22" t="n">
        <f aca="false">I!G20</f>
        <v>0</v>
      </c>
      <c r="I161" s="22" t="n">
        <f aca="false">J!G20</f>
        <v>0</v>
      </c>
      <c r="J161" s="22" t="n">
        <f aca="false">K!G20</f>
        <v>0</v>
      </c>
      <c r="K161" s="22" t="n">
        <f aca="false">L!G20</f>
        <v>0</v>
      </c>
      <c r="L161" s="22" t="n">
        <f aca="false">M!G20</f>
        <v>0</v>
      </c>
      <c r="M161" s="22" t="n">
        <f aca="false">N!G20</f>
        <v>0</v>
      </c>
      <c r="N161" s="22" t="n">
        <f aca="false">O!G20</f>
        <v>0</v>
      </c>
      <c r="O161" s="22" t="n">
        <f aca="false">P!G20</f>
        <v>0</v>
      </c>
      <c r="P161" s="22" t="n">
        <f aca="false">Q!G20</f>
        <v>0</v>
      </c>
      <c r="Q161" s="22" t="n">
        <f aca="false">R!G20</f>
        <v>0</v>
      </c>
      <c r="R161" s="22" t="n">
        <f aca="false">S!G20</f>
        <v>0</v>
      </c>
      <c r="S161" s="22" t="n">
        <f aca="false">T!G20</f>
        <v>0</v>
      </c>
      <c r="T161" s="22" t="n">
        <f aca="false">U!G20</f>
        <v>0</v>
      </c>
      <c r="U161" s="22" t="n">
        <f aca="false">V!G20</f>
        <v>0</v>
      </c>
      <c r="V161" s="22" t="n">
        <f aca="false">W!G20</f>
        <v>0</v>
      </c>
      <c r="W161" s="22" t="n">
        <f aca="false">X!G20</f>
        <v>0</v>
      </c>
      <c r="X161" s="23" t="n">
        <f aca="false">SUM(B161:W161)</f>
        <v>5</v>
      </c>
      <c r="Y161" s="24" t="n">
        <f aca="false">IF(AW161=0,0,X161/AW161)</f>
        <v>1</v>
      </c>
      <c r="Z161" s="25" t="n">
        <f aca="false">A161</f>
        <v>3</v>
      </c>
      <c r="AA161" s="16" t="n">
        <f aca="false">IF(B161=0,0,1)</f>
        <v>0</v>
      </c>
      <c r="AB161" s="0" t="n">
        <f aca="false">IF(C161=0,0,1)</f>
        <v>1</v>
      </c>
      <c r="AC161" s="0" t="n">
        <f aca="false">IF(D161=0,0,1)</f>
        <v>1</v>
      </c>
      <c r="AD161" s="0" t="n">
        <f aca="false">IF(E161=0,0,1)</f>
        <v>1</v>
      </c>
      <c r="AE161" s="0" t="n">
        <f aca="false">IF(F161=0,0,1)</f>
        <v>1</v>
      </c>
      <c r="AF161" s="0" t="n">
        <f aca="false">IF(G161=0,0,1)</f>
        <v>1</v>
      </c>
      <c r="AG161" s="0" t="n">
        <f aca="false">IF(H161=0,0,1)</f>
        <v>0</v>
      </c>
      <c r="AH161" s="0" t="n">
        <f aca="false">IF(I161=0,0,1)</f>
        <v>0</v>
      </c>
      <c r="AI161" s="0" t="n">
        <f aca="false">IF(J161=0,0,1)</f>
        <v>0</v>
      </c>
      <c r="AJ161" s="0" t="n">
        <f aca="false">IF(K161=0,0,1)</f>
        <v>0</v>
      </c>
      <c r="AK161" s="0" t="n">
        <f aca="false">IF(L161=0,0,1)</f>
        <v>0</v>
      </c>
      <c r="AL161" s="0" t="n">
        <f aca="false">IF(M161=0,0,1)</f>
        <v>0</v>
      </c>
      <c r="AM161" s="0" t="n">
        <f aca="false">IF(N161=0,0,1)</f>
        <v>0</v>
      </c>
      <c r="AN161" s="0" t="n">
        <f aca="false">IF(O161=0,0,1)</f>
        <v>0</v>
      </c>
      <c r="AO161" s="0" t="n">
        <f aca="false">IF(P161=0,0,1)</f>
        <v>0</v>
      </c>
      <c r="AP161" s="0" t="n">
        <f aca="false">IF(Q161=0,0,1)</f>
        <v>0</v>
      </c>
      <c r="AQ161" s="0" t="n">
        <f aca="false">IF(R161=0,0,1)</f>
        <v>0</v>
      </c>
      <c r="AR161" s="0" t="n">
        <f aca="false">IF(S161=0,0,1)</f>
        <v>0</v>
      </c>
      <c r="AS161" s="0" t="n">
        <f aca="false">IF(T161=0,0,1)</f>
        <v>0</v>
      </c>
      <c r="AT161" s="0" t="n">
        <f aca="false">IF(U161=0,0,1)</f>
        <v>0</v>
      </c>
      <c r="AU161" s="0" t="n">
        <f aca="false">IF(V161=0,0,1)</f>
        <v>0</v>
      </c>
      <c r="AV161" s="0" t="n">
        <f aca="false">IF(W161=0,0,1)</f>
        <v>0</v>
      </c>
      <c r="AW161" s="26" t="n">
        <f aca="false">SUM(AA161:AV161)</f>
        <v>5</v>
      </c>
      <c r="AX161" s="27" t="n">
        <f aca="false">IF(X161=0,0,X161)</f>
        <v>5</v>
      </c>
      <c r="AY161" s="1" t="n">
        <f aca="false">IF(X161=0,0,A161)</f>
        <v>3</v>
      </c>
      <c r="AZ161" s="28" t="str">
        <f aca="false">IF(AX161=0,0,A$158)</f>
        <v>BYE</v>
      </c>
      <c r="BA161" s="55" t="n">
        <v>0</v>
      </c>
      <c r="BB161" s="30" t="n">
        <v>0</v>
      </c>
      <c r="BC161" s="56" t="n">
        <v>0</v>
      </c>
      <c r="BD161" s="27"/>
      <c r="BE161" s="26"/>
      <c r="BF161" s="32"/>
      <c r="BG161" s="33"/>
    </row>
    <row r="162" customFormat="false" ht="15" hidden="false" customHeight="false" outlineLevel="0" collapsed="false">
      <c r="A162" s="21" t="n">
        <f aca="false">B!$E$76</f>
        <v>4</v>
      </c>
      <c r="B162" s="22" t="n">
        <f aca="false">C!G21</f>
        <v>0</v>
      </c>
      <c r="C162" s="22" t="n">
        <f aca="false">D!G21</f>
        <v>1</v>
      </c>
      <c r="D162" s="22" t="n">
        <f aca="false">E!G21</f>
        <v>1</v>
      </c>
      <c r="E162" s="22" t="n">
        <f aca="false">F!G21</f>
        <v>1</v>
      </c>
      <c r="F162" s="22" t="n">
        <f aca="false">G!G21</f>
        <v>1</v>
      </c>
      <c r="G162" s="22" t="n">
        <f aca="false">H!G21</f>
        <v>1</v>
      </c>
      <c r="H162" s="22" t="n">
        <f aca="false">I!G21</f>
        <v>0</v>
      </c>
      <c r="I162" s="22" t="n">
        <f aca="false">J!G21</f>
        <v>0</v>
      </c>
      <c r="J162" s="22" t="n">
        <f aca="false">K!G21</f>
        <v>0</v>
      </c>
      <c r="K162" s="22" t="n">
        <f aca="false">L!G21</f>
        <v>0</v>
      </c>
      <c r="L162" s="22" t="n">
        <f aca="false">M!G21</f>
        <v>0</v>
      </c>
      <c r="M162" s="22" t="n">
        <f aca="false">N!G21</f>
        <v>0</v>
      </c>
      <c r="N162" s="22" t="n">
        <f aca="false">O!G21</f>
        <v>0</v>
      </c>
      <c r="O162" s="22" t="n">
        <f aca="false">P!G21</f>
        <v>0</v>
      </c>
      <c r="P162" s="22" t="n">
        <f aca="false">Q!G21</f>
        <v>0</v>
      </c>
      <c r="Q162" s="22" t="n">
        <f aca="false">R!G21</f>
        <v>0</v>
      </c>
      <c r="R162" s="22" t="n">
        <f aca="false">S!G21</f>
        <v>0</v>
      </c>
      <c r="S162" s="22" t="n">
        <f aca="false">T!G21</f>
        <v>0</v>
      </c>
      <c r="T162" s="22" t="n">
        <f aca="false">U!G21</f>
        <v>0</v>
      </c>
      <c r="U162" s="22" t="n">
        <f aca="false">V!G21</f>
        <v>0</v>
      </c>
      <c r="V162" s="22" t="n">
        <f aca="false">W!G21</f>
        <v>0</v>
      </c>
      <c r="W162" s="22" t="n">
        <f aca="false">X!G21</f>
        <v>0</v>
      </c>
      <c r="X162" s="23" t="n">
        <f aca="false">SUM(B162:W162)</f>
        <v>5</v>
      </c>
      <c r="Y162" s="24" t="n">
        <f aca="false">IF(AW162=0,0,X162/AW162)</f>
        <v>1</v>
      </c>
      <c r="Z162" s="25" t="n">
        <f aca="false">A162</f>
        <v>4</v>
      </c>
      <c r="AA162" s="16" t="n">
        <f aca="false">IF(B162=0,0,1)</f>
        <v>0</v>
      </c>
      <c r="AB162" s="0" t="n">
        <f aca="false">IF(C162=0,0,1)</f>
        <v>1</v>
      </c>
      <c r="AC162" s="0" t="n">
        <f aca="false">IF(D162=0,0,1)</f>
        <v>1</v>
      </c>
      <c r="AD162" s="0" t="n">
        <f aca="false">IF(E162=0,0,1)</f>
        <v>1</v>
      </c>
      <c r="AE162" s="0" t="n">
        <f aca="false">IF(F162=0,0,1)</f>
        <v>1</v>
      </c>
      <c r="AF162" s="0" t="n">
        <f aca="false">IF(G162=0,0,1)</f>
        <v>1</v>
      </c>
      <c r="AG162" s="0" t="n">
        <f aca="false">IF(H162=0,0,1)</f>
        <v>0</v>
      </c>
      <c r="AH162" s="0" t="n">
        <f aca="false">IF(I162=0,0,1)</f>
        <v>0</v>
      </c>
      <c r="AI162" s="0" t="n">
        <f aca="false">IF(J162=0,0,1)</f>
        <v>0</v>
      </c>
      <c r="AJ162" s="0" t="n">
        <f aca="false">IF(K162=0,0,1)</f>
        <v>0</v>
      </c>
      <c r="AK162" s="0" t="n">
        <f aca="false">IF(L162=0,0,1)</f>
        <v>0</v>
      </c>
      <c r="AL162" s="0" t="n">
        <f aca="false">IF(M162=0,0,1)</f>
        <v>0</v>
      </c>
      <c r="AM162" s="0" t="n">
        <f aca="false">IF(N162=0,0,1)</f>
        <v>0</v>
      </c>
      <c r="AN162" s="0" t="n">
        <f aca="false">IF(O162=0,0,1)</f>
        <v>0</v>
      </c>
      <c r="AO162" s="0" t="n">
        <f aca="false">IF(P162=0,0,1)</f>
        <v>0</v>
      </c>
      <c r="AP162" s="0" t="n">
        <f aca="false">IF(Q162=0,0,1)</f>
        <v>0</v>
      </c>
      <c r="AQ162" s="0" t="n">
        <f aca="false">IF(R162=0,0,1)</f>
        <v>0</v>
      </c>
      <c r="AR162" s="0" t="n">
        <f aca="false">IF(S162=0,0,1)</f>
        <v>0</v>
      </c>
      <c r="AS162" s="0" t="n">
        <f aca="false">IF(T162=0,0,1)</f>
        <v>0</v>
      </c>
      <c r="AT162" s="0" t="n">
        <f aca="false">IF(U162=0,0,1)</f>
        <v>0</v>
      </c>
      <c r="AU162" s="0" t="n">
        <f aca="false">IF(V162=0,0,1)</f>
        <v>0</v>
      </c>
      <c r="AV162" s="0" t="n">
        <f aca="false">IF(W162=0,0,1)</f>
        <v>0</v>
      </c>
      <c r="AW162" s="26" t="n">
        <f aca="false">SUM(AA162:AV162)</f>
        <v>5</v>
      </c>
      <c r="AX162" s="27" t="n">
        <f aca="false">IF(X162=0,0,X162)</f>
        <v>5</v>
      </c>
      <c r="AY162" s="1" t="n">
        <f aca="false">IF(X162=0,0,A162)</f>
        <v>4</v>
      </c>
      <c r="AZ162" s="28" t="str">
        <f aca="false">IF(AX162=0,0,A$158)</f>
        <v>BYE</v>
      </c>
      <c r="BA162" s="55" t="n">
        <v>0</v>
      </c>
      <c r="BB162" s="30" t="n">
        <v>0</v>
      </c>
      <c r="BC162" s="56" t="n">
        <v>0</v>
      </c>
      <c r="BD162" s="27"/>
      <c r="BE162" s="26"/>
      <c r="BF162" s="32"/>
      <c r="BG162" s="33"/>
    </row>
    <row r="163" customFormat="false" ht="15" hidden="false" customHeight="false" outlineLevel="0" collapsed="false">
      <c r="A163" s="21" t="n">
        <f aca="false">B!$E$81</f>
        <v>5</v>
      </c>
      <c r="B163" s="22" t="n">
        <f aca="false">C!G22</f>
        <v>0</v>
      </c>
      <c r="C163" s="22" t="n">
        <f aca="false">D!G22</f>
        <v>1</v>
      </c>
      <c r="D163" s="22" t="n">
        <f aca="false">E!G22</f>
        <v>1</v>
      </c>
      <c r="E163" s="22" t="n">
        <f aca="false">F!G22</f>
        <v>1</v>
      </c>
      <c r="F163" s="22" t="n">
        <f aca="false">G!G22</f>
        <v>1</v>
      </c>
      <c r="G163" s="22" t="n">
        <f aca="false">H!G22</f>
        <v>1</v>
      </c>
      <c r="H163" s="22" t="n">
        <f aca="false">I!G22</f>
        <v>0</v>
      </c>
      <c r="I163" s="22" t="n">
        <f aca="false">J!G22</f>
        <v>0</v>
      </c>
      <c r="J163" s="22" t="n">
        <f aca="false">K!G22</f>
        <v>0</v>
      </c>
      <c r="K163" s="22" t="n">
        <f aca="false">L!G22</f>
        <v>0</v>
      </c>
      <c r="L163" s="22" t="n">
        <f aca="false">M!G22</f>
        <v>0</v>
      </c>
      <c r="M163" s="22" t="n">
        <f aca="false">N!G22</f>
        <v>0</v>
      </c>
      <c r="N163" s="22" t="n">
        <f aca="false">O!G22</f>
        <v>0</v>
      </c>
      <c r="O163" s="22" t="n">
        <f aca="false">P!G22</f>
        <v>0</v>
      </c>
      <c r="P163" s="22" t="n">
        <f aca="false">Q!G22</f>
        <v>0</v>
      </c>
      <c r="Q163" s="22" t="n">
        <f aca="false">R!G22</f>
        <v>0</v>
      </c>
      <c r="R163" s="22" t="n">
        <f aca="false">S!G22</f>
        <v>0</v>
      </c>
      <c r="S163" s="22" t="n">
        <f aca="false">T!G22</f>
        <v>0</v>
      </c>
      <c r="T163" s="22" t="n">
        <f aca="false">U!G22</f>
        <v>0</v>
      </c>
      <c r="U163" s="22" t="n">
        <f aca="false">V!G22</f>
        <v>0</v>
      </c>
      <c r="V163" s="22" t="n">
        <f aca="false">W!G22</f>
        <v>0</v>
      </c>
      <c r="W163" s="22" t="n">
        <f aca="false">X!G22</f>
        <v>0</v>
      </c>
      <c r="X163" s="23" t="n">
        <f aca="false">SUM(B163:W163)</f>
        <v>5</v>
      </c>
      <c r="Y163" s="24" t="n">
        <f aca="false">IF(AW163=0,0,X163/AW163)</f>
        <v>1</v>
      </c>
      <c r="Z163" s="25" t="n">
        <f aca="false">A163</f>
        <v>5</v>
      </c>
      <c r="AA163" s="16" t="n">
        <f aca="false">IF(B163=0,0,1)</f>
        <v>0</v>
      </c>
      <c r="AB163" s="0" t="n">
        <f aca="false">IF(C163=0,0,1)</f>
        <v>1</v>
      </c>
      <c r="AC163" s="0" t="n">
        <f aca="false">IF(D163=0,0,1)</f>
        <v>1</v>
      </c>
      <c r="AD163" s="0" t="n">
        <f aca="false">IF(E163=0,0,1)</f>
        <v>1</v>
      </c>
      <c r="AE163" s="0" t="n">
        <f aca="false">IF(F163=0,0,1)</f>
        <v>1</v>
      </c>
      <c r="AF163" s="0" t="n">
        <f aca="false">IF(G163=0,0,1)</f>
        <v>1</v>
      </c>
      <c r="AG163" s="0" t="n">
        <f aca="false">IF(H163=0,0,1)</f>
        <v>0</v>
      </c>
      <c r="AH163" s="0" t="n">
        <f aca="false">IF(I163=0,0,1)</f>
        <v>0</v>
      </c>
      <c r="AI163" s="0" t="n">
        <f aca="false">IF(J163=0,0,1)</f>
        <v>0</v>
      </c>
      <c r="AJ163" s="0" t="n">
        <f aca="false">IF(K163=0,0,1)</f>
        <v>0</v>
      </c>
      <c r="AK163" s="0" t="n">
        <f aca="false">IF(L163=0,0,1)</f>
        <v>0</v>
      </c>
      <c r="AL163" s="0" t="n">
        <f aca="false">IF(M163=0,0,1)</f>
        <v>0</v>
      </c>
      <c r="AM163" s="0" t="n">
        <f aca="false">IF(N163=0,0,1)</f>
        <v>0</v>
      </c>
      <c r="AN163" s="0" t="n">
        <f aca="false">IF(O163=0,0,1)</f>
        <v>0</v>
      </c>
      <c r="AO163" s="0" t="n">
        <f aca="false">IF(P163=0,0,1)</f>
        <v>0</v>
      </c>
      <c r="AP163" s="0" t="n">
        <f aca="false">IF(Q163=0,0,1)</f>
        <v>0</v>
      </c>
      <c r="AQ163" s="0" t="n">
        <f aca="false">IF(R163=0,0,1)</f>
        <v>0</v>
      </c>
      <c r="AR163" s="0" t="n">
        <f aca="false">IF(S163=0,0,1)</f>
        <v>0</v>
      </c>
      <c r="AS163" s="0" t="n">
        <f aca="false">IF(T163=0,0,1)</f>
        <v>0</v>
      </c>
      <c r="AT163" s="0" t="n">
        <f aca="false">IF(U163=0,0,1)</f>
        <v>0</v>
      </c>
      <c r="AU163" s="0" t="n">
        <f aca="false">IF(V163=0,0,1)</f>
        <v>0</v>
      </c>
      <c r="AV163" s="0" t="n">
        <f aca="false">IF(W163=0,0,1)</f>
        <v>0</v>
      </c>
      <c r="AW163" s="26" t="n">
        <f aca="false">SUM(AA163:AV163)</f>
        <v>5</v>
      </c>
      <c r="AX163" s="27" t="n">
        <f aca="false">IF(X163=0,0,X163)</f>
        <v>5</v>
      </c>
      <c r="AY163" s="1" t="n">
        <f aca="false">IF(X163=0,0,A163)</f>
        <v>5</v>
      </c>
      <c r="AZ163" s="28" t="str">
        <f aca="false">IF(AX163=0,0,A$158)</f>
        <v>BYE</v>
      </c>
      <c r="BA163" s="55" t="n">
        <v>0</v>
      </c>
      <c r="BB163" s="30" t="n">
        <v>0</v>
      </c>
      <c r="BC163" s="56" t="n">
        <v>0</v>
      </c>
      <c r="BD163" s="27"/>
      <c r="BE163" s="26"/>
      <c r="BF163" s="32"/>
      <c r="BG163" s="33"/>
    </row>
    <row r="164" customFormat="false" ht="15" hidden="false" customHeight="false" outlineLevel="0" collapsed="false">
      <c r="A164" s="21" t="n">
        <f aca="false">B!$E$86</f>
        <v>0</v>
      </c>
      <c r="B164" s="22" t="n">
        <f aca="false">C!G23</f>
        <v>0</v>
      </c>
      <c r="C164" s="22" t="n">
        <f aca="false">D!G23</f>
        <v>0</v>
      </c>
      <c r="D164" s="22" t="n">
        <f aca="false">E!G23</f>
        <v>0</v>
      </c>
      <c r="E164" s="22" t="n">
        <f aca="false">F!G23</f>
        <v>0</v>
      </c>
      <c r="F164" s="22" t="n">
        <f aca="false">G!G23</f>
        <v>0</v>
      </c>
      <c r="G164" s="22" t="n">
        <f aca="false">H!G23</f>
        <v>0</v>
      </c>
      <c r="H164" s="22" t="n">
        <f aca="false">I!G23</f>
        <v>0</v>
      </c>
      <c r="I164" s="22" t="n">
        <f aca="false">J!G23</f>
        <v>0</v>
      </c>
      <c r="J164" s="22" t="n">
        <f aca="false">K!G23</f>
        <v>0</v>
      </c>
      <c r="K164" s="22" t="n">
        <f aca="false">L!G23</f>
        <v>0</v>
      </c>
      <c r="L164" s="22" t="n">
        <f aca="false">M!G23</f>
        <v>0</v>
      </c>
      <c r="M164" s="22" t="n">
        <f aca="false">N!G23</f>
        <v>0</v>
      </c>
      <c r="N164" s="22" t="n">
        <f aca="false">O!G23</f>
        <v>0</v>
      </c>
      <c r="O164" s="22" t="n">
        <f aca="false">P!G23</f>
        <v>0</v>
      </c>
      <c r="P164" s="22" t="n">
        <f aca="false">Q!G23</f>
        <v>0</v>
      </c>
      <c r="Q164" s="22" t="n">
        <f aca="false">R!G23</f>
        <v>0</v>
      </c>
      <c r="R164" s="22" t="n">
        <f aca="false">S!G23</f>
        <v>0</v>
      </c>
      <c r="S164" s="22" t="n">
        <f aca="false">T!G23</f>
        <v>0</v>
      </c>
      <c r="T164" s="22" t="n">
        <f aca="false">U!G23</f>
        <v>0</v>
      </c>
      <c r="U164" s="22" t="n">
        <f aca="false">V!G23</f>
        <v>0</v>
      </c>
      <c r="V164" s="22" t="n">
        <f aca="false">W!G23</f>
        <v>0</v>
      </c>
      <c r="W164" s="22" t="n">
        <f aca="false">X!G23</f>
        <v>0</v>
      </c>
      <c r="X164" s="23" t="n">
        <f aca="false">SUM(B164:W164)</f>
        <v>0</v>
      </c>
      <c r="Y164" s="24" t="n">
        <f aca="false">IF(AW164=0,0,X164/AW164)</f>
        <v>0</v>
      </c>
      <c r="Z164" s="25" t="n">
        <f aca="false">A164</f>
        <v>0</v>
      </c>
      <c r="AA164" s="16" t="n">
        <f aca="false">IF(B164=0,0,1)</f>
        <v>0</v>
      </c>
      <c r="AB164" s="0" t="n">
        <f aca="false">IF(C164=0,0,1)</f>
        <v>0</v>
      </c>
      <c r="AC164" s="0" t="n">
        <f aca="false">IF(D164=0,0,1)</f>
        <v>0</v>
      </c>
      <c r="AD164" s="0" t="n">
        <f aca="false">IF(E164=0,0,1)</f>
        <v>0</v>
      </c>
      <c r="AE164" s="0" t="n">
        <f aca="false">IF(F164=0,0,1)</f>
        <v>0</v>
      </c>
      <c r="AF164" s="0" t="n">
        <f aca="false">IF(G164=0,0,1)</f>
        <v>0</v>
      </c>
      <c r="AG164" s="0" t="n">
        <f aca="false">IF(H164=0,0,1)</f>
        <v>0</v>
      </c>
      <c r="AH164" s="0" t="n">
        <f aca="false">IF(I164=0,0,1)</f>
        <v>0</v>
      </c>
      <c r="AI164" s="0" t="n">
        <f aca="false">IF(J164=0,0,1)</f>
        <v>0</v>
      </c>
      <c r="AJ164" s="0" t="n">
        <f aca="false">IF(K164=0,0,1)</f>
        <v>0</v>
      </c>
      <c r="AK164" s="0" t="n">
        <f aca="false">IF(L164=0,0,1)</f>
        <v>0</v>
      </c>
      <c r="AL164" s="0" t="n">
        <f aca="false">IF(M164=0,0,1)</f>
        <v>0</v>
      </c>
      <c r="AM164" s="0" t="n">
        <f aca="false">IF(N164=0,0,1)</f>
        <v>0</v>
      </c>
      <c r="AN164" s="0" t="n">
        <f aca="false">IF(O164=0,0,1)</f>
        <v>0</v>
      </c>
      <c r="AO164" s="0" t="n">
        <f aca="false">IF(P164=0,0,1)</f>
        <v>0</v>
      </c>
      <c r="AP164" s="0" t="n">
        <f aca="false">IF(Q164=0,0,1)</f>
        <v>0</v>
      </c>
      <c r="AQ164" s="0" t="n">
        <f aca="false">IF(R164=0,0,1)</f>
        <v>0</v>
      </c>
      <c r="AR164" s="0" t="n">
        <f aca="false">IF(S164=0,0,1)</f>
        <v>0</v>
      </c>
      <c r="AS164" s="0" t="n">
        <f aca="false">IF(T164=0,0,1)</f>
        <v>0</v>
      </c>
      <c r="AT164" s="0" t="n">
        <f aca="false">IF(U164=0,0,1)</f>
        <v>0</v>
      </c>
      <c r="AU164" s="0" t="n">
        <f aca="false">IF(V164=0,0,1)</f>
        <v>0</v>
      </c>
      <c r="AV164" s="0" t="n">
        <f aca="false">IF(W164=0,0,1)</f>
        <v>0</v>
      </c>
      <c r="AW164" s="26" t="n">
        <f aca="false">SUM(AA164:AV164)</f>
        <v>0</v>
      </c>
      <c r="AX164" s="27" t="n">
        <f aca="false">IF(X164=0,0,X164)</f>
        <v>0</v>
      </c>
      <c r="AY164" s="1" t="n">
        <f aca="false">IF(X164=0,0,A164)</f>
        <v>0</v>
      </c>
      <c r="AZ164" s="28" t="n">
        <f aca="false">IF(AX164=0,0,A$158)</f>
        <v>0</v>
      </c>
      <c r="BA164" s="55" t="n">
        <v>0</v>
      </c>
      <c r="BB164" s="30" t="n">
        <v>0</v>
      </c>
      <c r="BC164" s="56" t="n">
        <v>0</v>
      </c>
      <c r="BD164" s="27"/>
      <c r="BE164" s="26"/>
      <c r="BF164" s="32"/>
      <c r="BG164" s="33"/>
    </row>
    <row r="165" customFormat="false" ht="15" hidden="false" customHeight="false" outlineLevel="0" collapsed="false">
      <c r="A165" s="21" t="n">
        <f aca="false">B!$E$91</f>
        <v>0</v>
      </c>
      <c r="B165" s="22" t="n">
        <f aca="false">C!G24</f>
        <v>0</v>
      </c>
      <c r="C165" s="22" t="n">
        <f aca="false">D!G24</f>
        <v>0</v>
      </c>
      <c r="D165" s="22" t="n">
        <f aca="false">E!G24</f>
        <v>0</v>
      </c>
      <c r="E165" s="22" t="n">
        <f aca="false">F!G24</f>
        <v>0</v>
      </c>
      <c r="F165" s="22" t="n">
        <f aca="false">G!G24</f>
        <v>0</v>
      </c>
      <c r="G165" s="22" t="n">
        <f aca="false">H!G24</f>
        <v>0</v>
      </c>
      <c r="H165" s="22" t="n">
        <f aca="false">I!G24</f>
        <v>0</v>
      </c>
      <c r="I165" s="22" t="n">
        <f aca="false">J!G24</f>
        <v>0</v>
      </c>
      <c r="J165" s="22" t="n">
        <f aca="false">K!G24</f>
        <v>0</v>
      </c>
      <c r="K165" s="22" t="n">
        <f aca="false">L!G24</f>
        <v>0</v>
      </c>
      <c r="L165" s="22" t="n">
        <f aca="false">M!G24</f>
        <v>0</v>
      </c>
      <c r="M165" s="22" t="n">
        <f aca="false">N!G24</f>
        <v>0</v>
      </c>
      <c r="N165" s="22" t="n">
        <f aca="false">O!G24</f>
        <v>0</v>
      </c>
      <c r="O165" s="22" t="n">
        <f aca="false">P!G24</f>
        <v>0</v>
      </c>
      <c r="P165" s="22" t="n">
        <f aca="false">Q!G24</f>
        <v>0</v>
      </c>
      <c r="Q165" s="22" t="n">
        <f aca="false">R!G24</f>
        <v>0</v>
      </c>
      <c r="R165" s="22" t="n">
        <f aca="false">S!G24</f>
        <v>0</v>
      </c>
      <c r="S165" s="22" t="n">
        <f aca="false">T!G24</f>
        <v>0</v>
      </c>
      <c r="T165" s="22" t="n">
        <f aca="false">U!G24</f>
        <v>0</v>
      </c>
      <c r="U165" s="22" t="n">
        <f aca="false">V!G24</f>
        <v>0</v>
      </c>
      <c r="V165" s="22" t="n">
        <f aca="false">W!G24</f>
        <v>0</v>
      </c>
      <c r="W165" s="22" t="n">
        <f aca="false">X!G24</f>
        <v>0</v>
      </c>
      <c r="X165" s="23" t="n">
        <f aca="false">SUM(B165:W165)</f>
        <v>0</v>
      </c>
      <c r="Y165" s="24" t="n">
        <f aca="false">IF(AW165=0,0,X165/AW165)</f>
        <v>0</v>
      </c>
      <c r="Z165" s="25" t="n">
        <f aca="false">A165</f>
        <v>0</v>
      </c>
      <c r="AA165" s="16" t="n">
        <f aca="false">IF(B165=0,0,1)</f>
        <v>0</v>
      </c>
      <c r="AB165" s="0" t="n">
        <f aca="false">IF(C165=0,0,1)</f>
        <v>0</v>
      </c>
      <c r="AC165" s="0" t="n">
        <f aca="false">IF(D165=0,0,1)</f>
        <v>0</v>
      </c>
      <c r="AD165" s="0" t="n">
        <f aca="false">IF(E165=0,0,1)</f>
        <v>0</v>
      </c>
      <c r="AE165" s="0" t="n">
        <f aca="false">IF(F165=0,0,1)</f>
        <v>0</v>
      </c>
      <c r="AF165" s="0" t="n">
        <f aca="false">IF(G165=0,0,1)</f>
        <v>0</v>
      </c>
      <c r="AG165" s="0" t="n">
        <f aca="false">IF(H165=0,0,1)</f>
        <v>0</v>
      </c>
      <c r="AH165" s="0" t="n">
        <f aca="false">IF(I165=0,0,1)</f>
        <v>0</v>
      </c>
      <c r="AI165" s="0" t="n">
        <f aca="false">IF(J165=0,0,1)</f>
        <v>0</v>
      </c>
      <c r="AJ165" s="0" t="n">
        <f aca="false">IF(K165=0,0,1)</f>
        <v>0</v>
      </c>
      <c r="AK165" s="0" t="n">
        <f aca="false">IF(L165=0,0,1)</f>
        <v>0</v>
      </c>
      <c r="AL165" s="0" t="n">
        <f aca="false">IF(M165=0,0,1)</f>
        <v>0</v>
      </c>
      <c r="AM165" s="0" t="n">
        <f aca="false">IF(N165=0,0,1)</f>
        <v>0</v>
      </c>
      <c r="AN165" s="0" t="n">
        <f aca="false">IF(O165=0,0,1)</f>
        <v>0</v>
      </c>
      <c r="AO165" s="0" t="n">
        <f aca="false">IF(P165=0,0,1)</f>
        <v>0</v>
      </c>
      <c r="AP165" s="0" t="n">
        <f aca="false">IF(Q165=0,0,1)</f>
        <v>0</v>
      </c>
      <c r="AQ165" s="0" t="n">
        <f aca="false">IF(R165=0,0,1)</f>
        <v>0</v>
      </c>
      <c r="AR165" s="0" t="n">
        <f aca="false">IF(S165=0,0,1)</f>
        <v>0</v>
      </c>
      <c r="AS165" s="0" t="n">
        <f aca="false">IF(T165=0,0,1)</f>
        <v>0</v>
      </c>
      <c r="AT165" s="0" t="n">
        <f aca="false">IF(U165=0,0,1)</f>
        <v>0</v>
      </c>
      <c r="AU165" s="0" t="n">
        <f aca="false">IF(V165=0,0,1)</f>
        <v>0</v>
      </c>
      <c r="AV165" s="0" t="n">
        <f aca="false">IF(W165=0,0,1)</f>
        <v>0</v>
      </c>
      <c r="AW165" s="26" t="n">
        <f aca="false">SUM(AA165:AV165)</f>
        <v>0</v>
      </c>
      <c r="AX165" s="27" t="n">
        <f aca="false">IF(X165=0,0,X165)</f>
        <v>0</v>
      </c>
      <c r="AY165" s="1" t="n">
        <f aca="false">IF(X165=0,0,A165)</f>
        <v>0</v>
      </c>
      <c r="AZ165" s="28" t="n">
        <f aca="false">IF(AX165=0,0,A$158)</f>
        <v>0</v>
      </c>
      <c r="BA165" s="55"/>
      <c r="BB165" s="30"/>
      <c r="BC165" s="56"/>
      <c r="BD165" s="27"/>
      <c r="BE165" s="26"/>
      <c r="BF165" s="32"/>
      <c r="BG165" s="33"/>
    </row>
    <row r="166" customFormat="false" ht="15" hidden="false" customHeight="false" outlineLevel="0" collapsed="false">
      <c r="A166" s="21" t="n">
        <f aca="false">B!$E$96</f>
        <v>0</v>
      </c>
      <c r="B166" s="22" t="n">
        <f aca="false">C!G25</f>
        <v>0</v>
      </c>
      <c r="C166" s="22" t="n">
        <f aca="false">D!G25</f>
        <v>0</v>
      </c>
      <c r="D166" s="22" t="n">
        <f aca="false">E!G25</f>
        <v>0</v>
      </c>
      <c r="E166" s="22" t="n">
        <f aca="false">F!G25</f>
        <v>0</v>
      </c>
      <c r="F166" s="22" t="n">
        <f aca="false">G!G25</f>
        <v>0</v>
      </c>
      <c r="G166" s="22" t="n">
        <f aca="false">H!G25</f>
        <v>0</v>
      </c>
      <c r="H166" s="22" t="n">
        <f aca="false">I!G25</f>
        <v>0</v>
      </c>
      <c r="I166" s="22" t="n">
        <f aca="false">J!G25</f>
        <v>0</v>
      </c>
      <c r="J166" s="22" t="n">
        <f aca="false">K!G25</f>
        <v>0</v>
      </c>
      <c r="K166" s="22" t="n">
        <f aca="false">L!G25</f>
        <v>0</v>
      </c>
      <c r="L166" s="22" t="n">
        <f aca="false">M!G25</f>
        <v>0</v>
      </c>
      <c r="M166" s="22" t="n">
        <f aca="false">N!G25</f>
        <v>0</v>
      </c>
      <c r="N166" s="22" t="n">
        <f aca="false">O!G25</f>
        <v>0</v>
      </c>
      <c r="O166" s="22" t="n">
        <f aca="false">P!G25</f>
        <v>0</v>
      </c>
      <c r="P166" s="22" t="n">
        <f aca="false">Q!G25</f>
        <v>0</v>
      </c>
      <c r="Q166" s="22" t="n">
        <f aca="false">R!G25</f>
        <v>0</v>
      </c>
      <c r="R166" s="22" t="n">
        <f aca="false">S!G25</f>
        <v>0</v>
      </c>
      <c r="S166" s="22" t="n">
        <f aca="false">T!G25</f>
        <v>0</v>
      </c>
      <c r="T166" s="22" t="n">
        <f aca="false">U!G25</f>
        <v>0</v>
      </c>
      <c r="U166" s="22" t="n">
        <f aca="false">V!G25</f>
        <v>0</v>
      </c>
      <c r="V166" s="22" t="n">
        <f aca="false">W!G25</f>
        <v>0</v>
      </c>
      <c r="W166" s="22" t="n">
        <f aca="false">X!G25</f>
        <v>0</v>
      </c>
      <c r="X166" s="23" t="n">
        <f aca="false">SUM(B166:W166)</f>
        <v>0</v>
      </c>
      <c r="Y166" s="24" t="n">
        <f aca="false">IF(AW166=0,0,X166/AW166)</f>
        <v>0</v>
      </c>
      <c r="Z166" s="25" t="n">
        <f aca="false">A166</f>
        <v>0</v>
      </c>
      <c r="AA166" s="16" t="n">
        <f aca="false">IF(B166=0,0,1)</f>
        <v>0</v>
      </c>
      <c r="AB166" s="0" t="n">
        <f aca="false">IF(C166=0,0,1)</f>
        <v>0</v>
      </c>
      <c r="AC166" s="0" t="n">
        <f aca="false">IF(D166=0,0,1)</f>
        <v>0</v>
      </c>
      <c r="AD166" s="0" t="n">
        <f aca="false">IF(E166=0,0,1)</f>
        <v>0</v>
      </c>
      <c r="AE166" s="0" t="n">
        <f aca="false">IF(F166=0,0,1)</f>
        <v>0</v>
      </c>
      <c r="AF166" s="0" t="n">
        <f aca="false">IF(G166=0,0,1)</f>
        <v>0</v>
      </c>
      <c r="AG166" s="0" t="n">
        <f aca="false">IF(H166=0,0,1)</f>
        <v>0</v>
      </c>
      <c r="AH166" s="0" t="n">
        <f aca="false">IF(I166=0,0,1)</f>
        <v>0</v>
      </c>
      <c r="AI166" s="0" t="n">
        <f aca="false">IF(J166=0,0,1)</f>
        <v>0</v>
      </c>
      <c r="AJ166" s="0" t="n">
        <f aca="false">IF(K166=0,0,1)</f>
        <v>0</v>
      </c>
      <c r="AK166" s="0" t="n">
        <f aca="false">IF(L166=0,0,1)</f>
        <v>0</v>
      </c>
      <c r="AL166" s="0" t="n">
        <f aca="false">IF(M166=0,0,1)</f>
        <v>0</v>
      </c>
      <c r="AM166" s="0" t="n">
        <f aca="false">IF(N166=0,0,1)</f>
        <v>0</v>
      </c>
      <c r="AN166" s="0" t="n">
        <f aca="false">IF(O166=0,0,1)</f>
        <v>0</v>
      </c>
      <c r="AO166" s="0" t="n">
        <f aca="false">IF(P166=0,0,1)</f>
        <v>0</v>
      </c>
      <c r="AP166" s="0" t="n">
        <f aca="false">IF(Q166=0,0,1)</f>
        <v>0</v>
      </c>
      <c r="AQ166" s="0" t="n">
        <f aca="false">IF(R166=0,0,1)</f>
        <v>0</v>
      </c>
      <c r="AR166" s="0" t="n">
        <f aca="false">IF(S166=0,0,1)</f>
        <v>0</v>
      </c>
      <c r="AS166" s="0" t="n">
        <f aca="false">IF(T166=0,0,1)</f>
        <v>0</v>
      </c>
      <c r="AT166" s="0" t="n">
        <f aca="false">IF(U166=0,0,1)</f>
        <v>0</v>
      </c>
      <c r="AU166" s="0" t="n">
        <f aca="false">IF(V166=0,0,1)</f>
        <v>0</v>
      </c>
      <c r="AV166" s="0" t="n">
        <f aca="false">IF(W166=0,0,1)</f>
        <v>0</v>
      </c>
      <c r="AW166" s="26" t="n">
        <f aca="false">SUM(AA166:AV166)</f>
        <v>0</v>
      </c>
      <c r="AX166" s="27" t="n">
        <f aca="false">IF(X166=0,0,X166)</f>
        <v>0</v>
      </c>
      <c r="AY166" s="1" t="n">
        <f aca="false">IF(X166=0,0,A166)</f>
        <v>0</v>
      </c>
      <c r="AZ166" s="28" t="n">
        <f aca="false">IF(AX166=0,0,A$158)</f>
        <v>0</v>
      </c>
      <c r="BA166" s="55"/>
      <c r="BB166" s="30"/>
      <c r="BC166" s="56"/>
      <c r="BD166" s="27"/>
      <c r="BE166" s="26"/>
      <c r="BF166" s="32"/>
      <c r="BG166" s="33"/>
    </row>
    <row r="167" customFormat="false" ht="15" hidden="false" customHeight="false" outlineLevel="0" collapsed="false">
      <c r="A167" s="38" t="s">
        <v>60</v>
      </c>
      <c r="B167" s="39" t="n">
        <f aca="false">SUM(B159:B166)</f>
        <v>0</v>
      </c>
      <c r="C167" s="39" t="n">
        <f aca="false">SUM(C159:C166)</f>
        <v>5</v>
      </c>
      <c r="D167" s="39" t="n">
        <f aca="false">SUM(D159:D166)</f>
        <v>5</v>
      </c>
      <c r="E167" s="39" t="n">
        <f aca="false">SUM(E159:E166)</f>
        <v>5</v>
      </c>
      <c r="F167" s="39" t="n">
        <f aca="false">SUM(F159:F166)</f>
        <v>5</v>
      </c>
      <c r="G167" s="39" t="n">
        <f aca="false">SUM(G159:G166)</f>
        <v>5</v>
      </c>
      <c r="H167" s="39" t="n">
        <f aca="false">SUM(H159:H166)</f>
        <v>0</v>
      </c>
      <c r="I167" s="39" t="n">
        <f aca="false">SUM(I159:I166)</f>
        <v>0</v>
      </c>
      <c r="J167" s="39" t="n">
        <f aca="false">SUM(J159:J166)</f>
        <v>0</v>
      </c>
      <c r="K167" s="39" t="n">
        <f aca="false">SUM(K159:K166)</f>
        <v>0</v>
      </c>
      <c r="L167" s="39" t="n">
        <f aca="false">SUM(L159:L166)</f>
        <v>0</v>
      </c>
      <c r="M167" s="39" t="n">
        <f aca="false">SUM(M159:M166)</f>
        <v>0</v>
      </c>
      <c r="N167" s="39" t="n">
        <f aca="false">SUM(N159:N166)</f>
        <v>0</v>
      </c>
      <c r="O167" s="39" t="n">
        <f aca="false">SUM(O159:O166)</f>
        <v>0</v>
      </c>
      <c r="P167" s="39" t="n">
        <f aca="false">SUM(P159:P166)</f>
        <v>0</v>
      </c>
      <c r="Q167" s="39" t="n">
        <f aca="false">SUM(Q159:Q166)</f>
        <v>0</v>
      </c>
      <c r="R167" s="39" t="n">
        <f aca="false">SUM(R159:R166)</f>
        <v>0</v>
      </c>
      <c r="S167" s="39" t="n">
        <f aca="false">SUM(S159:S166)</f>
        <v>0</v>
      </c>
      <c r="T167" s="39" t="n">
        <f aca="false">SUM(T159:T166)</f>
        <v>0</v>
      </c>
      <c r="U167" s="39" t="n">
        <f aca="false">SUM(U159:U166)</f>
        <v>0</v>
      </c>
      <c r="V167" s="39" t="n">
        <f aca="false">SUM(V159:V166)</f>
        <v>0</v>
      </c>
      <c r="W167" s="39" t="n">
        <f aca="false">SUM(W159:W166)</f>
        <v>0</v>
      </c>
      <c r="X167" s="40" t="n">
        <f aca="false">SUM(B167:W167)</f>
        <v>25</v>
      </c>
      <c r="Y167" s="41" t="n">
        <f aca="false">IF(X167=0,0,X167/AW167)</f>
        <v>5</v>
      </c>
      <c r="Z167" s="25"/>
      <c r="AA167" s="42" t="n">
        <f aca="false">SUM(AA159:AA166)</f>
        <v>0</v>
      </c>
      <c r="AB167" s="43" t="n">
        <f aca="false">SUM(AB159:AB166)</f>
        <v>5</v>
      </c>
      <c r="AC167" s="43" t="n">
        <f aca="false">SUM(AC159:AC166)</f>
        <v>5</v>
      </c>
      <c r="AD167" s="43" t="n">
        <f aca="false">SUM(AD159:AD166)</f>
        <v>5</v>
      </c>
      <c r="AE167" s="43" t="n">
        <f aca="false">SUM(AE159:AE166)</f>
        <v>5</v>
      </c>
      <c r="AF167" s="43" t="n">
        <f aca="false">SUM(AF159:AF166)</f>
        <v>5</v>
      </c>
      <c r="AG167" s="43" t="n">
        <f aca="false">SUM(AG159:AG166)</f>
        <v>0</v>
      </c>
      <c r="AH167" s="43" t="n">
        <f aca="false">SUM(AH159:AH166)</f>
        <v>0</v>
      </c>
      <c r="AI167" s="43" t="n">
        <f aca="false">SUM(AI159:AI166)</f>
        <v>0</v>
      </c>
      <c r="AJ167" s="43" t="n">
        <f aca="false">SUM(AJ159:AJ166)</f>
        <v>0</v>
      </c>
      <c r="AK167" s="43" t="n">
        <f aca="false">SUM(AK159:AK166)</f>
        <v>0</v>
      </c>
      <c r="AL167" s="43" t="n">
        <f aca="false">SUM(AL159:AL166)</f>
        <v>0</v>
      </c>
      <c r="AM167" s="43" t="n">
        <f aca="false">SUM(AM159:AM166)</f>
        <v>0</v>
      </c>
      <c r="AN167" s="43" t="n">
        <f aca="false">SUM(AN159:AN166)</f>
        <v>0</v>
      </c>
      <c r="AO167" s="43" t="n">
        <f aca="false">SUM(AO159:AO166)</f>
        <v>0</v>
      </c>
      <c r="AP167" s="43" t="n">
        <f aca="false">SUM(AP159:AP166)</f>
        <v>0</v>
      </c>
      <c r="AQ167" s="43" t="n">
        <f aca="false">SUM(AQ159:AQ166)</f>
        <v>0</v>
      </c>
      <c r="AR167" s="43" t="n">
        <f aca="false">SUM(AR159:AR166)</f>
        <v>0</v>
      </c>
      <c r="AS167" s="43" t="n">
        <f aca="false">SUM(AS159:AS166)</f>
        <v>0</v>
      </c>
      <c r="AT167" s="43" t="n">
        <f aca="false">SUM(AT159:AT166)</f>
        <v>0</v>
      </c>
      <c r="AU167" s="43" t="n">
        <f aca="false">SUM(AU159:AU166)</f>
        <v>0</v>
      </c>
      <c r="AV167" s="43" t="n">
        <f aca="false">SUM(AV159:AV166)</f>
        <v>0</v>
      </c>
      <c r="AW167" s="44" t="n">
        <f aca="false">MAXA(AW159:AW166)</f>
        <v>5</v>
      </c>
      <c r="AX167" s="27"/>
      <c r="AZ167" s="28"/>
      <c r="BA167" s="55"/>
      <c r="BB167" s="30"/>
      <c r="BC167" s="56"/>
      <c r="BD167" s="27"/>
      <c r="BE167" s="26"/>
      <c r="BF167" s="32"/>
      <c r="BG167" s="33"/>
    </row>
    <row r="168" customFormat="false" ht="15" hidden="false" customHeight="false" outlineLevel="0" collapsed="false">
      <c r="A168" s="54" t="s">
        <v>64</v>
      </c>
      <c r="B168" s="22" t="n">
        <f aca="false">C!G26</f>
        <v>0</v>
      </c>
      <c r="C168" s="22" t="n">
        <f aca="false">D!G26</f>
        <v>0</v>
      </c>
      <c r="D168" s="22" t="n">
        <f aca="false">E!G26</f>
        <v>0</v>
      </c>
      <c r="E168" s="22" t="n">
        <f aca="false">F!G26</f>
        <v>0</v>
      </c>
      <c r="F168" s="22" t="n">
        <f aca="false">G!G26</f>
        <v>0</v>
      </c>
      <c r="G168" s="22" t="n">
        <f aca="false">H!G26</f>
        <v>0</v>
      </c>
      <c r="H168" s="22" t="n">
        <f aca="false">I!G26</f>
        <v>0</v>
      </c>
      <c r="I168" s="22" t="n">
        <f aca="false">J!G26</f>
        <v>0</v>
      </c>
      <c r="J168" s="22" t="n">
        <f aca="false">K!G26</f>
        <v>0</v>
      </c>
      <c r="K168" s="22" t="n">
        <f aca="false">L!G26</f>
        <v>0</v>
      </c>
      <c r="L168" s="22" t="n">
        <f aca="false">M!G26</f>
        <v>0</v>
      </c>
      <c r="M168" s="22" t="n">
        <f aca="false">N!G26</f>
        <v>0</v>
      </c>
      <c r="N168" s="22" t="n">
        <f aca="false">O!G26</f>
        <v>0</v>
      </c>
      <c r="O168" s="22" t="n">
        <f aca="false">P!G26</f>
        <v>0</v>
      </c>
      <c r="P168" s="22" t="n">
        <f aca="false">Q!G26</f>
        <v>0</v>
      </c>
      <c r="Q168" s="22" t="n">
        <f aca="false">R!G26</f>
        <v>0</v>
      </c>
      <c r="R168" s="22" t="n">
        <f aca="false">S!G26</f>
        <v>0</v>
      </c>
      <c r="S168" s="22" t="n">
        <f aca="false">T!G26</f>
        <v>0</v>
      </c>
      <c r="T168" s="22" t="n">
        <f aca="false">U!G26</f>
        <v>0</v>
      </c>
      <c r="U168" s="22" t="n">
        <f aca="false">V!G26</f>
        <v>0</v>
      </c>
      <c r="V168" s="22" t="n">
        <f aca="false">W!G26</f>
        <v>0</v>
      </c>
      <c r="W168" s="22" t="n">
        <f aca="false">X!G26</f>
        <v>0</v>
      </c>
      <c r="X168" s="23" t="n">
        <f aca="false">SUM(B168:W168)</f>
        <v>0</v>
      </c>
      <c r="Y168" s="47"/>
      <c r="Z168" s="25"/>
      <c r="AA168" s="16"/>
      <c r="AW168" s="26"/>
      <c r="AX168" s="27"/>
      <c r="AZ168" s="28"/>
      <c r="BA168" s="55"/>
      <c r="BB168" s="30"/>
      <c r="BC168" s="56"/>
      <c r="BD168" s="27"/>
      <c r="BE168" s="26"/>
      <c r="BF168" s="32"/>
      <c r="BG168" s="33"/>
    </row>
    <row r="169" customFormat="false" ht="15" hidden="false" customHeight="false" outlineLevel="0" collapsed="false">
      <c r="A169" s="48" t="s">
        <v>68</v>
      </c>
      <c r="B169" s="49" t="n">
        <f aca="false">SUM(B167:B168)</f>
        <v>0</v>
      </c>
      <c r="C169" s="49" t="n">
        <f aca="false">SUM(C167:C168)</f>
        <v>5</v>
      </c>
      <c r="D169" s="49" t="n">
        <f aca="false">SUM(D167:D168)</f>
        <v>5</v>
      </c>
      <c r="E169" s="49" t="n">
        <f aca="false">SUM(E167:E168)</f>
        <v>5</v>
      </c>
      <c r="F169" s="49" t="n">
        <f aca="false">SUM(F167:F168)</f>
        <v>5</v>
      </c>
      <c r="G169" s="49" t="n">
        <f aca="false">SUM(G167:G168)</f>
        <v>5</v>
      </c>
      <c r="H169" s="49" t="n">
        <f aca="false">SUM(H167:H168)</f>
        <v>0</v>
      </c>
      <c r="I169" s="49" t="n">
        <f aca="false">SUM(I167:I168)</f>
        <v>0</v>
      </c>
      <c r="J169" s="49" t="n">
        <f aca="false">SUM(J167:J168)</f>
        <v>0</v>
      </c>
      <c r="K169" s="49" t="n">
        <f aca="false">SUM(K167:K168)</f>
        <v>0</v>
      </c>
      <c r="L169" s="49" t="n">
        <f aca="false">SUM(L167:L168)</f>
        <v>0</v>
      </c>
      <c r="M169" s="49" t="n">
        <f aca="false">SUM(M167:M168)</f>
        <v>0</v>
      </c>
      <c r="N169" s="49" t="n">
        <f aca="false">SUM(N167:N168)</f>
        <v>0</v>
      </c>
      <c r="O169" s="49" t="n">
        <f aca="false">SUM(O167:O168)</f>
        <v>0</v>
      </c>
      <c r="P169" s="49" t="n">
        <f aca="false">SUM(P167:P168)</f>
        <v>0</v>
      </c>
      <c r="Q169" s="49" t="n">
        <f aca="false">SUM(Q167:Q168)</f>
        <v>0</v>
      </c>
      <c r="R169" s="49" t="n">
        <f aca="false">SUM(R167:R168)</f>
        <v>0</v>
      </c>
      <c r="S169" s="49" t="n">
        <f aca="false">SUM(S167:S168)</f>
        <v>0</v>
      </c>
      <c r="T169" s="49" t="n">
        <f aca="false">SUM(T167:T168)</f>
        <v>0</v>
      </c>
      <c r="U169" s="49" t="n">
        <f aca="false">SUM(U167:U168)</f>
        <v>0</v>
      </c>
      <c r="V169" s="49" t="n">
        <f aca="false">SUM(V167:V168)</f>
        <v>0</v>
      </c>
      <c r="W169" s="49" t="n">
        <f aca="false">SUM(W167:W168)</f>
        <v>0</v>
      </c>
      <c r="X169" s="50" t="n">
        <f aca="false">SUM(B169:W169)</f>
        <v>25</v>
      </c>
      <c r="Y169" s="51"/>
      <c r="Z169" s="25"/>
      <c r="AA169" s="16"/>
      <c r="AW169" s="26"/>
      <c r="AX169" s="27"/>
      <c r="AZ169" s="28"/>
      <c r="BA169" s="55"/>
      <c r="BB169" s="30"/>
      <c r="BC169" s="56"/>
      <c r="BD169" s="27" t="n">
        <f aca="false">X169</f>
        <v>25</v>
      </c>
      <c r="BE169" s="26" t="str">
        <f aca="false">A158</f>
        <v>BYE</v>
      </c>
      <c r="BF169" s="32"/>
      <c r="BG169" s="33"/>
    </row>
    <row r="170" customFormat="false" ht="15" hidden="false" customHeight="false" outlineLevel="0" collapsed="false">
      <c r="A170" s="57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25"/>
      <c r="AA170" s="16"/>
      <c r="AW170" s="26"/>
      <c r="AX170" s="27"/>
      <c r="AZ170" s="28"/>
      <c r="BA170" s="55"/>
      <c r="BB170" s="30"/>
      <c r="BC170" s="56"/>
      <c r="BD170" s="27"/>
      <c r="BE170" s="26"/>
      <c r="BF170" s="32"/>
      <c r="BG170" s="33"/>
    </row>
    <row r="171" customFormat="false" ht="15" hidden="false" customHeight="false" outlineLevel="0" collapsed="false">
      <c r="A171" s="5" t="s">
        <v>135</v>
      </c>
      <c r="B171" s="6" t="s">
        <v>1</v>
      </c>
      <c r="C171" s="6" t="s">
        <v>2</v>
      </c>
      <c r="D171" s="6" t="s">
        <v>3</v>
      </c>
      <c r="E171" s="6" t="s">
        <v>4</v>
      </c>
      <c r="F171" s="6" t="s">
        <v>5</v>
      </c>
      <c r="G171" s="6" t="s">
        <v>6</v>
      </c>
      <c r="H171" s="6" t="s">
        <v>7</v>
      </c>
      <c r="I171" s="6" t="s">
        <v>8</v>
      </c>
      <c r="J171" s="6" t="s">
        <v>9</v>
      </c>
      <c r="K171" s="6" t="s">
        <v>10</v>
      </c>
      <c r="L171" s="6" t="s">
        <v>11</v>
      </c>
      <c r="M171" s="6" t="s">
        <v>12</v>
      </c>
      <c r="N171" s="6" t="s">
        <v>13</v>
      </c>
      <c r="O171" s="6" t="s">
        <v>14</v>
      </c>
      <c r="P171" s="6" t="s">
        <v>15</v>
      </c>
      <c r="Q171" s="6" t="s">
        <v>16</v>
      </c>
      <c r="R171" s="6" t="s">
        <v>17</v>
      </c>
      <c r="S171" s="6" t="s">
        <v>18</v>
      </c>
      <c r="T171" s="6" t="s">
        <v>19</v>
      </c>
      <c r="U171" s="6" t="s">
        <v>20</v>
      </c>
      <c r="V171" s="6" t="s">
        <v>21</v>
      </c>
      <c r="W171" s="6" t="s">
        <v>22</v>
      </c>
      <c r="X171" s="34"/>
      <c r="Y171" s="34"/>
      <c r="Z171" s="4" t="str">
        <f aca="false">A171</f>
        <v>Team #13 Name:</v>
      </c>
      <c r="AA171" s="16"/>
      <c r="AW171" s="26"/>
      <c r="AX171" s="27"/>
      <c r="AZ171" s="28"/>
      <c r="BA171" s="55"/>
      <c r="BB171" s="30"/>
      <c r="BC171" s="56"/>
      <c r="BD171" s="27"/>
      <c r="BE171" s="26"/>
      <c r="BF171" s="32"/>
      <c r="BG171" s="33"/>
    </row>
    <row r="172" customFormat="false" ht="15" hidden="false" customHeight="false" outlineLevel="0" collapsed="false">
      <c r="A172" s="11" t="n">
        <f aca="false">B!$E$102</f>
        <v>0</v>
      </c>
      <c r="B172" s="52" t="s">
        <v>28</v>
      </c>
      <c r="C172" s="52" t="s">
        <v>28</v>
      </c>
      <c r="D172" s="52" t="s">
        <v>28</v>
      </c>
      <c r="E172" s="52" t="s">
        <v>28</v>
      </c>
      <c r="F172" s="52" t="s">
        <v>28</v>
      </c>
      <c r="G172" s="52" t="s">
        <v>28</v>
      </c>
      <c r="H172" s="52" t="s">
        <v>28</v>
      </c>
      <c r="I172" s="52" t="s">
        <v>28</v>
      </c>
      <c r="J172" s="52" t="s">
        <v>28</v>
      </c>
      <c r="K172" s="52" t="s">
        <v>28</v>
      </c>
      <c r="L172" s="52" t="s">
        <v>28</v>
      </c>
      <c r="M172" s="52" t="s">
        <v>28</v>
      </c>
      <c r="N172" s="52" t="s">
        <v>28</v>
      </c>
      <c r="O172" s="52" t="s">
        <v>28</v>
      </c>
      <c r="P172" s="52" t="s">
        <v>28</v>
      </c>
      <c r="Q172" s="52" t="s">
        <v>28</v>
      </c>
      <c r="R172" s="52" t="s">
        <v>28</v>
      </c>
      <c r="S172" s="52" t="s">
        <v>28</v>
      </c>
      <c r="T172" s="52" t="s">
        <v>28</v>
      </c>
      <c r="U172" s="52" t="s">
        <v>28</v>
      </c>
      <c r="V172" s="52" t="s">
        <v>28</v>
      </c>
      <c r="W172" s="52" t="s">
        <v>28</v>
      </c>
      <c r="X172" s="13" t="s">
        <v>29</v>
      </c>
      <c r="Y172" s="14" t="s">
        <v>30</v>
      </c>
      <c r="Z172" s="15" t="n">
        <f aca="false">A172</f>
        <v>0</v>
      </c>
      <c r="AA172" s="16"/>
      <c r="AW172" s="17" t="s">
        <v>31</v>
      </c>
      <c r="AX172" s="27"/>
      <c r="AZ172" s="28"/>
      <c r="BA172" s="55"/>
      <c r="BB172" s="30"/>
      <c r="BC172" s="56"/>
      <c r="BD172" s="27"/>
      <c r="BE172" s="26"/>
      <c r="BF172" s="32"/>
      <c r="BG172" s="33"/>
    </row>
    <row r="173" customFormat="false" ht="15" hidden="false" customHeight="false" outlineLevel="0" collapsed="false">
      <c r="A173" s="21" t="n">
        <f aca="false">B!$E$104</f>
        <v>0</v>
      </c>
      <c r="B173" s="22" t="n">
        <f aca="false">C!G31</f>
        <v>0</v>
      </c>
      <c r="C173" s="22" t="n">
        <f aca="false">D!G31</f>
        <v>0</v>
      </c>
      <c r="D173" s="22" t="n">
        <f aca="false">E!G31</f>
        <v>0</v>
      </c>
      <c r="E173" s="22" t="n">
        <f aca="false">F!G31</f>
        <v>0</v>
      </c>
      <c r="F173" s="22" t="n">
        <f aca="false">G!G31</f>
        <v>0</v>
      </c>
      <c r="G173" s="22" t="n">
        <f aca="false">H!G31</f>
        <v>0</v>
      </c>
      <c r="H173" s="22" t="n">
        <f aca="false">I!G31</f>
        <v>0</v>
      </c>
      <c r="I173" s="22" t="n">
        <f aca="false">J!G31</f>
        <v>0</v>
      </c>
      <c r="J173" s="22" t="n">
        <f aca="false">K!G31</f>
        <v>0</v>
      </c>
      <c r="K173" s="22" t="n">
        <f aca="false">L!G31</f>
        <v>0</v>
      </c>
      <c r="L173" s="22" t="n">
        <f aca="false">M!G31</f>
        <v>0</v>
      </c>
      <c r="M173" s="22" t="n">
        <f aca="false">N!G31</f>
        <v>0</v>
      </c>
      <c r="N173" s="22" t="n">
        <f aca="false">O!G31</f>
        <v>0</v>
      </c>
      <c r="O173" s="22" t="n">
        <f aca="false">P!G31</f>
        <v>0</v>
      </c>
      <c r="P173" s="22" t="n">
        <f aca="false">Q!G31</f>
        <v>0</v>
      </c>
      <c r="Q173" s="22" t="n">
        <f aca="false">R!G31</f>
        <v>0</v>
      </c>
      <c r="R173" s="22" t="n">
        <f aca="false">S!G31</f>
        <v>0</v>
      </c>
      <c r="S173" s="22" t="n">
        <f aca="false">T!G31</f>
        <v>0</v>
      </c>
      <c r="T173" s="22" t="n">
        <f aca="false">U!G31</f>
        <v>0</v>
      </c>
      <c r="U173" s="22" t="n">
        <f aca="false">V!G31</f>
        <v>0</v>
      </c>
      <c r="V173" s="22" t="n">
        <f aca="false">W!G31</f>
        <v>0</v>
      </c>
      <c r="W173" s="22" t="n">
        <f aca="false">X!G31</f>
        <v>0</v>
      </c>
      <c r="X173" s="23" t="n">
        <f aca="false">SUM(B173:W173)</f>
        <v>0</v>
      </c>
      <c r="Y173" s="24" t="n">
        <f aca="false">IF(AW173=0,0,X173/AW173)</f>
        <v>0</v>
      </c>
      <c r="Z173" s="25" t="n">
        <f aca="false">A173</f>
        <v>0</v>
      </c>
      <c r="AA173" s="16" t="n">
        <f aca="false">IF(B173=0,0,1)</f>
        <v>0</v>
      </c>
      <c r="AB173" s="0" t="n">
        <f aca="false">IF(C173=0,0,1)</f>
        <v>0</v>
      </c>
      <c r="AC173" s="0" t="n">
        <f aca="false">IF(D173=0,0,1)</f>
        <v>0</v>
      </c>
      <c r="AD173" s="0" t="n">
        <f aca="false">IF(E173=0,0,1)</f>
        <v>0</v>
      </c>
      <c r="AE173" s="0" t="n">
        <f aca="false">IF(F173=0,0,1)</f>
        <v>0</v>
      </c>
      <c r="AF173" s="0" t="n">
        <f aca="false">IF(G173=0,0,1)</f>
        <v>0</v>
      </c>
      <c r="AG173" s="0" t="n">
        <f aca="false">IF(H173=0,0,1)</f>
        <v>0</v>
      </c>
      <c r="AH173" s="0" t="n">
        <f aca="false">IF(I173=0,0,1)</f>
        <v>0</v>
      </c>
      <c r="AI173" s="0" t="n">
        <f aca="false">IF(J173=0,0,1)</f>
        <v>0</v>
      </c>
      <c r="AJ173" s="0" t="n">
        <f aca="false">IF(K173=0,0,1)</f>
        <v>0</v>
      </c>
      <c r="AK173" s="0" t="n">
        <f aca="false">IF(L173=0,0,1)</f>
        <v>0</v>
      </c>
      <c r="AL173" s="0" t="n">
        <f aca="false">IF(M173=0,0,1)</f>
        <v>0</v>
      </c>
      <c r="AM173" s="0" t="n">
        <f aca="false">IF(N173=0,0,1)</f>
        <v>0</v>
      </c>
      <c r="AN173" s="0" t="n">
        <f aca="false">IF(O173=0,0,1)</f>
        <v>0</v>
      </c>
      <c r="AO173" s="0" t="n">
        <f aca="false">IF(P173=0,0,1)</f>
        <v>0</v>
      </c>
      <c r="AP173" s="0" t="n">
        <f aca="false">IF(Q173=0,0,1)</f>
        <v>0</v>
      </c>
      <c r="AQ173" s="0" t="n">
        <f aca="false">IF(R173=0,0,1)</f>
        <v>0</v>
      </c>
      <c r="AR173" s="0" t="n">
        <f aca="false">IF(S173=0,0,1)</f>
        <v>0</v>
      </c>
      <c r="AS173" s="0" t="n">
        <f aca="false">IF(T173=0,0,1)</f>
        <v>0</v>
      </c>
      <c r="AT173" s="0" t="n">
        <f aca="false">IF(U173=0,0,1)</f>
        <v>0</v>
      </c>
      <c r="AU173" s="0" t="n">
        <f aca="false">IF(V173=0,0,1)</f>
        <v>0</v>
      </c>
      <c r="AV173" s="0" t="n">
        <f aca="false">IF(W173=0,0,1)</f>
        <v>0</v>
      </c>
      <c r="AW173" s="26" t="n">
        <f aca="false">SUM(AA173:AV173)</f>
        <v>0</v>
      </c>
      <c r="AX173" s="27" t="n">
        <f aca="false">IF(X173=0,0,X173)</f>
        <v>0</v>
      </c>
      <c r="AY173" s="1" t="n">
        <f aca="false">IF(X173=0,0,A173)</f>
        <v>0</v>
      </c>
      <c r="AZ173" s="28" t="n">
        <f aca="false">IF(AX173=0,0,A$172)</f>
        <v>0</v>
      </c>
      <c r="BA173" s="55"/>
      <c r="BB173" s="30"/>
      <c r="BC173" s="56"/>
      <c r="BD173" s="27"/>
      <c r="BE173" s="26"/>
      <c r="BF173" s="32"/>
      <c r="BG173" s="33"/>
    </row>
    <row r="174" customFormat="false" ht="15" hidden="false" customHeight="false" outlineLevel="0" collapsed="false">
      <c r="A174" s="21" t="n">
        <f aca="false">B!$E$109</f>
        <v>0</v>
      </c>
      <c r="B174" s="22" t="n">
        <f aca="false">C!G32</f>
        <v>0</v>
      </c>
      <c r="C174" s="22" t="n">
        <f aca="false">D!G32</f>
        <v>0</v>
      </c>
      <c r="D174" s="22" t="n">
        <f aca="false">E!G32</f>
        <v>0</v>
      </c>
      <c r="E174" s="22" t="n">
        <f aca="false">F!G32</f>
        <v>0</v>
      </c>
      <c r="F174" s="22" t="n">
        <f aca="false">G!G32</f>
        <v>0</v>
      </c>
      <c r="G174" s="22" t="n">
        <f aca="false">H!G32</f>
        <v>0</v>
      </c>
      <c r="H174" s="22" t="n">
        <f aca="false">I!G32</f>
        <v>0</v>
      </c>
      <c r="I174" s="22" t="n">
        <f aca="false">J!G32</f>
        <v>0</v>
      </c>
      <c r="J174" s="22" t="n">
        <f aca="false">K!G32</f>
        <v>0</v>
      </c>
      <c r="K174" s="22" t="n">
        <f aca="false">L!G32</f>
        <v>0</v>
      </c>
      <c r="L174" s="22" t="n">
        <f aca="false">M!G32</f>
        <v>0</v>
      </c>
      <c r="M174" s="22" t="n">
        <f aca="false">N!G32</f>
        <v>0</v>
      </c>
      <c r="N174" s="22" t="n">
        <f aca="false">O!G32</f>
        <v>0</v>
      </c>
      <c r="O174" s="22" t="n">
        <f aca="false">P!G32</f>
        <v>0</v>
      </c>
      <c r="P174" s="22" t="n">
        <f aca="false">Q!G32</f>
        <v>0</v>
      </c>
      <c r="Q174" s="22" t="n">
        <f aca="false">R!G32</f>
        <v>0</v>
      </c>
      <c r="R174" s="22" t="n">
        <f aca="false">S!G32</f>
        <v>0</v>
      </c>
      <c r="S174" s="22" t="n">
        <f aca="false">T!G32</f>
        <v>0</v>
      </c>
      <c r="T174" s="22" t="n">
        <f aca="false">U!G32</f>
        <v>0</v>
      </c>
      <c r="U174" s="22" t="n">
        <f aca="false">V!G32</f>
        <v>0</v>
      </c>
      <c r="V174" s="22" t="n">
        <f aca="false">W!G32</f>
        <v>0</v>
      </c>
      <c r="W174" s="22" t="n">
        <f aca="false">X!G32</f>
        <v>0</v>
      </c>
      <c r="X174" s="23" t="n">
        <f aca="false">SUM(B174:W174)</f>
        <v>0</v>
      </c>
      <c r="Y174" s="24" t="n">
        <f aca="false">IF(AW174=0,0,X174/AW174)</f>
        <v>0</v>
      </c>
      <c r="Z174" s="25" t="n">
        <f aca="false">A174</f>
        <v>0</v>
      </c>
      <c r="AA174" s="16" t="n">
        <f aca="false">IF(B174=0,0,1)</f>
        <v>0</v>
      </c>
      <c r="AB174" s="0" t="n">
        <f aca="false">IF(C174=0,0,1)</f>
        <v>0</v>
      </c>
      <c r="AC174" s="0" t="n">
        <f aca="false">IF(D174=0,0,1)</f>
        <v>0</v>
      </c>
      <c r="AD174" s="0" t="n">
        <f aca="false">IF(E174=0,0,1)</f>
        <v>0</v>
      </c>
      <c r="AE174" s="0" t="n">
        <f aca="false">IF(F174=0,0,1)</f>
        <v>0</v>
      </c>
      <c r="AF174" s="0" t="n">
        <f aca="false">IF(G174=0,0,1)</f>
        <v>0</v>
      </c>
      <c r="AG174" s="0" t="n">
        <f aca="false">IF(H174=0,0,1)</f>
        <v>0</v>
      </c>
      <c r="AH174" s="0" t="n">
        <f aca="false">IF(I174=0,0,1)</f>
        <v>0</v>
      </c>
      <c r="AI174" s="0" t="n">
        <f aca="false">IF(J174=0,0,1)</f>
        <v>0</v>
      </c>
      <c r="AJ174" s="0" t="n">
        <f aca="false">IF(K174=0,0,1)</f>
        <v>0</v>
      </c>
      <c r="AK174" s="0" t="n">
        <f aca="false">IF(L174=0,0,1)</f>
        <v>0</v>
      </c>
      <c r="AL174" s="0" t="n">
        <f aca="false">IF(M174=0,0,1)</f>
        <v>0</v>
      </c>
      <c r="AM174" s="0" t="n">
        <f aca="false">IF(N174=0,0,1)</f>
        <v>0</v>
      </c>
      <c r="AN174" s="0" t="n">
        <f aca="false">IF(O174=0,0,1)</f>
        <v>0</v>
      </c>
      <c r="AO174" s="0" t="n">
        <f aca="false">IF(P174=0,0,1)</f>
        <v>0</v>
      </c>
      <c r="AP174" s="0" t="n">
        <f aca="false">IF(Q174=0,0,1)</f>
        <v>0</v>
      </c>
      <c r="AQ174" s="0" t="n">
        <f aca="false">IF(R174=0,0,1)</f>
        <v>0</v>
      </c>
      <c r="AR174" s="0" t="n">
        <f aca="false">IF(S174=0,0,1)</f>
        <v>0</v>
      </c>
      <c r="AS174" s="0" t="n">
        <f aca="false">IF(T174=0,0,1)</f>
        <v>0</v>
      </c>
      <c r="AT174" s="0" t="n">
        <f aca="false">IF(U174=0,0,1)</f>
        <v>0</v>
      </c>
      <c r="AU174" s="0" t="n">
        <f aca="false">IF(V174=0,0,1)</f>
        <v>0</v>
      </c>
      <c r="AV174" s="0" t="n">
        <f aca="false">IF(W174=0,0,1)</f>
        <v>0</v>
      </c>
      <c r="AW174" s="26" t="n">
        <f aca="false">SUM(AA174:AV174)</f>
        <v>0</v>
      </c>
      <c r="AX174" s="27" t="n">
        <f aca="false">IF(X174=0,0,X174)</f>
        <v>0</v>
      </c>
      <c r="AY174" s="1" t="n">
        <f aca="false">IF(X174=0,0,A174)</f>
        <v>0</v>
      </c>
      <c r="AZ174" s="28" t="n">
        <f aca="false">IF(AX174=0,0,A$172)</f>
        <v>0</v>
      </c>
      <c r="BA174" s="55"/>
      <c r="BB174" s="30"/>
      <c r="BC174" s="56"/>
      <c r="BD174" s="27"/>
      <c r="BE174" s="26"/>
      <c r="BF174" s="32"/>
      <c r="BG174" s="33"/>
    </row>
    <row r="175" customFormat="false" ht="15" hidden="false" customHeight="false" outlineLevel="0" collapsed="false">
      <c r="A175" s="21" t="n">
        <f aca="false">B!$E$114</f>
        <v>0</v>
      </c>
      <c r="B175" s="22" t="n">
        <f aca="false">C!G33</f>
        <v>0</v>
      </c>
      <c r="C175" s="22" t="n">
        <f aca="false">D!G33</f>
        <v>0</v>
      </c>
      <c r="D175" s="22" t="n">
        <f aca="false">E!G33</f>
        <v>0</v>
      </c>
      <c r="E175" s="22" t="n">
        <f aca="false">F!G33</f>
        <v>0</v>
      </c>
      <c r="F175" s="22" t="n">
        <f aca="false">G!G33</f>
        <v>0</v>
      </c>
      <c r="G175" s="22" t="n">
        <f aca="false">H!G33</f>
        <v>0</v>
      </c>
      <c r="H175" s="22" t="n">
        <f aca="false">I!G33</f>
        <v>0</v>
      </c>
      <c r="I175" s="22" t="n">
        <f aca="false">J!G33</f>
        <v>0</v>
      </c>
      <c r="J175" s="22" t="n">
        <f aca="false">K!G33</f>
        <v>0</v>
      </c>
      <c r="K175" s="22" t="n">
        <f aca="false">L!G33</f>
        <v>0</v>
      </c>
      <c r="L175" s="22" t="n">
        <f aca="false">M!G33</f>
        <v>0</v>
      </c>
      <c r="M175" s="22" t="n">
        <f aca="false">N!G33</f>
        <v>0</v>
      </c>
      <c r="N175" s="22" t="n">
        <f aca="false">O!G33</f>
        <v>0</v>
      </c>
      <c r="O175" s="22" t="n">
        <f aca="false">P!G33</f>
        <v>0</v>
      </c>
      <c r="P175" s="22" t="n">
        <f aca="false">Q!G33</f>
        <v>0</v>
      </c>
      <c r="Q175" s="22" t="n">
        <f aca="false">R!G33</f>
        <v>0</v>
      </c>
      <c r="R175" s="22" t="n">
        <f aca="false">S!G33</f>
        <v>0</v>
      </c>
      <c r="S175" s="22" t="n">
        <f aca="false">T!G33</f>
        <v>0</v>
      </c>
      <c r="T175" s="22" t="n">
        <f aca="false">U!G33</f>
        <v>0</v>
      </c>
      <c r="U175" s="22" t="n">
        <f aca="false">V!G33</f>
        <v>0</v>
      </c>
      <c r="V175" s="22" t="n">
        <f aca="false">W!G33</f>
        <v>0</v>
      </c>
      <c r="W175" s="22" t="n">
        <f aca="false">X!G33</f>
        <v>0</v>
      </c>
      <c r="X175" s="23" t="n">
        <f aca="false">SUM(B175:W175)</f>
        <v>0</v>
      </c>
      <c r="Y175" s="24" t="n">
        <f aca="false">IF(AW175=0,0,X175/AW175)</f>
        <v>0</v>
      </c>
      <c r="Z175" s="25" t="n">
        <f aca="false">A175</f>
        <v>0</v>
      </c>
      <c r="AA175" s="16" t="n">
        <f aca="false">IF(B175=0,0,1)</f>
        <v>0</v>
      </c>
      <c r="AB175" s="0" t="n">
        <f aca="false">IF(C175=0,0,1)</f>
        <v>0</v>
      </c>
      <c r="AC175" s="0" t="n">
        <f aca="false">IF(D175=0,0,1)</f>
        <v>0</v>
      </c>
      <c r="AD175" s="0" t="n">
        <f aca="false">IF(E175=0,0,1)</f>
        <v>0</v>
      </c>
      <c r="AE175" s="0" t="n">
        <f aca="false">IF(F175=0,0,1)</f>
        <v>0</v>
      </c>
      <c r="AF175" s="0" t="n">
        <f aca="false">IF(G175=0,0,1)</f>
        <v>0</v>
      </c>
      <c r="AG175" s="0" t="n">
        <f aca="false">IF(H175=0,0,1)</f>
        <v>0</v>
      </c>
      <c r="AH175" s="0" t="n">
        <f aca="false">IF(I175=0,0,1)</f>
        <v>0</v>
      </c>
      <c r="AI175" s="0" t="n">
        <f aca="false">IF(J175=0,0,1)</f>
        <v>0</v>
      </c>
      <c r="AJ175" s="0" t="n">
        <f aca="false">IF(K175=0,0,1)</f>
        <v>0</v>
      </c>
      <c r="AK175" s="0" t="n">
        <f aca="false">IF(L175=0,0,1)</f>
        <v>0</v>
      </c>
      <c r="AL175" s="0" t="n">
        <f aca="false">IF(M175=0,0,1)</f>
        <v>0</v>
      </c>
      <c r="AM175" s="0" t="n">
        <f aca="false">IF(N175=0,0,1)</f>
        <v>0</v>
      </c>
      <c r="AN175" s="0" t="n">
        <f aca="false">IF(O175=0,0,1)</f>
        <v>0</v>
      </c>
      <c r="AO175" s="0" t="n">
        <f aca="false">IF(P175=0,0,1)</f>
        <v>0</v>
      </c>
      <c r="AP175" s="0" t="n">
        <f aca="false">IF(Q175=0,0,1)</f>
        <v>0</v>
      </c>
      <c r="AQ175" s="0" t="n">
        <f aca="false">IF(R175=0,0,1)</f>
        <v>0</v>
      </c>
      <c r="AR175" s="0" t="n">
        <f aca="false">IF(S175=0,0,1)</f>
        <v>0</v>
      </c>
      <c r="AS175" s="0" t="n">
        <f aca="false">IF(T175=0,0,1)</f>
        <v>0</v>
      </c>
      <c r="AT175" s="0" t="n">
        <f aca="false">IF(U175=0,0,1)</f>
        <v>0</v>
      </c>
      <c r="AU175" s="0" t="n">
        <f aca="false">IF(V175=0,0,1)</f>
        <v>0</v>
      </c>
      <c r="AV175" s="0" t="n">
        <f aca="false">IF(W175=0,0,1)</f>
        <v>0</v>
      </c>
      <c r="AW175" s="26" t="n">
        <f aca="false">SUM(AA175:AV175)</f>
        <v>0</v>
      </c>
      <c r="AX175" s="27" t="n">
        <f aca="false">IF(X175=0,0,X175)</f>
        <v>0</v>
      </c>
      <c r="AY175" s="1" t="n">
        <f aca="false">IF(X175=0,0,A175)</f>
        <v>0</v>
      </c>
      <c r="AZ175" s="28" t="n">
        <f aca="false">IF(AX175=0,0,A$172)</f>
        <v>0</v>
      </c>
      <c r="BA175" s="55"/>
      <c r="BB175" s="30"/>
      <c r="BC175" s="56"/>
      <c r="BD175" s="27"/>
      <c r="BE175" s="26"/>
      <c r="BF175" s="32"/>
      <c r="BG175" s="33"/>
    </row>
    <row r="176" customFormat="false" ht="15" hidden="false" customHeight="false" outlineLevel="0" collapsed="false">
      <c r="A176" s="21" t="n">
        <f aca="false">B!$E$119</f>
        <v>0</v>
      </c>
      <c r="B176" s="22" t="n">
        <f aca="false">C!G34</f>
        <v>0</v>
      </c>
      <c r="C176" s="22" t="n">
        <f aca="false">D!G34</f>
        <v>0</v>
      </c>
      <c r="D176" s="22" t="n">
        <f aca="false">E!G34</f>
        <v>0</v>
      </c>
      <c r="E176" s="22" t="n">
        <f aca="false">F!G34</f>
        <v>0</v>
      </c>
      <c r="F176" s="22" t="n">
        <f aca="false">G!G34</f>
        <v>0</v>
      </c>
      <c r="G176" s="22" t="n">
        <f aca="false">H!G34</f>
        <v>0</v>
      </c>
      <c r="H176" s="22" t="n">
        <f aca="false">I!G34</f>
        <v>0</v>
      </c>
      <c r="I176" s="22" t="n">
        <f aca="false">J!G34</f>
        <v>0</v>
      </c>
      <c r="J176" s="22" t="n">
        <f aca="false">K!G34</f>
        <v>0</v>
      </c>
      <c r="K176" s="22" t="n">
        <f aca="false">L!G34</f>
        <v>0</v>
      </c>
      <c r="L176" s="22" t="n">
        <f aca="false">M!G34</f>
        <v>0</v>
      </c>
      <c r="M176" s="22" t="n">
        <f aca="false">N!G34</f>
        <v>0</v>
      </c>
      <c r="N176" s="22" t="n">
        <f aca="false">O!G34</f>
        <v>0</v>
      </c>
      <c r="O176" s="22" t="n">
        <f aca="false">P!G34</f>
        <v>0</v>
      </c>
      <c r="P176" s="22" t="n">
        <f aca="false">Q!G34</f>
        <v>0</v>
      </c>
      <c r="Q176" s="22" t="n">
        <f aca="false">R!G34</f>
        <v>0</v>
      </c>
      <c r="R176" s="22" t="n">
        <f aca="false">S!G34</f>
        <v>0</v>
      </c>
      <c r="S176" s="22" t="n">
        <f aca="false">T!G34</f>
        <v>0</v>
      </c>
      <c r="T176" s="22" t="n">
        <f aca="false">U!G34</f>
        <v>0</v>
      </c>
      <c r="U176" s="22" t="n">
        <f aca="false">V!G34</f>
        <v>0</v>
      </c>
      <c r="V176" s="22" t="n">
        <f aca="false">W!G34</f>
        <v>0</v>
      </c>
      <c r="W176" s="22" t="n">
        <f aca="false">X!G34</f>
        <v>0</v>
      </c>
      <c r="X176" s="23" t="n">
        <f aca="false">SUM(B176:W176)</f>
        <v>0</v>
      </c>
      <c r="Y176" s="24" t="n">
        <f aca="false">IF(AW176=0,0,X176/AW176)</f>
        <v>0</v>
      </c>
      <c r="Z176" s="25" t="n">
        <f aca="false">A176</f>
        <v>0</v>
      </c>
      <c r="AA176" s="16" t="n">
        <f aca="false">IF(B176=0,0,1)</f>
        <v>0</v>
      </c>
      <c r="AB176" s="0" t="n">
        <f aca="false">IF(C176=0,0,1)</f>
        <v>0</v>
      </c>
      <c r="AC176" s="0" t="n">
        <f aca="false">IF(D176=0,0,1)</f>
        <v>0</v>
      </c>
      <c r="AD176" s="0" t="n">
        <f aca="false">IF(E176=0,0,1)</f>
        <v>0</v>
      </c>
      <c r="AE176" s="0" t="n">
        <f aca="false">IF(F176=0,0,1)</f>
        <v>0</v>
      </c>
      <c r="AF176" s="0" t="n">
        <f aca="false">IF(G176=0,0,1)</f>
        <v>0</v>
      </c>
      <c r="AG176" s="0" t="n">
        <f aca="false">IF(H176=0,0,1)</f>
        <v>0</v>
      </c>
      <c r="AH176" s="0" t="n">
        <f aca="false">IF(I176=0,0,1)</f>
        <v>0</v>
      </c>
      <c r="AI176" s="0" t="n">
        <f aca="false">IF(J176=0,0,1)</f>
        <v>0</v>
      </c>
      <c r="AJ176" s="0" t="n">
        <f aca="false">IF(K176=0,0,1)</f>
        <v>0</v>
      </c>
      <c r="AK176" s="0" t="n">
        <f aca="false">IF(L176=0,0,1)</f>
        <v>0</v>
      </c>
      <c r="AL176" s="0" t="n">
        <f aca="false">IF(M176=0,0,1)</f>
        <v>0</v>
      </c>
      <c r="AM176" s="0" t="n">
        <f aca="false">IF(N176=0,0,1)</f>
        <v>0</v>
      </c>
      <c r="AN176" s="0" t="n">
        <f aca="false">IF(O176=0,0,1)</f>
        <v>0</v>
      </c>
      <c r="AO176" s="0" t="n">
        <f aca="false">IF(P176=0,0,1)</f>
        <v>0</v>
      </c>
      <c r="AP176" s="0" t="n">
        <f aca="false">IF(Q176=0,0,1)</f>
        <v>0</v>
      </c>
      <c r="AQ176" s="0" t="n">
        <f aca="false">IF(R176=0,0,1)</f>
        <v>0</v>
      </c>
      <c r="AR176" s="0" t="n">
        <f aca="false">IF(S176=0,0,1)</f>
        <v>0</v>
      </c>
      <c r="AS176" s="0" t="n">
        <f aca="false">IF(T176=0,0,1)</f>
        <v>0</v>
      </c>
      <c r="AT176" s="0" t="n">
        <f aca="false">IF(U176=0,0,1)</f>
        <v>0</v>
      </c>
      <c r="AU176" s="0" t="n">
        <f aca="false">IF(V176=0,0,1)</f>
        <v>0</v>
      </c>
      <c r="AV176" s="0" t="n">
        <f aca="false">IF(W176=0,0,1)</f>
        <v>0</v>
      </c>
      <c r="AW176" s="26" t="n">
        <f aca="false">SUM(AA176:AV176)</f>
        <v>0</v>
      </c>
      <c r="AX176" s="27" t="n">
        <f aca="false">IF(X176=0,0,X176)</f>
        <v>0</v>
      </c>
      <c r="AY176" s="1" t="n">
        <f aca="false">IF(X176=0,0,A176)</f>
        <v>0</v>
      </c>
      <c r="AZ176" s="28" t="n">
        <f aca="false">IF(AX176=0,0,A$172)</f>
        <v>0</v>
      </c>
      <c r="BA176" s="55"/>
      <c r="BB176" s="30"/>
      <c r="BC176" s="56"/>
      <c r="BD176" s="27"/>
      <c r="BE176" s="26"/>
      <c r="BF176" s="32"/>
      <c r="BG176" s="33"/>
    </row>
    <row r="177" customFormat="false" ht="15" hidden="false" customHeight="false" outlineLevel="0" collapsed="false">
      <c r="A177" s="21" t="n">
        <f aca="false">B!$E$124</f>
        <v>0</v>
      </c>
      <c r="B177" s="22" t="n">
        <f aca="false">C!G35</f>
        <v>0</v>
      </c>
      <c r="C177" s="22" t="n">
        <f aca="false">D!G35</f>
        <v>0</v>
      </c>
      <c r="D177" s="22" t="n">
        <f aca="false">E!G35</f>
        <v>0</v>
      </c>
      <c r="E177" s="22" t="n">
        <f aca="false">F!G35</f>
        <v>0</v>
      </c>
      <c r="F177" s="22" t="n">
        <f aca="false">G!G35</f>
        <v>0</v>
      </c>
      <c r="G177" s="22" t="n">
        <f aca="false">H!G35</f>
        <v>0</v>
      </c>
      <c r="H177" s="22" t="n">
        <f aca="false">I!G35</f>
        <v>0</v>
      </c>
      <c r="I177" s="22" t="n">
        <f aca="false">J!G35</f>
        <v>0</v>
      </c>
      <c r="J177" s="22" t="n">
        <f aca="false">K!G35</f>
        <v>0</v>
      </c>
      <c r="K177" s="22" t="n">
        <f aca="false">L!G35</f>
        <v>0</v>
      </c>
      <c r="L177" s="22" t="n">
        <f aca="false">M!G35</f>
        <v>0</v>
      </c>
      <c r="M177" s="22" t="n">
        <f aca="false">N!G35</f>
        <v>0</v>
      </c>
      <c r="N177" s="22" t="n">
        <f aca="false">O!G35</f>
        <v>0</v>
      </c>
      <c r="O177" s="22" t="n">
        <f aca="false">P!G35</f>
        <v>0</v>
      </c>
      <c r="P177" s="22" t="n">
        <f aca="false">Q!G35</f>
        <v>0</v>
      </c>
      <c r="Q177" s="22" t="n">
        <f aca="false">R!G35</f>
        <v>0</v>
      </c>
      <c r="R177" s="22" t="n">
        <f aca="false">S!G35</f>
        <v>0</v>
      </c>
      <c r="S177" s="22" t="n">
        <f aca="false">T!G35</f>
        <v>0</v>
      </c>
      <c r="T177" s="22" t="n">
        <f aca="false">U!G35</f>
        <v>0</v>
      </c>
      <c r="U177" s="22" t="n">
        <f aca="false">V!G35</f>
        <v>0</v>
      </c>
      <c r="V177" s="22" t="n">
        <f aca="false">W!G35</f>
        <v>0</v>
      </c>
      <c r="W177" s="22" t="n">
        <f aca="false">X!G35</f>
        <v>0</v>
      </c>
      <c r="X177" s="23" t="n">
        <f aca="false">SUM(B177:W177)</f>
        <v>0</v>
      </c>
      <c r="Y177" s="24" t="n">
        <f aca="false">IF(AW177=0,0,X177/AW177)</f>
        <v>0</v>
      </c>
      <c r="Z177" s="25" t="n">
        <f aca="false">A177</f>
        <v>0</v>
      </c>
      <c r="AA177" s="16" t="n">
        <f aca="false">IF(B177=0,0,1)</f>
        <v>0</v>
      </c>
      <c r="AB177" s="0" t="n">
        <f aca="false">IF(C177=0,0,1)</f>
        <v>0</v>
      </c>
      <c r="AC177" s="0" t="n">
        <f aca="false">IF(D177=0,0,1)</f>
        <v>0</v>
      </c>
      <c r="AD177" s="0" t="n">
        <f aca="false">IF(E177=0,0,1)</f>
        <v>0</v>
      </c>
      <c r="AE177" s="0" t="n">
        <f aca="false">IF(F177=0,0,1)</f>
        <v>0</v>
      </c>
      <c r="AF177" s="0" t="n">
        <f aca="false">IF(G177=0,0,1)</f>
        <v>0</v>
      </c>
      <c r="AG177" s="0" t="n">
        <f aca="false">IF(H177=0,0,1)</f>
        <v>0</v>
      </c>
      <c r="AH177" s="0" t="n">
        <f aca="false">IF(I177=0,0,1)</f>
        <v>0</v>
      </c>
      <c r="AI177" s="0" t="n">
        <f aca="false">IF(J177=0,0,1)</f>
        <v>0</v>
      </c>
      <c r="AJ177" s="0" t="n">
        <f aca="false">IF(K177=0,0,1)</f>
        <v>0</v>
      </c>
      <c r="AK177" s="0" t="n">
        <f aca="false">IF(L177=0,0,1)</f>
        <v>0</v>
      </c>
      <c r="AL177" s="0" t="n">
        <f aca="false">IF(M177=0,0,1)</f>
        <v>0</v>
      </c>
      <c r="AM177" s="0" t="n">
        <f aca="false">IF(N177=0,0,1)</f>
        <v>0</v>
      </c>
      <c r="AN177" s="0" t="n">
        <f aca="false">IF(O177=0,0,1)</f>
        <v>0</v>
      </c>
      <c r="AO177" s="0" t="n">
        <f aca="false">IF(P177=0,0,1)</f>
        <v>0</v>
      </c>
      <c r="AP177" s="0" t="n">
        <f aca="false">IF(Q177=0,0,1)</f>
        <v>0</v>
      </c>
      <c r="AQ177" s="0" t="n">
        <f aca="false">IF(R177=0,0,1)</f>
        <v>0</v>
      </c>
      <c r="AR177" s="0" t="n">
        <f aca="false">IF(S177=0,0,1)</f>
        <v>0</v>
      </c>
      <c r="AS177" s="0" t="n">
        <f aca="false">IF(T177=0,0,1)</f>
        <v>0</v>
      </c>
      <c r="AT177" s="0" t="n">
        <f aca="false">IF(U177=0,0,1)</f>
        <v>0</v>
      </c>
      <c r="AU177" s="0" t="n">
        <f aca="false">IF(V177=0,0,1)</f>
        <v>0</v>
      </c>
      <c r="AV177" s="0" t="n">
        <f aca="false">IF(W177=0,0,1)</f>
        <v>0</v>
      </c>
      <c r="AW177" s="26" t="n">
        <f aca="false">SUM(AA177:AV177)</f>
        <v>0</v>
      </c>
      <c r="AX177" s="27" t="n">
        <f aca="false">IF(X177=0,0,X177)</f>
        <v>0</v>
      </c>
      <c r="AY177" s="1" t="n">
        <f aca="false">IF(X177=0,0,A177)</f>
        <v>0</v>
      </c>
      <c r="AZ177" s="28" t="n">
        <f aca="false">IF(AX177=0,0,A$172)</f>
        <v>0</v>
      </c>
      <c r="BA177" s="55"/>
      <c r="BB177" s="30"/>
      <c r="BC177" s="56"/>
      <c r="BD177" s="27"/>
      <c r="BE177" s="26"/>
      <c r="BF177" s="32"/>
      <c r="BG177" s="33"/>
    </row>
    <row r="178" customFormat="false" ht="15" hidden="false" customHeight="false" outlineLevel="0" collapsed="false">
      <c r="A178" s="21" t="n">
        <f aca="false">B!$E$129</f>
        <v>0</v>
      </c>
      <c r="B178" s="22" t="n">
        <f aca="false">C!G36</f>
        <v>0</v>
      </c>
      <c r="C178" s="22" t="n">
        <f aca="false">D!G36</f>
        <v>0</v>
      </c>
      <c r="D178" s="22" t="n">
        <f aca="false">E!G36</f>
        <v>0</v>
      </c>
      <c r="E178" s="22" t="n">
        <f aca="false">F!G36</f>
        <v>0</v>
      </c>
      <c r="F178" s="22" t="n">
        <f aca="false">G!G36</f>
        <v>0</v>
      </c>
      <c r="G178" s="22" t="n">
        <f aca="false">H!G36</f>
        <v>0</v>
      </c>
      <c r="H178" s="22" t="n">
        <f aca="false">I!G36</f>
        <v>0</v>
      </c>
      <c r="I178" s="22" t="n">
        <f aca="false">J!G36</f>
        <v>0</v>
      </c>
      <c r="J178" s="22" t="n">
        <f aca="false">K!G36</f>
        <v>0</v>
      </c>
      <c r="K178" s="22" t="n">
        <f aca="false">L!G36</f>
        <v>0</v>
      </c>
      <c r="L178" s="22" t="n">
        <f aca="false">M!G36</f>
        <v>0</v>
      </c>
      <c r="M178" s="22" t="n">
        <f aca="false">N!G36</f>
        <v>0</v>
      </c>
      <c r="N178" s="22" t="n">
        <f aca="false">O!G36</f>
        <v>0</v>
      </c>
      <c r="O178" s="22" t="n">
        <f aca="false">P!G36</f>
        <v>0</v>
      </c>
      <c r="P178" s="22" t="n">
        <f aca="false">Q!G36</f>
        <v>0</v>
      </c>
      <c r="Q178" s="22" t="n">
        <f aca="false">R!G36</f>
        <v>0</v>
      </c>
      <c r="R178" s="22" t="n">
        <f aca="false">S!G36</f>
        <v>0</v>
      </c>
      <c r="S178" s="22" t="n">
        <f aca="false">T!G36</f>
        <v>0</v>
      </c>
      <c r="T178" s="22" t="n">
        <f aca="false">U!G36</f>
        <v>0</v>
      </c>
      <c r="U178" s="22" t="n">
        <f aca="false">V!G36</f>
        <v>0</v>
      </c>
      <c r="V178" s="22" t="n">
        <f aca="false">W!G36</f>
        <v>0</v>
      </c>
      <c r="W178" s="22" t="n">
        <f aca="false">X!G36</f>
        <v>0</v>
      </c>
      <c r="X178" s="23" t="n">
        <f aca="false">SUM(B178:W178)</f>
        <v>0</v>
      </c>
      <c r="Y178" s="24" t="n">
        <f aca="false">IF(AW178=0,0,X178/AW178)</f>
        <v>0</v>
      </c>
      <c r="Z178" s="25" t="n">
        <f aca="false">A178</f>
        <v>0</v>
      </c>
      <c r="AA178" s="16" t="n">
        <f aca="false">IF(B178=0,0,1)</f>
        <v>0</v>
      </c>
      <c r="AB178" s="0" t="n">
        <f aca="false">IF(C178=0,0,1)</f>
        <v>0</v>
      </c>
      <c r="AC178" s="0" t="n">
        <f aca="false">IF(D178=0,0,1)</f>
        <v>0</v>
      </c>
      <c r="AD178" s="0" t="n">
        <f aca="false">IF(E178=0,0,1)</f>
        <v>0</v>
      </c>
      <c r="AE178" s="0" t="n">
        <f aca="false">IF(F178=0,0,1)</f>
        <v>0</v>
      </c>
      <c r="AF178" s="0" t="n">
        <f aca="false">IF(G178=0,0,1)</f>
        <v>0</v>
      </c>
      <c r="AG178" s="0" t="n">
        <f aca="false">IF(H178=0,0,1)</f>
        <v>0</v>
      </c>
      <c r="AH178" s="0" t="n">
        <f aca="false">IF(I178=0,0,1)</f>
        <v>0</v>
      </c>
      <c r="AI178" s="0" t="n">
        <f aca="false">IF(J178=0,0,1)</f>
        <v>0</v>
      </c>
      <c r="AJ178" s="0" t="n">
        <f aca="false">IF(K178=0,0,1)</f>
        <v>0</v>
      </c>
      <c r="AK178" s="0" t="n">
        <f aca="false">IF(L178=0,0,1)</f>
        <v>0</v>
      </c>
      <c r="AL178" s="0" t="n">
        <f aca="false">IF(M178=0,0,1)</f>
        <v>0</v>
      </c>
      <c r="AM178" s="0" t="n">
        <f aca="false">IF(N178=0,0,1)</f>
        <v>0</v>
      </c>
      <c r="AN178" s="0" t="n">
        <f aca="false">IF(O178=0,0,1)</f>
        <v>0</v>
      </c>
      <c r="AO178" s="0" t="n">
        <f aca="false">IF(P178=0,0,1)</f>
        <v>0</v>
      </c>
      <c r="AP178" s="0" t="n">
        <f aca="false">IF(Q178=0,0,1)</f>
        <v>0</v>
      </c>
      <c r="AQ178" s="0" t="n">
        <f aca="false">IF(R178=0,0,1)</f>
        <v>0</v>
      </c>
      <c r="AR178" s="0" t="n">
        <f aca="false">IF(S178=0,0,1)</f>
        <v>0</v>
      </c>
      <c r="AS178" s="0" t="n">
        <f aca="false">IF(T178=0,0,1)</f>
        <v>0</v>
      </c>
      <c r="AT178" s="0" t="n">
        <f aca="false">IF(U178=0,0,1)</f>
        <v>0</v>
      </c>
      <c r="AU178" s="0" t="n">
        <f aca="false">IF(V178=0,0,1)</f>
        <v>0</v>
      </c>
      <c r="AV178" s="0" t="n">
        <f aca="false">IF(W178=0,0,1)</f>
        <v>0</v>
      </c>
      <c r="AW178" s="26" t="n">
        <f aca="false">SUM(AA178:AV178)</f>
        <v>0</v>
      </c>
      <c r="AX178" s="27" t="n">
        <f aca="false">IF(X178=0,0,X178)</f>
        <v>0</v>
      </c>
      <c r="AY178" s="1" t="n">
        <f aca="false">IF(X178=0,0,A178)</f>
        <v>0</v>
      </c>
      <c r="AZ178" s="28" t="n">
        <f aca="false">IF(AX178=0,0,A$172)</f>
        <v>0</v>
      </c>
      <c r="BA178" s="55"/>
      <c r="BB178" s="30"/>
      <c r="BC178" s="56"/>
      <c r="BD178" s="27"/>
      <c r="BE178" s="26"/>
      <c r="BF178" s="32"/>
      <c r="BG178" s="33"/>
    </row>
    <row r="179" customFormat="false" ht="15" hidden="false" customHeight="false" outlineLevel="0" collapsed="false">
      <c r="A179" s="21" t="n">
        <f aca="false">B!$E$134</f>
        <v>0</v>
      </c>
      <c r="B179" s="22" t="n">
        <f aca="false">C!G37</f>
        <v>0</v>
      </c>
      <c r="C179" s="22" t="n">
        <f aca="false">D!G37</f>
        <v>0</v>
      </c>
      <c r="D179" s="22" t="n">
        <f aca="false">E!G37</f>
        <v>0</v>
      </c>
      <c r="E179" s="22" t="n">
        <f aca="false">F!G37</f>
        <v>0</v>
      </c>
      <c r="F179" s="22" t="n">
        <f aca="false">G!G37</f>
        <v>0</v>
      </c>
      <c r="G179" s="22" t="n">
        <f aca="false">H!G37</f>
        <v>0</v>
      </c>
      <c r="H179" s="22" t="n">
        <f aca="false">I!G37</f>
        <v>0</v>
      </c>
      <c r="I179" s="22" t="n">
        <f aca="false">J!G37</f>
        <v>0</v>
      </c>
      <c r="J179" s="22" t="n">
        <f aca="false">K!G37</f>
        <v>0</v>
      </c>
      <c r="K179" s="22" t="n">
        <f aca="false">L!G37</f>
        <v>0</v>
      </c>
      <c r="L179" s="22" t="n">
        <f aca="false">M!G37</f>
        <v>0</v>
      </c>
      <c r="M179" s="22" t="n">
        <f aca="false">N!G37</f>
        <v>0</v>
      </c>
      <c r="N179" s="22" t="n">
        <f aca="false">O!G37</f>
        <v>0</v>
      </c>
      <c r="O179" s="22" t="n">
        <f aca="false">P!G37</f>
        <v>0</v>
      </c>
      <c r="P179" s="22" t="n">
        <f aca="false">Q!G37</f>
        <v>0</v>
      </c>
      <c r="Q179" s="22" t="n">
        <f aca="false">R!G37</f>
        <v>0</v>
      </c>
      <c r="R179" s="22" t="n">
        <f aca="false">S!G37</f>
        <v>0</v>
      </c>
      <c r="S179" s="22" t="n">
        <f aca="false">T!G37</f>
        <v>0</v>
      </c>
      <c r="T179" s="22" t="n">
        <f aca="false">U!G37</f>
        <v>0</v>
      </c>
      <c r="U179" s="22" t="n">
        <f aca="false">V!G37</f>
        <v>0</v>
      </c>
      <c r="V179" s="22" t="n">
        <f aca="false">W!G37</f>
        <v>0</v>
      </c>
      <c r="W179" s="22" t="n">
        <f aca="false">X!G37</f>
        <v>0</v>
      </c>
      <c r="X179" s="23" t="n">
        <f aca="false">SUM(B179:W179)</f>
        <v>0</v>
      </c>
      <c r="Y179" s="24" t="n">
        <f aca="false">IF(AW179=0,0,X179/AW179)</f>
        <v>0</v>
      </c>
      <c r="Z179" s="25" t="n">
        <f aca="false">A179</f>
        <v>0</v>
      </c>
      <c r="AA179" s="16" t="n">
        <f aca="false">IF(B179=0,0,1)</f>
        <v>0</v>
      </c>
      <c r="AB179" s="0" t="n">
        <f aca="false">IF(C179=0,0,1)</f>
        <v>0</v>
      </c>
      <c r="AC179" s="0" t="n">
        <f aca="false">IF(D179=0,0,1)</f>
        <v>0</v>
      </c>
      <c r="AD179" s="0" t="n">
        <f aca="false">IF(E179=0,0,1)</f>
        <v>0</v>
      </c>
      <c r="AE179" s="0" t="n">
        <f aca="false">IF(F179=0,0,1)</f>
        <v>0</v>
      </c>
      <c r="AF179" s="0" t="n">
        <f aca="false">IF(G179=0,0,1)</f>
        <v>0</v>
      </c>
      <c r="AG179" s="0" t="n">
        <f aca="false">IF(H179=0,0,1)</f>
        <v>0</v>
      </c>
      <c r="AH179" s="0" t="n">
        <f aca="false">IF(I179=0,0,1)</f>
        <v>0</v>
      </c>
      <c r="AI179" s="0" t="n">
        <f aca="false">IF(J179=0,0,1)</f>
        <v>0</v>
      </c>
      <c r="AJ179" s="0" t="n">
        <f aca="false">IF(K179=0,0,1)</f>
        <v>0</v>
      </c>
      <c r="AK179" s="0" t="n">
        <f aca="false">IF(L179=0,0,1)</f>
        <v>0</v>
      </c>
      <c r="AL179" s="0" t="n">
        <f aca="false">IF(M179=0,0,1)</f>
        <v>0</v>
      </c>
      <c r="AM179" s="0" t="n">
        <f aca="false">IF(N179=0,0,1)</f>
        <v>0</v>
      </c>
      <c r="AN179" s="0" t="n">
        <f aca="false">IF(O179=0,0,1)</f>
        <v>0</v>
      </c>
      <c r="AO179" s="0" t="n">
        <f aca="false">IF(P179=0,0,1)</f>
        <v>0</v>
      </c>
      <c r="AP179" s="0" t="n">
        <f aca="false">IF(Q179=0,0,1)</f>
        <v>0</v>
      </c>
      <c r="AQ179" s="0" t="n">
        <f aca="false">IF(R179=0,0,1)</f>
        <v>0</v>
      </c>
      <c r="AR179" s="0" t="n">
        <f aca="false">IF(S179=0,0,1)</f>
        <v>0</v>
      </c>
      <c r="AS179" s="0" t="n">
        <f aca="false">IF(T179=0,0,1)</f>
        <v>0</v>
      </c>
      <c r="AT179" s="0" t="n">
        <f aca="false">IF(U179=0,0,1)</f>
        <v>0</v>
      </c>
      <c r="AU179" s="0" t="n">
        <f aca="false">IF(V179=0,0,1)</f>
        <v>0</v>
      </c>
      <c r="AV179" s="0" t="n">
        <f aca="false">IF(W179=0,0,1)</f>
        <v>0</v>
      </c>
      <c r="AW179" s="26" t="n">
        <f aca="false">SUM(AA179:AV179)</f>
        <v>0</v>
      </c>
      <c r="AX179" s="27" t="n">
        <f aca="false">IF(X179=0,0,X179)</f>
        <v>0</v>
      </c>
      <c r="AY179" s="1" t="n">
        <f aca="false">IF(X179=0,0,A179)</f>
        <v>0</v>
      </c>
      <c r="AZ179" s="28" t="n">
        <f aca="false">IF(AX179=0,0,A$172)</f>
        <v>0</v>
      </c>
      <c r="BA179" s="55"/>
      <c r="BB179" s="30"/>
      <c r="BC179" s="56"/>
      <c r="BD179" s="27"/>
      <c r="BE179" s="26"/>
      <c r="BF179" s="32"/>
      <c r="BG179" s="33"/>
    </row>
    <row r="180" customFormat="false" ht="15" hidden="false" customHeight="false" outlineLevel="0" collapsed="false">
      <c r="A180" s="21" t="n">
        <f aca="false">B!$E$139</f>
        <v>0</v>
      </c>
      <c r="B180" s="22" t="n">
        <f aca="false">C!G38</f>
        <v>0</v>
      </c>
      <c r="C180" s="22" t="n">
        <f aca="false">D!G38</f>
        <v>0</v>
      </c>
      <c r="D180" s="22" t="n">
        <f aca="false">E!G38</f>
        <v>0</v>
      </c>
      <c r="E180" s="22" t="n">
        <f aca="false">F!G38</f>
        <v>0</v>
      </c>
      <c r="F180" s="22" t="n">
        <f aca="false">G!G38</f>
        <v>0</v>
      </c>
      <c r="G180" s="22" t="n">
        <f aca="false">H!G38</f>
        <v>0</v>
      </c>
      <c r="H180" s="22" t="n">
        <f aca="false">I!G38</f>
        <v>0</v>
      </c>
      <c r="I180" s="22" t="n">
        <f aca="false">J!G38</f>
        <v>0</v>
      </c>
      <c r="J180" s="22" t="n">
        <f aca="false">K!G38</f>
        <v>0</v>
      </c>
      <c r="K180" s="22" t="n">
        <f aca="false">L!G38</f>
        <v>0</v>
      </c>
      <c r="L180" s="22" t="n">
        <f aca="false">M!G38</f>
        <v>0</v>
      </c>
      <c r="M180" s="22" t="n">
        <f aca="false">N!G38</f>
        <v>0</v>
      </c>
      <c r="N180" s="22" t="n">
        <f aca="false">O!G38</f>
        <v>0</v>
      </c>
      <c r="O180" s="22" t="n">
        <f aca="false">P!G38</f>
        <v>0</v>
      </c>
      <c r="P180" s="22" t="n">
        <f aca="false">Q!G38</f>
        <v>0</v>
      </c>
      <c r="Q180" s="22" t="n">
        <f aca="false">R!G38</f>
        <v>0</v>
      </c>
      <c r="R180" s="22" t="n">
        <f aca="false">S!G38</f>
        <v>0</v>
      </c>
      <c r="S180" s="22" t="n">
        <f aca="false">T!G38</f>
        <v>0</v>
      </c>
      <c r="T180" s="22" t="n">
        <f aca="false">U!G38</f>
        <v>0</v>
      </c>
      <c r="U180" s="22" t="n">
        <f aca="false">V!G38</f>
        <v>0</v>
      </c>
      <c r="V180" s="22" t="n">
        <f aca="false">W!G38</f>
        <v>0</v>
      </c>
      <c r="W180" s="22" t="n">
        <f aca="false">X!G38</f>
        <v>0</v>
      </c>
      <c r="X180" s="23" t="n">
        <f aca="false">SUM(B180:W180)</f>
        <v>0</v>
      </c>
      <c r="Y180" s="24" t="n">
        <f aca="false">IF(AW180=0,0,X180/AW180)</f>
        <v>0</v>
      </c>
      <c r="Z180" s="25" t="n">
        <f aca="false">A180</f>
        <v>0</v>
      </c>
      <c r="AA180" s="16" t="n">
        <f aca="false">IF(B180=0,0,1)</f>
        <v>0</v>
      </c>
      <c r="AB180" s="0" t="n">
        <f aca="false">IF(C180=0,0,1)</f>
        <v>0</v>
      </c>
      <c r="AC180" s="0" t="n">
        <f aca="false">IF(D180=0,0,1)</f>
        <v>0</v>
      </c>
      <c r="AD180" s="0" t="n">
        <f aca="false">IF(E180=0,0,1)</f>
        <v>0</v>
      </c>
      <c r="AE180" s="0" t="n">
        <f aca="false">IF(F180=0,0,1)</f>
        <v>0</v>
      </c>
      <c r="AF180" s="0" t="n">
        <f aca="false">IF(G180=0,0,1)</f>
        <v>0</v>
      </c>
      <c r="AG180" s="0" t="n">
        <f aca="false">IF(H180=0,0,1)</f>
        <v>0</v>
      </c>
      <c r="AH180" s="0" t="n">
        <f aca="false">IF(I180=0,0,1)</f>
        <v>0</v>
      </c>
      <c r="AI180" s="0" t="n">
        <f aca="false">IF(J180=0,0,1)</f>
        <v>0</v>
      </c>
      <c r="AJ180" s="0" t="n">
        <f aca="false">IF(K180=0,0,1)</f>
        <v>0</v>
      </c>
      <c r="AK180" s="0" t="n">
        <f aca="false">IF(L180=0,0,1)</f>
        <v>0</v>
      </c>
      <c r="AL180" s="0" t="n">
        <f aca="false">IF(M180=0,0,1)</f>
        <v>0</v>
      </c>
      <c r="AM180" s="0" t="n">
        <f aca="false">IF(N180=0,0,1)</f>
        <v>0</v>
      </c>
      <c r="AN180" s="0" t="n">
        <f aca="false">IF(O180=0,0,1)</f>
        <v>0</v>
      </c>
      <c r="AO180" s="0" t="n">
        <f aca="false">IF(P180=0,0,1)</f>
        <v>0</v>
      </c>
      <c r="AP180" s="0" t="n">
        <f aca="false">IF(Q180=0,0,1)</f>
        <v>0</v>
      </c>
      <c r="AQ180" s="0" t="n">
        <f aca="false">IF(R180=0,0,1)</f>
        <v>0</v>
      </c>
      <c r="AR180" s="0" t="n">
        <f aca="false">IF(S180=0,0,1)</f>
        <v>0</v>
      </c>
      <c r="AS180" s="0" t="n">
        <f aca="false">IF(T180=0,0,1)</f>
        <v>0</v>
      </c>
      <c r="AT180" s="0" t="n">
        <f aca="false">IF(U180=0,0,1)</f>
        <v>0</v>
      </c>
      <c r="AU180" s="0" t="n">
        <f aca="false">IF(V180=0,0,1)</f>
        <v>0</v>
      </c>
      <c r="AV180" s="0" t="n">
        <f aca="false">IF(W180=0,0,1)</f>
        <v>0</v>
      </c>
      <c r="AW180" s="26" t="n">
        <f aca="false">SUM(AA180:AV180)</f>
        <v>0</v>
      </c>
      <c r="AX180" s="27" t="n">
        <f aca="false">IF(X180=0,0,X180)</f>
        <v>0</v>
      </c>
      <c r="AY180" s="1" t="n">
        <f aca="false">IF(X180=0,0,A180)</f>
        <v>0</v>
      </c>
      <c r="AZ180" s="28" t="n">
        <f aca="false">IF(AX180=0,0,A$172)</f>
        <v>0</v>
      </c>
      <c r="BA180" s="55"/>
      <c r="BB180" s="30"/>
      <c r="BC180" s="56"/>
      <c r="BD180" s="27"/>
      <c r="BE180" s="26"/>
      <c r="BF180" s="32"/>
      <c r="BG180" s="33"/>
    </row>
    <row r="181" customFormat="false" ht="15" hidden="false" customHeight="false" outlineLevel="0" collapsed="false">
      <c r="A181" s="38" t="s">
        <v>60</v>
      </c>
      <c r="B181" s="39" t="n">
        <f aca="false">SUM(B173:B180)</f>
        <v>0</v>
      </c>
      <c r="C181" s="39" t="n">
        <f aca="false">SUM(C173:C180)</f>
        <v>0</v>
      </c>
      <c r="D181" s="39" t="n">
        <f aca="false">SUM(D173:D180)</f>
        <v>0</v>
      </c>
      <c r="E181" s="39" t="n">
        <f aca="false">SUM(E173:E180)</f>
        <v>0</v>
      </c>
      <c r="F181" s="39" t="n">
        <f aca="false">SUM(F173:F180)</f>
        <v>0</v>
      </c>
      <c r="G181" s="39" t="n">
        <f aca="false">SUM(G173:G180)</f>
        <v>0</v>
      </c>
      <c r="H181" s="39" t="n">
        <f aca="false">SUM(H173:H180)</f>
        <v>0</v>
      </c>
      <c r="I181" s="39" t="n">
        <f aca="false">SUM(I173:I180)</f>
        <v>0</v>
      </c>
      <c r="J181" s="39" t="n">
        <f aca="false">SUM(J173:J180)</f>
        <v>0</v>
      </c>
      <c r="K181" s="39" t="n">
        <f aca="false">SUM(K173:K180)</f>
        <v>0</v>
      </c>
      <c r="L181" s="39" t="n">
        <f aca="false">SUM(L173:L180)</f>
        <v>0</v>
      </c>
      <c r="M181" s="39" t="n">
        <f aca="false">SUM(M173:M180)</f>
        <v>0</v>
      </c>
      <c r="N181" s="39" t="n">
        <f aca="false">SUM(N173:N180)</f>
        <v>0</v>
      </c>
      <c r="O181" s="39" t="n">
        <f aca="false">SUM(O173:O180)</f>
        <v>0</v>
      </c>
      <c r="P181" s="39" t="n">
        <f aca="false">SUM(P173:P180)</f>
        <v>0</v>
      </c>
      <c r="Q181" s="39" t="n">
        <f aca="false">SUM(Q173:Q180)</f>
        <v>0</v>
      </c>
      <c r="R181" s="39" t="n">
        <f aca="false">SUM(R173:R180)</f>
        <v>0</v>
      </c>
      <c r="S181" s="39" t="n">
        <f aca="false">SUM(S173:S180)</f>
        <v>0</v>
      </c>
      <c r="T181" s="39" t="n">
        <f aca="false">SUM(T173:T180)</f>
        <v>0</v>
      </c>
      <c r="U181" s="39" t="n">
        <f aca="false">SUM(U173:U180)</f>
        <v>0</v>
      </c>
      <c r="V181" s="39" t="n">
        <f aca="false">SUM(V173:V180)</f>
        <v>0</v>
      </c>
      <c r="W181" s="39" t="n">
        <f aca="false">SUM(W173:W180)</f>
        <v>0</v>
      </c>
      <c r="X181" s="40" t="n">
        <f aca="false">SUM(B181:W181)</f>
        <v>0</v>
      </c>
      <c r="Y181" s="41" t="n">
        <f aca="false">IF(X181=0,0,X181/AW181)</f>
        <v>0</v>
      </c>
      <c r="Z181" s="25"/>
      <c r="AA181" s="42" t="n">
        <f aca="false">SUM(AA173:AA180)</f>
        <v>0</v>
      </c>
      <c r="AB181" s="43" t="n">
        <f aca="false">SUM(AB173:AB180)</f>
        <v>0</v>
      </c>
      <c r="AC181" s="43" t="n">
        <f aca="false">SUM(AC173:AC180)</f>
        <v>0</v>
      </c>
      <c r="AD181" s="43" t="n">
        <f aca="false">SUM(AD173:AD180)</f>
        <v>0</v>
      </c>
      <c r="AE181" s="43" t="n">
        <f aca="false">SUM(AE173:AE180)</f>
        <v>0</v>
      </c>
      <c r="AF181" s="43" t="n">
        <f aca="false">SUM(AF173:AF180)</f>
        <v>0</v>
      </c>
      <c r="AG181" s="43" t="n">
        <f aca="false">SUM(AG173:AG180)</f>
        <v>0</v>
      </c>
      <c r="AH181" s="43" t="n">
        <f aca="false">SUM(AH173:AH180)</f>
        <v>0</v>
      </c>
      <c r="AI181" s="43" t="n">
        <f aca="false">SUM(AI173:AI180)</f>
        <v>0</v>
      </c>
      <c r="AJ181" s="43" t="n">
        <f aca="false">SUM(AJ173:AJ180)</f>
        <v>0</v>
      </c>
      <c r="AK181" s="43" t="n">
        <f aca="false">SUM(AK173:AK180)</f>
        <v>0</v>
      </c>
      <c r="AL181" s="43" t="n">
        <f aca="false">SUM(AL173:AL180)</f>
        <v>0</v>
      </c>
      <c r="AM181" s="43" t="n">
        <f aca="false">SUM(AM173:AM180)</f>
        <v>0</v>
      </c>
      <c r="AN181" s="43" t="n">
        <f aca="false">SUM(AN173:AN180)</f>
        <v>0</v>
      </c>
      <c r="AO181" s="43" t="n">
        <f aca="false">SUM(AO173:AO180)</f>
        <v>0</v>
      </c>
      <c r="AP181" s="43" t="n">
        <f aca="false">SUM(AP173:AP180)</f>
        <v>0</v>
      </c>
      <c r="AQ181" s="43" t="n">
        <f aca="false">SUM(AQ173:AQ180)</f>
        <v>0</v>
      </c>
      <c r="AR181" s="43" t="n">
        <f aca="false">SUM(AR173:AR180)</f>
        <v>0</v>
      </c>
      <c r="AS181" s="43" t="n">
        <f aca="false">SUM(AS173:AS180)</f>
        <v>0</v>
      </c>
      <c r="AT181" s="43" t="n">
        <f aca="false">SUM(AT173:AT180)</f>
        <v>0</v>
      </c>
      <c r="AU181" s="43" t="n">
        <f aca="false">SUM(AU173:AU180)</f>
        <v>0</v>
      </c>
      <c r="AV181" s="43" t="n">
        <f aca="false">SUM(AV173:AV180)</f>
        <v>0</v>
      </c>
      <c r="AW181" s="44" t="n">
        <f aca="false">MAXA(AW173:AW180)</f>
        <v>0</v>
      </c>
      <c r="AX181" s="27"/>
      <c r="AZ181" s="28"/>
      <c r="BA181" s="55"/>
      <c r="BB181" s="30"/>
      <c r="BC181" s="56"/>
      <c r="BD181" s="27"/>
      <c r="BE181" s="26"/>
      <c r="BF181" s="32"/>
      <c r="BG181" s="33"/>
    </row>
    <row r="182" customFormat="false" ht="15" hidden="false" customHeight="false" outlineLevel="0" collapsed="false">
      <c r="A182" s="54" t="s">
        <v>64</v>
      </c>
      <c r="B182" s="22" t="n">
        <f aca="false">C!G39</f>
        <v>0</v>
      </c>
      <c r="C182" s="22" t="n">
        <f aca="false">D!G39</f>
        <v>0</v>
      </c>
      <c r="D182" s="22" t="n">
        <f aca="false">E!G39</f>
        <v>0</v>
      </c>
      <c r="E182" s="22" t="n">
        <f aca="false">F!G39</f>
        <v>0</v>
      </c>
      <c r="F182" s="22" t="n">
        <f aca="false">G!G39</f>
        <v>0</v>
      </c>
      <c r="G182" s="22" t="n">
        <f aca="false">H!G39</f>
        <v>0</v>
      </c>
      <c r="H182" s="22" t="n">
        <f aca="false">I!G39</f>
        <v>0</v>
      </c>
      <c r="I182" s="22" t="n">
        <f aca="false">J!G39</f>
        <v>0</v>
      </c>
      <c r="J182" s="22" t="n">
        <f aca="false">K!G39</f>
        <v>0</v>
      </c>
      <c r="K182" s="22" t="n">
        <f aca="false">L!G39</f>
        <v>0</v>
      </c>
      <c r="L182" s="22" t="n">
        <f aca="false">M!G39</f>
        <v>0</v>
      </c>
      <c r="M182" s="22" t="n">
        <f aca="false">N!G39</f>
        <v>0</v>
      </c>
      <c r="N182" s="22" t="n">
        <f aca="false">O!G39</f>
        <v>0</v>
      </c>
      <c r="O182" s="22" t="n">
        <f aca="false">P!G39</f>
        <v>0</v>
      </c>
      <c r="P182" s="22" t="n">
        <f aca="false">Q!G39</f>
        <v>0</v>
      </c>
      <c r="Q182" s="22" t="n">
        <f aca="false">R!G39</f>
        <v>0</v>
      </c>
      <c r="R182" s="22" t="n">
        <f aca="false">S!G39</f>
        <v>0</v>
      </c>
      <c r="S182" s="22" t="n">
        <f aca="false">T!G39</f>
        <v>0</v>
      </c>
      <c r="T182" s="22" t="n">
        <f aca="false">U!G39</f>
        <v>0</v>
      </c>
      <c r="U182" s="22" t="n">
        <f aca="false">V!G39</f>
        <v>0</v>
      </c>
      <c r="V182" s="22" t="n">
        <f aca="false">W!G39</f>
        <v>0</v>
      </c>
      <c r="W182" s="22" t="n">
        <f aca="false">X!G39</f>
        <v>0</v>
      </c>
      <c r="X182" s="23" t="n">
        <f aca="false">SUM(B182:W182)</f>
        <v>0</v>
      </c>
      <c r="Y182" s="47"/>
      <c r="Z182" s="25"/>
      <c r="AA182" s="16"/>
      <c r="AW182" s="26"/>
      <c r="AX182" s="27"/>
      <c r="AZ182" s="28"/>
      <c r="BA182" s="55"/>
      <c r="BB182" s="30"/>
      <c r="BC182" s="56"/>
      <c r="BD182" s="27"/>
      <c r="BE182" s="26"/>
      <c r="BF182" s="32"/>
      <c r="BG182" s="33"/>
    </row>
    <row r="183" customFormat="false" ht="15" hidden="false" customHeight="false" outlineLevel="0" collapsed="false">
      <c r="A183" s="48" t="s">
        <v>68</v>
      </c>
      <c r="B183" s="49" t="n">
        <f aca="false">SUM(B181:B182)</f>
        <v>0</v>
      </c>
      <c r="C183" s="49" t="n">
        <f aca="false">SUM(C181:C182)</f>
        <v>0</v>
      </c>
      <c r="D183" s="49" t="n">
        <f aca="false">SUM(D181:D182)</f>
        <v>0</v>
      </c>
      <c r="E183" s="49" t="n">
        <f aca="false">SUM(E181:E182)</f>
        <v>0</v>
      </c>
      <c r="F183" s="49" t="n">
        <f aca="false">SUM(F181:F182)</f>
        <v>0</v>
      </c>
      <c r="G183" s="49" t="n">
        <f aca="false">SUM(G181:G182)</f>
        <v>0</v>
      </c>
      <c r="H183" s="49" t="n">
        <f aca="false">SUM(H181:H182)</f>
        <v>0</v>
      </c>
      <c r="I183" s="49" t="n">
        <f aca="false">SUM(I181:I182)</f>
        <v>0</v>
      </c>
      <c r="J183" s="49" t="n">
        <f aca="false">SUM(J181:J182)</f>
        <v>0</v>
      </c>
      <c r="K183" s="49" t="n">
        <f aca="false">SUM(K181:K182)</f>
        <v>0</v>
      </c>
      <c r="L183" s="49" t="n">
        <f aca="false">SUM(L181:L182)</f>
        <v>0</v>
      </c>
      <c r="M183" s="49" t="n">
        <f aca="false">SUM(M181:M182)</f>
        <v>0</v>
      </c>
      <c r="N183" s="49" t="n">
        <f aca="false">SUM(N181:N182)</f>
        <v>0</v>
      </c>
      <c r="O183" s="49" t="n">
        <f aca="false">SUM(O181:O182)</f>
        <v>0</v>
      </c>
      <c r="P183" s="49" t="n">
        <f aca="false">SUM(P181:P182)</f>
        <v>0</v>
      </c>
      <c r="Q183" s="49" t="n">
        <f aca="false">SUM(Q181:Q182)</f>
        <v>0</v>
      </c>
      <c r="R183" s="49" t="n">
        <f aca="false">SUM(R181:R182)</f>
        <v>0</v>
      </c>
      <c r="S183" s="49" t="n">
        <f aca="false">SUM(S181:S182)</f>
        <v>0</v>
      </c>
      <c r="T183" s="49" t="n">
        <f aca="false">SUM(T181:T182)</f>
        <v>0</v>
      </c>
      <c r="U183" s="49" t="n">
        <f aca="false">SUM(U181:U182)</f>
        <v>0</v>
      </c>
      <c r="V183" s="49" t="n">
        <f aca="false">SUM(V181:V182)</f>
        <v>0</v>
      </c>
      <c r="W183" s="49" t="n">
        <f aca="false">SUM(W181:W182)</f>
        <v>0</v>
      </c>
      <c r="X183" s="50" t="n">
        <f aca="false">SUM(B183:W183)</f>
        <v>0</v>
      </c>
      <c r="Y183" s="51"/>
      <c r="Z183" s="25"/>
      <c r="AA183" s="16"/>
      <c r="AW183" s="26"/>
      <c r="AX183" s="27"/>
      <c r="AZ183" s="28"/>
      <c r="BA183" s="55"/>
      <c r="BB183" s="30"/>
      <c r="BC183" s="56"/>
      <c r="BD183" s="27" t="n">
        <f aca="false">X183</f>
        <v>0</v>
      </c>
      <c r="BE183" s="26" t="n">
        <f aca="false">A172</f>
        <v>0</v>
      </c>
      <c r="BF183" s="32"/>
      <c r="BG183" s="33"/>
    </row>
    <row r="184" customFormat="false" ht="15" hidden="false" customHeight="false" outlineLevel="0" collapsed="false"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25"/>
      <c r="AA184" s="16"/>
      <c r="AW184" s="26"/>
      <c r="AX184" s="27"/>
      <c r="AZ184" s="28"/>
      <c r="BA184" s="55"/>
      <c r="BB184" s="30"/>
      <c r="BC184" s="56"/>
      <c r="BD184" s="27"/>
      <c r="BE184" s="26"/>
      <c r="BF184" s="32"/>
      <c r="BG184" s="33"/>
    </row>
    <row r="185" customFormat="false" ht="15" hidden="false" customHeight="false" outlineLevel="0" collapsed="false">
      <c r="A185" s="5" t="s">
        <v>136</v>
      </c>
      <c r="B185" s="6" t="s">
        <v>1</v>
      </c>
      <c r="C185" s="6" t="s">
        <v>2</v>
      </c>
      <c r="D185" s="6" t="s">
        <v>3</v>
      </c>
      <c r="E185" s="6" t="s">
        <v>4</v>
      </c>
      <c r="F185" s="6" t="s">
        <v>5</v>
      </c>
      <c r="G185" s="6" t="s">
        <v>6</v>
      </c>
      <c r="H185" s="6" t="s">
        <v>7</v>
      </c>
      <c r="I185" s="6" t="s">
        <v>8</v>
      </c>
      <c r="J185" s="6" t="s">
        <v>9</v>
      </c>
      <c r="K185" s="6" t="s">
        <v>10</v>
      </c>
      <c r="L185" s="6" t="s">
        <v>11</v>
      </c>
      <c r="M185" s="6" t="s">
        <v>12</v>
      </c>
      <c r="N185" s="6" t="s">
        <v>13</v>
      </c>
      <c r="O185" s="6" t="s">
        <v>14</v>
      </c>
      <c r="P185" s="6" t="s">
        <v>15</v>
      </c>
      <c r="Q185" s="6" t="s">
        <v>16</v>
      </c>
      <c r="R185" s="6" t="s">
        <v>17</v>
      </c>
      <c r="S185" s="6" t="s">
        <v>18</v>
      </c>
      <c r="T185" s="6" t="s">
        <v>19</v>
      </c>
      <c r="U185" s="6" t="s">
        <v>20</v>
      </c>
      <c r="V185" s="6" t="s">
        <v>21</v>
      </c>
      <c r="W185" s="6" t="s">
        <v>22</v>
      </c>
      <c r="X185" s="34"/>
      <c r="Y185" s="34"/>
      <c r="Z185" s="4" t="str">
        <f aca="false">A185</f>
        <v>Team #14 Name:</v>
      </c>
      <c r="AA185" s="16"/>
      <c r="AW185" s="26"/>
      <c r="AX185" s="27"/>
      <c r="AZ185" s="28"/>
      <c r="BA185" s="55"/>
      <c r="BB185" s="30"/>
      <c r="BC185" s="56"/>
      <c r="BD185" s="27"/>
      <c r="BE185" s="26"/>
      <c r="BF185" s="32"/>
      <c r="BG185" s="33"/>
    </row>
    <row r="186" customFormat="false" ht="15" hidden="false" customHeight="false" outlineLevel="0" collapsed="false">
      <c r="A186" s="11" t="n">
        <f aca="false">B!$E$145</f>
        <v>0</v>
      </c>
      <c r="B186" s="52" t="s">
        <v>28</v>
      </c>
      <c r="C186" s="52" t="s">
        <v>28</v>
      </c>
      <c r="D186" s="52" t="s">
        <v>28</v>
      </c>
      <c r="E186" s="52" t="s">
        <v>28</v>
      </c>
      <c r="F186" s="52" t="s">
        <v>28</v>
      </c>
      <c r="G186" s="52" t="s">
        <v>28</v>
      </c>
      <c r="H186" s="52" t="s">
        <v>28</v>
      </c>
      <c r="I186" s="52" t="s">
        <v>28</v>
      </c>
      <c r="J186" s="52" t="s">
        <v>28</v>
      </c>
      <c r="K186" s="52" t="s">
        <v>28</v>
      </c>
      <c r="L186" s="52" t="s">
        <v>28</v>
      </c>
      <c r="M186" s="52" t="s">
        <v>28</v>
      </c>
      <c r="N186" s="52" t="s">
        <v>28</v>
      </c>
      <c r="O186" s="52" t="s">
        <v>28</v>
      </c>
      <c r="P186" s="52" t="s">
        <v>28</v>
      </c>
      <c r="Q186" s="52" t="s">
        <v>28</v>
      </c>
      <c r="R186" s="52" t="s">
        <v>28</v>
      </c>
      <c r="S186" s="52" t="s">
        <v>28</v>
      </c>
      <c r="T186" s="52" t="s">
        <v>28</v>
      </c>
      <c r="U186" s="52" t="s">
        <v>28</v>
      </c>
      <c r="V186" s="52" t="s">
        <v>28</v>
      </c>
      <c r="W186" s="52" t="s">
        <v>28</v>
      </c>
      <c r="X186" s="13" t="s">
        <v>29</v>
      </c>
      <c r="Y186" s="14" t="s">
        <v>30</v>
      </c>
      <c r="Z186" s="15" t="n">
        <f aca="false">A186</f>
        <v>0</v>
      </c>
      <c r="AA186" s="16"/>
      <c r="AW186" s="17" t="s">
        <v>31</v>
      </c>
      <c r="AX186" s="27"/>
      <c r="AZ186" s="28"/>
      <c r="BA186" s="55"/>
      <c r="BB186" s="30"/>
      <c r="BC186" s="56"/>
      <c r="BD186" s="27"/>
      <c r="BE186" s="26"/>
      <c r="BF186" s="32"/>
      <c r="BG186" s="33"/>
    </row>
    <row r="187" customFormat="false" ht="15" hidden="false" customHeight="false" outlineLevel="0" collapsed="false">
      <c r="A187" s="21" t="n">
        <f aca="false">B!$E$147</f>
        <v>0</v>
      </c>
      <c r="B187" s="22" t="n">
        <f aca="false">C!G44</f>
        <v>0</v>
      </c>
      <c r="C187" s="22" t="n">
        <f aca="false">D!G44</f>
        <v>0</v>
      </c>
      <c r="D187" s="22" t="n">
        <f aca="false">E!G44</f>
        <v>0</v>
      </c>
      <c r="E187" s="22" t="n">
        <f aca="false">F!G44</f>
        <v>0</v>
      </c>
      <c r="F187" s="22" t="n">
        <f aca="false">G!G44</f>
        <v>0</v>
      </c>
      <c r="G187" s="22" t="n">
        <f aca="false">H!G44</f>
        <v>0</v>
      </c>
      <c r="H187" s="22" t="n">
        <f aca="false">I!G44</f>
        <v>0</v>
      </c>
      <c r="I187" s="22" t="n">
        <f aca="false">J!G44</f>
        <v>0</v>
      </c>
      <c r="J187" s="22" t="n">
        <f aca="false">K!G44</f>
        <v>0</v>
      </c>
      <c r="K187" s="22" t="n">
        <f aca="false">L!G44</f>
        <v>0</v>
      </c>
      <c r="L187" s="22" t="n">
        <f aca="false">M!G44</f>
        <v>0</v>
      </c>
      <c r="M187" s="22" t="n">
        <f aca="false">N!G44</f>
        <v>0</v>
      </c>
      <c r="N187" s="22" t="n">
        <f aca="false">O!G44</f>
        <v>0</v>
      </c>
      <c r="O187" s="22" t="n">
        <f aca="false">P!G44</f>
        <v>0</v>
      </c>
      <c r="P187" s="22" t="n">
        <f aca="false">Q!G44</f>
        <v>0</v>
      </c>
      <c r="Q187" s="22" t="n">
        <f aca="false">R!G44</f>
        <v>0</v>
      </c>
      <c r="R187" s="22" t="n">
        <f aca="false">S!G44</f>
        <v>0</v>
      </c>
      <c r="S187" s="22" t="n">
        <f aca="false">T!G44</f>
        <v>0</v>
      </c>
      <c r="T187" s="22" t="n">
        <f aca="false">U!G44</f>
        <v>0</v>
      </c>
      <c r="U187" s="22" t="n">
        <f aca="false">V!G44</f>
        <v>0</v>
      </c>
      <c r="V187" s="22" t="n">
        <f aca="false">W!G44</f>
        <v>0</v>
      </c>
      <c r="W187" s="22" t="n">
        <f aca="false">X!G44</f>
        <v>0</v>
      </c>
      <c r="X187" s="23" t="n">
        <f aca="false">SUM(B187:W187)</f>
        <v>0</v>
      </c>
      <c r="Y187" s="24" t="n">
        <f aca="false">IF(AW187=0,0,X187/AW187)</f>
        <v>0</v>
      </c>
      <c r="Z187" s="25" t="n">
        <f aca="false">A187</f>
        <v>0</v>
      </c>
      <c r="AA187" s="16" t="n">
        <f aca="false">IF(B187=0,0,1)</f>
        <v>0</v>
      </c>
      <c r="AB187" s="0" t="n">
        <f aca="false">IF(C187=0,0,1)</f>
        <v>0</v>
      </c>
      <c r="AC187" s="0" t="n">
        <f aca="false">IF(D187=0,0,1)</f>
        <v>0</v>
      </c>
      <c r="AD187" s="0" t="n">
        <f aca="false">IF(E187=0,0,1)</f>
        <v>0</v>
      </c>
      <c r="AE187" s="0" t="n">
        <f aca="false">IF(F187=0,0,1)</f>
        <v>0</v>
      </c>
      <c r="AF187" s="0" t="n">
        <f aca="false">IF(G187=0,0,1)</f>
        <v>0</v>
      </c>
      <c r="AG187" s="0" t="n">
        <f aca="false">IF(H187=0,0,1)</f>
        <v>0</v>
      </c>
      <c r="AH187" s="0" t="n">
        <f aca="false">IF(I187=0,0,1)</f>
        <v>0</v>
      </c>
      <c r="AI187" s="0" t="n">
        <f aca="false">IF(J187=0,0,1)</f>
        <v>0</v>
      </c>
      <c r="AJ187" s="0" t="n">
        <f aca="false">IF(K187=0,0,1)</f>
        <v>0</v>
      </c>
      <c r="AK187" s="0" t="n">
        <f aca="false">IF(L187=0,0,1)</f>
        <v>0</v>
      </c>
      <c r="AL187" s="0" t="n">
        <f aca="false">IF(M187=0,0,1)</f>
        <v>0</v>
      </c>
      <c r="AM187" s="0" t="n">
        <f aca="false">IF(N187=0,0,1)</f>
        <v>0</v>
      </c>
      <c r="AN187" s="0" t="n">
        <f aca="false">IF(O187=0,0,1)</f>
        <v>0</v>
      </c>
      <c r="AO187" s="0" t="n">
        <f aca="false">IF(P187=0,0,1)</f>
        <v>0</v>
      </c>
      <c r="AP187" s="0" t="n">
        <f aca="false">IF(Q187=0,0,1)</f>
        <v>0</v>
      </c>
      <c r="AQ187" s="0" t="n">
        <f aca="false">IF(R187=0,0,1)</f>
        <v>0</v>
      </c>
      <c r="AR187" s="0" t="n">
        <f aca="false">IF(S187=0,0,1)</f>
        <v>0</v>
      </c>
      <c r="AS187" s="0" t="n">
        <f aca="false">IF(T187=0,0,1)</f>
        <v>0</v>
      </c>
      <c r="AT187" s="0" t="n">
        <f aca="false">IF(U187=0,0,1)</f>
        <v>0</v>
      </c>
      <c r="AU187" s="0" t="n">
        <f aca="false">IF(V187=0,0,1)</f>
        <v>0</v>
      </c>
      <c r="AV187" s="0" t="n">
        <f aca="false">IF(W187=0,0,1)</f>
        <v>0</v>
      </c>
      <c r="AW187" s="26" t="n">
        <f aca="false">SUM(AA187:AV187)</f>
        <v>0</v>
      </c>
      <c r="AX187" s="27" t="n">
        <f aca="false">IF(X187=0,0,X187)</f>
        <v>0</v>
      </c>
      <c r="AY187" s="1" t="n">
        <f aca="false">IF(X187=0,0,A187)</f>
        <v>0</v>
      </c>
      <c r="AZ187" s="28" t="n">
        <f aca="false">IF(AX187=0,0,A$186)</f>
        <v>0</v>
      </c>
      <c r="BA187" s="55"/>
      <c r="BB187" s="30"/>
      <c r="BC187" s="56"/>
      <c r="BD187" s="27"/>
      <c r="BE187" s="26"/>
      <c r="BF187" s="32"/>
      <c r="BG187" s="33"/>
    </row>
    <row r="188" customFormat="false" ht="15" hidden="false" customHeight="false" outlineLevel="0" collapsed="false">
      <c r="A188" s="21" t="n">
        <f aca="false">B!$E$152</f>
        <v>0</v>
      </c>
      <c r="B188" s="22" t="n">
        <f aca="false">C!G45</f>
        <v>0</v>
      </c>
      <c r="C188" s="22" t="n">
        <f aca="false">D!G45</f>
        <v>0</v>
      </c>
      <c r="D188" s="22" t="n">
        <f aca="false">E!G45</f>
        <v>0</v>
      </c>
      <c r="E188" s="22" t="n">
        <f aca="false">F!G45</f>
        <v>0</v>
      </c>
      <c r="F188" s="22" t="n">
        <f aca="false">G!G45</f>
        <v>0</v>
      </c>
      <c r="G188" s="22" t="n">
        <f aca="false">H!G45</f>
        <v>0</v>
      </c>
      <c r="H188" s="22" t="n">
        <f aca="false">I!G45</f>
        <v>0</v>
      </c>
      <c r="I188" s="22" t="n">
        <f aca="false">J!G45</f>
        <v>0</v>
      </c>
      <c r="J188" s="22" t="n">
        <f aca="false">K!G45</f>
        <v>0</v>
      </c>
      <c r="K188" s="22" t="n">
        <f aca="false">L!G45</f>
        <v>0</v>
      </c>
      <c r="L188" s="22" t="n">
        <f aca="false">M!G45</f>
        <v>0</v>
      </c>
      <c r="M188" s="22" t="n">
        <f aca="false">N!G45</f>
        <v>0</v>
      </c>
      <c r="N188" s="22" t="n">
        <f aca="false">O!G45</f>
        <v>0</v>
      </c>
      <c r="O188" s="22" t="n">
        <f aca="false">P!G45</f>
        <v>0</v>
      </c>
      <c r="P188" s="22" t="n">
        <f aca="false">Q!G45</f>
        <v>0</v>
      </c>
      <c r="Q188" s="22" t="n">
        <f aca="false">R!G45</f>
        <v>0</v>
      </c>
      <c r="R188" s="22" t="n">
        <f aca="false">S!G45</f>
        <v>0</v>
      </c>
      <c r="S188" s="22" t="n">
        <f aca="false">T!G45</f>
        <v>0</v>
      </c>
      <c r="T188" s="22" t="n">
        <f aca="false">U!G45</f>
        <v>0</v>
      </c>
      <c r="U188" s="22" t="n">
        <f aca="false">V!G45</f>
        <v>0</v>
      </c>
      <c r="V188" s="22" t="n">
        <f aca="false">W!G45</f>
        <v>0</v>
      </c>
      <c r="W188" s="22" t="n">
        <f aca="false">X!G45</f>
        <v>0</v>
      </c>
      <c r="X188" s="23" t="n">
        <f aca="false">SUM(B188:W188)</f>
        <v>0</v>
      </c>
      <c r="Y188" s="24" t="n">
        <f aca="false">IF(AW188=0,0,X188/AW188)</f>
        <v>0</v>
      </c>
      <c r="Z188" s="25" t="n">
        <f aca="false">A188</f>
        <v>0</v>
      </c>
      <c r="AA188" s="16" t="n">
        <f aca="false">IF(B188=0,0,1)</f>
        <v>0</v>
      </c>
      <c r="AB188" s="0" t="n">
        <f aca="false">IF(C188=0,0,1)</f>
        <v>0</v>
      </c>
      <c r="AC188" s="0" t="n">
        <f aca="false">IF(D188=0,0,1)</f>
        <v>0</v>
      </c>
      <c r="AD188" s="0" t="n">
        <f aca="false">IF(E188=0,0,1)</f>
        <v>0</v>
      </c>
      <c r="AE188" s="0" t="n">
        <f aca="false">IF(F188=0,0,1)</f>
        <v>0</v>
      </c>
      <c r="AF188" s="0" t="n">
        <f aca="false">IF(G188=0,0,1)</f>
        <v>0</v>
      </c>
      <c r="AG188" s="0" t="n">
        <f aca="false">IF(H188=0,0,1)</f>
        <v>0</v>
      </c>
      <c r="AH188" s="0" t="n">
        <f aca="false">IF(I188=0,0,1)</f>
        <v>0</v>
      </c>
      <c r="AI188" s="0" t="n">
        <f aca="false">IF(J188=0,0,1)</f>
        <v>0</v>
      </c>
      <c r="AJ188" s="0" t="n">
        <f aca="false">IF(K188=0,0,1)</f>
        <v>0</v>
      </c>
      <c r="AK188" s="0" t="n">
        <f aca="false">IF(L188=0,0,1)</f>
        <v>0</v>
      </c>
      <c r="AL188" s="0" t="n">
        <f aca="false">IF(M188=0,0,1)</f>
        <v>0</v>
      </c>
      <c r="AM188" s="0" t="n">
        <f aca="false">IF(N188=0,0,1)</f>
        <v>0</v>
      </c>
      <c r="AN188" s="0" t="n">
        <f aca="false">IF(O188=0,0,1)</f>
        <v>0</v>
      </c>
      <c r="AO188" s="0" t="n">
        <f aca="false">IF(P188=0,0,1)</f>
        <v>0</v>
      </c>
      <c r="AP188" s="0" t="n">
        <f aca="false">IF(Q188=0,0,1)</f>
        <v>0</v>
      </c>
      <c r="AQ188" s="0" t="n">
        <f aca="false">IF(R188=0,0,1)</f>
        <v>0</v>
      </c>
      <c r="AR188" s="0" t="n">
        <f aca="false">IF(S188=0,0,1)</f>
        <v>0</v>
      </c>
      <c r="AS188" s="0" t="n">
        <f aca="false">IF(T188=0,0,1)</f>
        <v>0</v>
      </c>
      <c r="AT188" s="0" t="n">
        <f aca="false">IF(U188=0,0,1)</f>
        <v>0</v>
      </c>
      <c r="AU188" s="0" t="n">
        <f aca="false">IF(V188=0,0,1)</f>
        <v>0</v>
      </c>
      <c r="AV188" s="0" t="n">
        <f aca="false">IF(W188=0,0,1)</f>
        <v>0</v>
      </c>
      <c r="AW188" s="26" t="n">
        <f aca="false">SUM(AA188:AV188)</f>
        <v>0</v>
      </c>
      <c r="AX188" s="27" t="n">
        <f aca="false">IF(X188=0,0,X188)</f>
        <v>0</v>
      </c>
      <c r="AY188" s="1" t="n">
        <f aca="false">IF(X188=0,0,A188)</f>
        <v>0</v>
      </c>
      <c r="AZ188" s="28" t="n">
        <f aca="false">IF(AX188=0,0,A$186)</f>
        <v>0</v>
      </c>
      <c r="BA188" s="55"/>
      <c r="BB188" s="30"/>
      <c r="BC188" s="56"/>
      <c r="BD188" s="27"/>
      <c r="BE188" s="26"/>
      <c r="BF188" s="32"/>
      <c r="BG188" s="33"/>
    </row>
    <row r="189" customFormat="false" ht="15" hidden="false" customHeight="false" outlineLevel="0" collapsed="false">
      <c r="A189" s="21" t="n">
        <f aca="false">B!$E$157</f>
        <v>0</v>
      </c>
      <c r="B189" s="22" t="n">
        <f aca="false">C!G46</f>
        <v>0</v>
      </c>
      <c r="C189" s="22" t="n">
        <f aca="false">D!G46</f>
        <v>0</v>
      </c>
      <c r="D189" s="22" t="n">
        <f aca="false">E!G46</f>
        <v>0</v>
      </c>
      <c r="E189" s="22" t="n">
        <f aca="false">F!G46</f>
        <v>0</v>
      </c>
      <c r="F189" s="22" t="n">
        <f aca="false">G!G46</f>
        <v>0</v>
      </c>
      <c r="G189" s="22" t="n">
        <f aca="false">H!G46</f>
        <v>0</v>
      </c>
      <c r="H189" s="22" t="n">
        <f aca="false">I!G46</f>
        <v>0</v>
      </c>
      <c r="I189" s="22" t="n">
        <f aca="false">J!G46</f>
        <v>0</v>
      </c>
      <c r="J189" s="22" t="n">
        <f aca="false">K!G46</f>
        <v>0</v>
      </c>
      <c r="K189" s="22" t="n">
        <f aca="false">L!G46</f>
        <v>0</v>
      </c>
      <c r="L189" s="22" t="n">
        <f aca="false">M!G46</f>
        <v>0</v>
      </c>
      <c r="M189" s="22" t="n">
        <f aca="false">N!G46</f>
        <v>0</v>
      </c>
      <c r="N189" s="22" t="n">
        <f aca="false">O!G46</f>
        <v>0</v>
      </c>
      <c r="O189" s="22" t="n">
        <f aca="false">P!G46</f>
        <v>0</v>
      </c>
      <c r="P189" s="22" t="n">
        <f aca="false">Q!G46</f>
        <v>0</v>
      </c>
      <c r="Q189" s="22" t="n">
        <f aca="false">R!G46</f>
        <v>0</v>
      </c>
      <c r="R189" s="22" t="n">
        <f aca="false">S!G46</f>
        <v>0</v>
      </c>
      <c r="S189" s="22" t="n">
        <f aca="false">T!G46</f>
        <v>0</v>
      </c>
      <c r="T189" s="22" t="n">
        <f aca="false">U!G46</f>
        <v>0</v>
      </c>
      <c r="U189" s="22" t="n">
        <f aca="false">V!G46</f>
        <v>0</v>
      </c>
      <c r="V189" s="22" t="n">
        <f aca="false">W!G46</f>
        <v>0</v>
      </c>
      <c r="W189" s="22" t="n">
        <f aca="false">X!G46</f>
        <v>0</v>
      </c>
      <c r="X189" s="23" t="n">
        <f aca="false">SUM(B189:W189)</f>
        <v>0</v>
      </c>
      <c r="Y189" s="24" t="n">
        <f aca="false">IF(AW189=0,0,X189/AW189)</f>
        <v>0</v>
      </c>
      <c r="Z189" s="25" t="n">
        <f aca="false">A189</f>
        <v>0</v>
      </c>
      <c r="AA189" s="16" t="n">
        <f aca="false">IF(B189=0,0,1)</f>
        <v>0</v>
      </c>
      <c r="AB189" s="0" t="n">
        <f aca="false">IF(C189=0,0,1)</f>
        <v>0</v>
      </c>
      <c r="AC189" s="0" t="n">
        <f aca="false">IF(D189=0,0,1)</f>
        <v>0</v>
      </c>
      <c r="AD189" s="0" t="n">
        <f aca="false">IF(E189=0,0,1)</f>
        <v>0</v>
      </c>
      <c r="AE189" s="0" t="n">
        <f aca="false">IF(F189=0,0,1)</f>
        <v>0</v>
      </c>
      <c r="AF189" s="0" t="n">
        <f aca="false">IF(G189=0,0,1)</f>
        <v>0</v>
      </c>
      <c r="AG189" s="0" t="n">
        <f aca="false">IF(H189=0,0,1)</f>
        <v>0</v>
      </c>
      <c r="AH189" s="0" t="n">
        <f aca="false">IF(I189=0,0,1)</f>
        <v>0</v>
      </c>
      <c r="AI189" s="0" t="n">
        <f aca="false">IF(J189=0,0,1)</f>
        <v>0</v>
      </c>
      <c r="AJ189" s="0" t="n">
        <f aca="false">IF(K189=0,0,1)</f>
        <v>0</v>
      </c>
      <c r="AK189" s="0" t="n">
        <f aca="false">IF(L189=0,0,1)</f>
        <v>0</v>
      </c>
      <c r="AL189" s="0" t="n">
        <f aca="false">IF(M189=0,0,1)</f>
        <v>0</v>
      </c>
      <c r="AM189" s="0" t="n">
        <f aca="false">IF(N189=0,0,1)</f>
        <v>0</v>
      </c>
      <c r="AN189" s="0" t="n">
        <f aca="false">IF(O189=0,0,1)</f>
        <v>0</v>
      </c>
      <c r="AO189" s="0" t="n">
        <f aca="false">IF(P189=0,0,1)</f>
        <v>0</v>
      </c>
      <c r="AP189" s="0" t="n">
        <f aca="false">IF(Q189=0,0,1)</f>
        <v>0</v>
      </c>
      <c r="AQ189" s="0" t="n">
        <f aca="false">IF(R189=0,0,1)</f>
        <v>0</v>
      </c>
      <c r="AR189" s="0" t="n">
        <f aca="false">IF(S189=0,0,1)</f>
        <v>0</v>
      </c>
      <c r="AS189" s="0" t="n">
        <f aca="false">IF(T189=0,0,1)</f>
        <v>0</v>
      </c>
      <c r="AT189" s="0" t="n">
        <f aca="false">IF(U189=0,0,1)</f>
        <v>0</v>
      </c>
      <c r="AU189" s="0" t="n">
        <f aca="false">IF(V189=0,0,1)</f>
        <v>0</v>
      </c>
      <c r="AV189" s="0" t="n">
        <f aca="false">IF(W189=0,0,1)</f>
        <v>0</v>
      </c>
      <c r="AW189" s="26" t="n">
        <f aca="false">SUM(AA189:AV189)</f>
        <v>0</v>
      </c>
      <c r="AX189" s="27" t="n">
        <f aca="false">IF(X189=0,0,X189)</f>
        <v>0</v>
      </c>
      <c r="AY189" s="1" t="n">
        <f aca="false">IF(X189=0,0,A189)</f>
        <v>0</v>
      </c>
      <c r="AZ189" s="28" t="n">
        <f aca="false">IF(AX189=0,0,A$186)</f>
        <v>0</v>
      </c>
      <c r="BA189" s="55"/>
      <c r="BB189" s="30"/>
      <c r="BC189" s="56"/>
      <c r="BD189" s="27"/>
      <c r="BE189" s="26"/>
      <c r="BF189" s="32"/>
      <c r="BG189" s="33"/>
    </row>
    <row r="190" customFormat="false" ht="15" hidden="false" customHeight="false" outlineLevel="0" collapsed="false">
      <c r="A190" s="21" t="n">
        <f aca="false">B!$E$162</f>
        <v>0</v>
      </c>
      <c r="B190" s="22" t="n">
        <f aca="false">C!G47</f>
        <v>0</v>
      </c>
      <c r="C190" s="22" t="n">
        <f aca="false">D!G47</f>
        <v>0</v>
      </c>
      <c r="D190" s="22" t="n">
        <f aca="false">E!G47</f>
        <v>0</v>
      </c>
      <c r="E190" s="22" t="n">
        <f aca="false">F!G47</f>
        <v>0</v>
      </c>
      <c r="F190" s="22" t="n">
        <f aca="false">G!G47</f>
        <v>0</v>
      </c>
      <c r="G190" s="22" t="n">
        <f aca="false">H!G47</f>
        <v>0</v>
      </c>
      <c r="H190" s="22" t="n">
        <f aca="false">I!G47</f>
        <v>0</v>
      </c>
      <c r="I190" s="22" t="n">
        <f aca="false">J!G47</f>
        <v>0</v>
      </c>
      <c r="J190" s="22" t="n">
        <f aca="false">K!G47</f>
        <v>0</v>
      </c>
      <c r="K190" s="22" t="n">
        <f aca="false">L!G47</f>
        <v>0</v>
      </c>
      <c r="L190" s="22" t="n">
        <f aca="false">M!G47</f>
        <v>0</v>
      </c>
      <c r="M190" s="22" t="n">
        <f aca="false">N!G47</f>
        <v>0</v>
      </c>
      <c r="N190" s="22" t="n">
        <f aca="false">O!G47</f>
        <v>0</v>
      </c>
      <c r="O190" s="22" t="n">
        <f aca="false">P!G47</f>
        <v>0</v>
      </c>
      <c r="P190" s="22" t="n">
        <f aca="false">Q!G47</f>
        <v>0</v>
      </c>
      <c r="Q190" s="22" t="n">
        <f aca="false">R!G47</f>
        <v>0</v>
      </c>
      <c r="R190" s="22" t="n">
        <f aca="false">S!G47</f>
        <v>0</v>
      </c>
      <c r="S190" s="22" t="n">
        <f aca="false">T!G47</f>
        <v>0</v>
      </c>
      <c r="T190" s="22" t="n">
        <f aca="false">U!G47</f>
        <v>0</v>
      </c>
      <c r="U190" s="22" t="n">
        <f aca="false">V!G47</f>
        <v>0</v>
      </c>
      <c r="V190" s="22" t="n">
        <f aca="false">W!G47</f>
        <v>0</v>
      </c>
      <c r="W190" s="22" t="n">
        <f aca="false">X!G47</f>
        <v>0</v>
      </c>
      <c r="X190" s="23" t="n">
        <f aca="false">SUM(B190:W190)</f>
        <v>0</v>
      </c>
      <c r="Y190" s="24" t="n">
        <f aca="false">IF(AW190=0,0,X190/AW190)</f>
        <v>0</v>
      </c>
      <c r="Z190" s="25" t="n">
        <f aca="false">A190</f>
        <v>0</v>
      </c>
      <c r="AA190" s="16" t="n">
        <f aca="false">IF(B190=0,0,1)</f>
        <v>0</v>
      </c>
      <c r="AB190" s="0" t="n">
        <f aca="false">IF(C190=0,0,1)</f>
        <v>0</v>
      </c>
      <c r="AC190" s="0" t="n">
        <f aca="false">IF(D190=0,0,1)</f>
        <v>0</v>
      </c>
      <c r="AD190" s="0" t="n">
        <f aca="false">IF(E190=0,0,1)</f>
        <v>0</v>
      </c>
      <c r="AE190" s="0" t="n">
        <f aca="false">IF(F190=0,0,1)</f>
        <v>0</v>
      </c>
      <c r="AF190" s="0" t="n">
        <f aca="false">IF(G190=0,0,1)</f>
        <v>0</v>
      </c>
      <c r="AG190" s="0" t="n">
        <f aca="false">IF(H190=0,0,1)</f>
        <v>0</v>
      </c>
      <c r="AH190" s="0" t="n">
        <f aca="false">IF(I190=0,0,1)</f>
        <v>0</v>
      </c>
      <c r="AI190" s="0" t="n">
        <f aca="false">IF(J190=0,0,1)</f>
        <v>0</v>
      </c>
      <c r="AJ190" s="0" t="n">
        <f aca="false">IF(K190=0,0,1)</f>
        <v>0</v>
      </c>
      <c r="AK190" s="0" t="n">
        <f aca="false">IF(L190=0,0,1)</f>
        <v>0</v>
      </c>
      <c r="AL190" s="0" t="n">
        <f aca="false">IF(M190=0,0,1)</f>
        <v>0</v>
      </c>
      <c r="AM190" s="0" t="n">
        <f aca="false">IF(N190=0,0,1)</f>
        <v>0</v>
      </c>
      <c r="AN190" s="0" t="n">
        <f aca="false">IF(O190=0,0,1)</f>
        <v>0</v>
      </c>
      <c r="AO190" s="0" t="n">
        <f aca="false">IF(P190=0,0,1)</f>
        <v>0</v>
      </c>
      <c r="AP190" s="0" t="n">
        <f aca="false">IF(Q190=0,0,1)</f>
        <v>0</v>
      </c>
      <c r="AQ190" s="0" t="n">
        <f aca="false">IF(R190=0,0,1)</f>
        <v>0</v>
      </c>
      <c r="AR190" s="0" t="n">
        <f aca="false">IF(S190=0,0,1)</f>
        <v>0</v>
      </c>
      <c r="AS190" s="0" t="n">
        <f aca="false">IF(T190=0,0,1)</f>
        <v>0</v>
      </c>
      <c r="AT190" s="0" t="n">
        <f aca="false">IF(U190=0,0,1)</f>
        <v>0</v>
      </c>
      <c r="AU190" s="0" t="n">
        <f aca="false">IF(V190=0,0,1)</f>
        <v>0</v>
      </c>
      <c r="AV190" s="0" t="n">
        <f aca="false">IF(W190=0,0,1)</f>
        <v>0</v>
      </c>
      <c r="AW190" s="26" t="n">
        <f aca="false">SUM(AA190:AV190)</f>
        <v>0</v>
      </c>
      <c r="AX190" s="27" t="n">
        <f aca="false">IF(X190=0,0,X190)</f>
        <v>0</v>
      </c>
      <c r="AY190" s="1" t="n">
        <f aca="false">IF(X190=0,0,A190)</f>
        <v>0</v>
      </c>
      <c r="AZ190" s="28" t="n">
        <f aca="false">IF(AX190=0,0,A$186)</f>
        <v>0</v>
      </c>
      <c r="BA190" s="55"/>
      <c r="BB190" s="30"/>
      <c r="BC190" s="56"/>
      <c r="BD190" s="34"/>
      <c r="BE190" s="26"/>
      <c r="BF190" s="32"/>
      <c r="BG190" s="33"/>
    </row>
    <row r="191" customFormat="false" ht="15" hidden="false" customHeight="false" outlineLevel="0" collapsed="false">
      <c r="A191" s="21" t="n">
        <f aca="false">B!$E$167</f>
        <v>0</v>
      </c>
      <c r="B191" s="22" t="n">
        <f aca="false">C!G48</f>
        <v>0</v>
      </c>
      <c r="C191" s="22" t="n">
        <f aca="false">D!G48</f>
        <v>0</v>
      </c>
      <c r="D191" s="22" t="n">
        <f aca="false">E!G48</f>
        <v>0</v>
      </c>
      <c r="E191" s="22" t="n">
        <f aca="false">F!G48</f>
        <v>0</v>
      </c>
      <c r="F191" s="22" t="n">
        <f aca="false">G!G48</f>
        <v>0</v>
      </c>
      <c r="G191" s="22" t="n">
        <f aca="false">H!G48</f>
        <v>0</v>
      </c>
      <c r="H191" s="22" t="n">
        <f aca="false">I!G48</f>
        <v>0</v>
      </c>
      <c r="I191" s="22" t="n">
        <f aca="false">J!G48</f>
        <v>0</v>
      </c>
      <c r="J191" s="22" t="n">
        <f aca="false">K!G48</f>
        <v>0</v>
      </c>
      <c r="K191" s="22" t="n">
        <f aca="false">L!G48</f>
        <v>0</v>
      </c>
      <c r="L191" s="22" t="n">
        <f aca="false">M!G48</f>
        <v>0</v>
      </c>
      <c r="M191" s="22" t="n">
        <f aca="false">N!G48</f>
        <v>0</v>
      </c>
      <c r="N191" s="22" t="n">
        <f aca="false">O!G48</f>
        <v>0</v>
      </c>
      <c r="O191" s="22" t="n">
        <f aca="false">P!G48</f>
        <v>0</v>
      </c>
      <c r="P191" s="22" t="n">
        <f aca="false">Q!G48</f>
        <v>0</v>
      </c>
      <c r="Q191" s="22" t="n">
        <f aca="false">R!G48</f>
        <v>0</v>
      </c>
      <c r="R191" s="22" t="n">
        <f aca="false">S!G48</f>
        <v>0</v>
      </c>
      <c r="S191" s="22" t="n">
        <f aca="false">T!G48</f>
        <v>0</v>
      </c>
      <c r="T191" s="22" t="n">
        <f aca="false">U!G48</f>
        <v>0</v>
      </c>
      <c r="U191" s="22" t="n">
        <f aca="false">V!G48</f>
        <v>0</v>
      </c>
      <c r="V191" s="22" t="n">
        <f aca="false">W!G48</f>
        <v>0</v>
      </c>
      <c r="W191" s="22" t="n">
        <f aca="false">X!G48</f>
        <v>0</v>
      </c>
      <c r="X191" s="23" t="n">
        <f aca="false">SUM(B191:W191)</f>
        <v>0</v>
      </c>
      <c r="Y191" s="24" t="n">
        <f aca="false">IF(AW191=0,0,X191/AW191)</f>
        <v>0</v>
      </c>
      <c r="Z191" s="25" t="n">
        <f aca="false">A191</f>
        <v>0</v>
      </c>
      <c r="AA191" s="16" t="n">
        <f aca="false">IF(B191=0,0,1)</f>
        <v>0</v>
      </c>
      <c r="AB191" s="0" t="n">
        <f aca="false">IF(C191=0,0,1)</f>
        <v>0</v>
      </c>
      <c r="AC191" s="0" t="n">
        <f aca="false">IF(D191=0,0,1)</f>
        <v>0</v>
      </c>
      <c r="AD191" s="0" t="n">
        <f aca="false">IF(E191=0,0,1)</f>
        <v>0</v>
      </c>
      <c r="AE191" s="0" t="n">
        <f aca="false">IF(F191=0,0,1)</f>
        <v>0</v>
      </c>
      <c r="AF191" s="0" t="n">
        <f aca="false">IF(G191=0,0,1)</f>
        <v>0</v>
      </c>
      <c r="AG191" s="0" t="n">
        <f aca="false">IF(H191=0,0,1)</f>
        <v>0</v>
      </c>
      <c r="AH191" s="0" t="n">
        <f aca="false">IF(I191=0,0,1)</f>
        <v>0</v>
      </c>
      <c r="AI191" s="0" t="n">
        <f aca="false">IF(J191=0,0,1)</f>
        <v>0</v>
      </c>
      <c r="AJ191" s="0" t="n">
        <f aca="false">IF(K191=0,0,1)</f>
        <v>0</v>
      </c>
      <c r="AK191" s="0" t="n">
        <f aca="false">IF(L191=0,0,1)</f>
        <v>0</v>
      </c>
      <c r="AL191" s="0" t="n">
        <f aca="false">IF(M191=0,0,1)</f>
        <v>0</v>
      </c>
      <c r="AM191" s="0" t="n">
        <f aca="false">IF(N191=0,0,1)</f>
        <v>0</v>
      </c>
      <c r="AN191" s="0" t="n">
        <f aca="false">IF(O191=0,0,1)</f>
        <v>0</v>
      </c>
      <c r="AO191" s="0" t="n">
        <f aca="false">IF(P191=0,0,1)</f>
        <v>0</v>
      </c>
      <c r="AP191" s="0" t="n">
        <f aca="false">IF(Q191=0,0,1)</f>
        <v>0</v>
      </c>
      <c r="AQ191" s="0" t="n">
        <f aca="false">IF(R191=0,0,1)</f>
        <v>0</v>
      </c>
      <c r="AR191" s="0" t="n">
        <f aca="false">IF(S191=0,0,1)</f>
        <v>0</v>
      </c>
      <c r="AS191" s="0" t="n">
        <f aca="false">IF(T191=0,0,1)</f>
        <v>0</v>
      </c>
      <c r="AT191" s="0" t="n">
        <f aca="false">IF(U191=0,0,1)</f>
        <v>0</v>
      </c>
      <c r="AU191" s="0" t="n">
        <f aca="false">IF(V191=0,0,1)</f>
        <v>0</v>
      </c>
      <c r="AV191" s="0" t="n">
        <f aca="false">IF(W191=0,0,1)</f>
        <v>0</v>
      </c>
      <c r="AW191" s="26" t="n">
        <f aca="false">SUM(AA191:AV191)</f>
        <v>0</v>
      </c>
      <c r="AX191" s="27" t="n">
        <f aca="false">IF(X191=0,0,X191)</f>
        <v>0</v>
      </c>
      <c r="AY191" s="1" t="n">
        <f aca="false">IF(X191=0,0,A191)</f>
        <v>0</v>
      </c>
      <c r="AZ191" s="28" t="n">
        <f aca="false">IF(AX191=0,0,A$186)</f>
        <v>0</v>
      </c>
      <c r="BA191" s="55"/>
      <c r="BB191" s="30"/>
      <c r="BC191" s="56"/>
      <c r="BD191" s="27"/>
      <c r="BE191" s="26"/>
      <c r="BF191" s="32"/>
      <c r="BG191" s="33"/>
    </row>
    <row r="192" customFormat="false" ht="15" hidden="false" customHeight="false" outlineLevel="0" collapsed="false">
      <c r="A192" s="21" t="n">
        <f aca="false">B!$E$172</f>
        <v>0</v>
      </c>
      <c r="B192" s="22" t="n">
        <f aca="false">C!G49</f>
        <v>0</v>
      </c>
      <c r="C192" s="22" t="n">
        <f aca="false">D!G49</f>
        <v>0</v>
      </c>
      <c r="D192" s="22" t="n">
        <f aca="false">E!G49</f>
        <v>0</v>
      </c>
      <c r="E192" s="22" t="n">
        <f aca="false">F!G49</f>
        <v>0</v>
      </c>
      <c r="F192" s="22" t="n">
        <f aca="false">G!G49</f>
        <v>0</v>
      </c>
      <c r="G192" s="22" t="n">
        <f aca="false">H!G49</f>
        <v>0</v>
      </c>
      <c r="H192" s="22" t="n">
        <f aca="false">I!G49</f>
        <v>0</v>
      </c>
      <c r="I192" s="22" t="n">
        <f aca="false">J!G49</f>
        <v>0</v>
      </c>
      <c r="J192" s="22" t="n">
        <f aca="false">K!G49</f>
        <v>0</v>
      </c>
      <c r="K192" s="22" t="n">
        <f aca="false">L!G49</f>
        <v>0</v>
      </c>
      <c r="L192" s="22" t="n">
        <f aca="false">M!G49</f>
        <v>0</v>
      </c>
      <c r="M192" s="22" t="n">
        <f aca="false">N!G49</f>
        <v>0</v>
      </c>
      <c r="N192" s="22" t="n">
        <f aca="false">O!G49</f>
        <v>0</v>
      </c>
      <c r="O192" s="22" t="n">
        <f aca="false">P!G49</f>
        <v>0</v>
      </c>
      <c r="P192" s="22" t="n">
        <f aca="false">Q!G49</f>
        <v>0</v>
      </c>
      <c r="Q192" s="22" t="n">
        <f aca="false">R!G49</f>
        <v>0</v>
      </c>
      <c r="R192" s="22" t="n">
        <f aca="false">S!G49</f>
        <v>0</v>
      </c>
      <c r="S192" s="22" t="n">
        <f aca="false">T!G49</f>
        <v>0</v>
      </c>
      <c r="T192" s="22" t="n">
        <f aca="false">U!G49</f>
        <v>0</v>
      </c>
      <c r="U192" s="22" t="n">
        <f aca="false">V!G49</f>
        <v>0</v>
      </c>
      <c r="V192" s="22" t="n">
        <f aca="false">W!G49</f>
        <v>0</v>
      </c>
      <c r="W192" s="22" t="n">
        <f aca="false">X!G49</f>
        <v>0</v>
      </c>
      <c r="X192" s="23" t="n">
        <f aca="false">SUM(B192:W192)</f>
        <v>0</v>
      </c>
      <c r="Y192" s="24" t="n">
        <f aca="false">IF(AW192=0,0,X192/AW192)</f>
        <v>0</v>
      </c>
      <c r="Z192" s="25" t="n">
        <f aca="false">A192</f>
        <v>0</v>
      </c>
      <c r="AA192" s="16" t="n">
        <f aca="false">IF(B192=0,0,1)</f>
        <v>0</v>
      </c>
      <c r="AB192" s="0" t="n">
        <f aca="false">IF(C192=0,0,1)</f>
        <v>0</v>
      </c>
      <c r="AC192" s="0" t="n">
        <f aca="false">IF(D192=0,0,1)</f>
        <v>0</v>
      </c>
      <c r="AD192" s="0" t="n">
        <f aca="false">IF(E192=0,0,1)</f>
        <v>0</v>
      </c>
      <c r="AE192" s="0" t="n">
        <f aca="false">IF(F192=0,0,1)</f>
        <v>0</v>
      </c>
      <c r="AF192" s="0" t="n">
        <f aca="false">IF(G192=0,0,1)</f>
        <v>0</v>
      </c>
      <c r="AG192" s="0" t="n">
        <f aca="false">IF(H192=0,0,1)</f>
        <v>0</v>
      </c>
      <c r="AH192" s="0" t="n">
        <f aca="false">IF(I192=0,0,1)</f>
        <v>0</v>
      </c>
      <c r="AI192" s="0" t="n">
        <f aca="false">IF(J192=0,0,1)</f>
        <v>0</v>
      </c>
      <c r="AJ192" s="0" t="n">
        <f aca="false">IF(K192=0,0,1)</f>
        <v>0</v>
      </c>
      <c r="AK192" s="0" t="n">
        <f aca="false">IF(L192=0,0,1)</f>
        <v>0</v>
      </c>
      <c r="AL192" s="0" t="n">
        <f aca="false">IF(M192=0,0,1)</f>
        <v>0</v>
      </c>
      <c r="AM192" s="0" t="n">
        <f aca="false">IF(N192=0,0,1)</f>
        <v>0</v>
      </c>
      <c r="AN192" s="0" t="n">
        <f aca="false">IF(O192=0,0,1)</f>
        <v>0</v>
      </c>
      <c r="AO192" s="0" t="n">
        <f aca="false">IF(P192=0,0,1)</f>
        <v>0</v>
      </c>
      <c r="AP192" s="0" t="n">
        <f aca="false">IF(Q192=0,0,1)</f>
        <v>0</v>
      </c>
      <c r="AQ192" s="0" t="n">
        <f aca="false">IF(R192=0,0,1)</f>
        <v>0</v>
      </c>
      <c r="AR192" s="0" t="n">
        <f aca="false">IF(S192=0,0,1)</f>
        <v>0</v>
      </c>
      <c r="AS192" s="0" t="n">
        <f aca="false">IF(T192=0,0,1)</f>
        <v>0</v>
      </c>
      <c r="AT192" s="0" t="n">
        <f aca="false">IF(U192=0,0,1)</f>
        <v>0</v>
      </c>
      <c r="AU192" s="0" t="n">
        <f aca="false">IF(V192=0,0,1)</f>
        <v>0</v>
      </c>
      <c r="AV192" s="0" t="n">
        <f aca="false">IF(W192=0,0,1)</f>
        <v>0</v>
      </c>
      <c r="AW192" s="26" t="n">
        <f aca="false">SUM(AA192:AV192)</f>
        <v>0</v>
      </c>
      <c r="AX192" s="27" t="n">
        <f aca="false">IF(X192=0,0,X192)</f>
        <v>0</v>
      </c>
      <c r="AY192" s="1" t="n">
        <f aca="false">IF(X192=0,0,A192)</f>
        <v>0</v>
      </c>
      <c r="AZ192" s="28" t="n">
        <f aca="false">IF(AX192=0,0,A$186)</f>
        <v>0</v>
      </c>
      <c r="BA192" s="55"/>
      <c r="BB192" s="30"/>
      <c r="BC192" s="56"/>
      <c r="BD192" s="27"/>
      <c r="BE192" s="26"/>
      <c r="BF192" s="32"/>
      <c r="BG192" s="33"/>
    </row>
    <row r="193" customFormat="false" ht="15" hidden="false" customHeight="false" outlineLevel="0" collapsed="false">
      <c r="A193" s="21" t="n">
        <f aca="false">B!$E$177</f>
        <v>0</v>
      </c>
      <c r="B193" s="22" t="n">
        <f aca="false">C!G50</f>
        <v>0</v>
      </c>
      <c r="C193" s="22" t="n">
        <f aca="false">D!G50</f>
        <v>0</v>
      </c>
      <c r="D193" s="22" t="n">
        <f aca="false">E!G50</f>
        <v>0</v>
      </c>
      <c r="E193" s="22" t="n">
        <f aca="false">F!G50</f>
        <v>0</v>
      </c>
      <c r="F193" s="22" t="n">
        <f aca="false">G!G50</f>
        <v>0</v>
      </c>
      <c r="G193" s="22" t="n">
        <f aca="false">H!G50</f>
        <v>0</v>
      </c>
      <c r="H193" s="22" t="n">
        <f aca="false">I!G50</f>
        <v>0</v>
      </c>
      <c r="I193" s="22" t="n">
        <f aca="false">J!G50</f>
        <v>0</v>
      </c>
      <c r="J193" s="22" t="n">
        <f aca="false">K!G50</f>
        <v>0</v>
      </c>
      <c r="K193" s="22" t="n">
        <f aca="false">L!G50</f>
        <v>0</v>
      </c>
      <c r="L193" s="22" t="n">
        <f aca="false">M!G50</f>
        <v>0</v>
      </c>
      <c r="M193" s="22" t="n">
        <f aca="false">N!G50</f>
        <v>0</v>
      </c>
      <c r="N193" s="22" t="n">
        <f aca="false">O!G50</f>
        <v>0</v>
      </c>
      <c r="O193" s="22" t="n">
        <f aca="false">P!G50</f>
        <v>0</v>
      </c>
      <c r="P193" s="22" t="n">
        <f aca="false">Q!G50</f>
        <v>0</v>
      </c>
      <c r="Q193" s="22" t="n">
        <f aca="false">R!G50</f>
        <v>0</v>
      </c>
      <c r="R193" s="22" t="n">
        <f aca="false">S!G50</f>
        <v>0</v>
      </c>
      <c r="S193" s="22" t="n">
        <f aca="false">T!G50</f>
        <v>0</v>
      </c>
      <c r="T193" s="22" t="n">
        <f aca="false">U!G50</f>
        <v>0</v>
      </c>
      <c r="U193" s="22" t="n">
        <f aca="false">V!G50</f>
        <v>0</v>
      </c>
      <c r="V193" s="22" t="n">
        <f aca="false">W!G50</f>
        <v>0</v>
      </c>
      <c r="W193" s="22" t="n">
        <f aca="false">X!G50</f>
        <v>0</v>
      </c>
      <c r="X193" s="23" t="n">
        <f aca="false">SUM(B193:W193)</f>
        <v>0</v>
      </c>
      <c r="Y193" s="24" t="n">
        <f aca="false">IF(AW193=0,0,X193/AW193)</f>
        <v>0</v>
      </c>
      <c r="Z193" s="25" t="n">
        <f aca="false">A193</f>
        <v>0</v>
      </c>
      <c r="AA193" s="16" t="n">
        <f aca="false">IF(B193=0,0,1)</f>
        <v>0</v>
      </c>
      <c r="AB193" s="0" t="n">
        <f aca="false">IF(C193=0,0,1)</f>
        <v>0</v>
      </c>
      <c r="AC193" s="0" t="n">
        <f aca="false">IF(D193=0,0,1)</f>
        <v>0</v>
      </c>
      <c r="AD193" s="0" t="n">
        <f aca="false">IF(E193=0,0,1)</f>
        <v>0</v>
      </c>
      <c r="AE193" s="0" t="n">
        <f aca="false">IF(F193=0,0,1)</f>
        <v>0</v>
      </c>
      <c r="AF193" s="0" t="n">
        <f aca="false">IF(G193=0,0,1)</f>
        <v>0</v>
      </c>
      <c r="AG193" s="0" t="n">
        <f aca="false">IF(H193=0,0,1)</f>
        <v>0</v>
      </c>
      <c r="AH193" s="0" t="n">
        <f aca="false">IF(I193=0,0,1)</f>
        <v>0</v>
      </c>
      <c r="AI193" s="0" t="n">
        <f aca="false">IF(J193=0,0,1)</f>
        <v>0</v>
      </c>
      <c r="AJ193" s="0" t="n">
        <f aca="false">IF(K193=0,0,1)</f>
        <v>0</v>
      </c>
      <c r="AK193" s="0" t="n">
        <f aca="false">IF(L193=0,0,1)</f>
        <v>0</v>
      </c>
      <c r="AL193" s="0" t="n">
        <f aca="false">IF(M193=0,0,1)</f>
        <v>0</v>
      </c>
      <c r="AM193" s="0" t="n">
        <f aca="false">IF(N193=0,0,1)</f>
        <v>0</v>
      </c>
      <c r="AN193" s="0" t="n">
        <f aca="false">IF(O193=0,0,1)</f>
        <v>0</v>
      </c>
      <c r="AO193" s="0" t="n">
        <f aca="false">IF(P193=0,0,1)</f>
        <v>0</v>
      </c>
      <c r="AP193" s="0" t="n">
        <f aca="false">IF(Q193=0,0,1)</f>
        <v>0</v>
      </c>
      <c r="AQ193" s="0" t="n">
        <f aca="false">IF(R193=0,0,1)</f>
        <v>0</v>
      </c>
      <c r="AR193" s="0" t="n">
        <f aca="false">IF(S193=0,0,1)</f>
        <v>0</v>
      </c>
      <c r="AS193" s="0" t="n">
        <f aca="false">IF(T193=0,0,1)</f>
        <v>0</v>
      </c>
      <c r="AT193" s="0" t="n">
        <f aca="false">IF(U193=0,0,1)</f>
        <v>0</v>
      </c>
      <c r="AU193" s="0" t="n">
        <f aca="false">IF(V193=0,0,1)</f>
        <v>0</v>
      </c>
      <c r="AV193" s="0" t="n">
        <f aca="false">IF(W193=0,0,1)</f>
        <v>0</v>
      </c>
      <c r="AW193" s="26" t="n">
        <f aca="false">SUM(AA193:AV193)</f>
        <v>0</v>
      </c>
      <c r="AX193" s="27" t="n">
        <f aca="false">IF(X193=0,0,X193)</f>
        <v>0</v>
      </c>
      <c r="AY193" s="1" t="n">
        <f aca="false">IF(X193=0,0,A193)</f>
        <v>0</v>
      </c>
      <c r="AZ193" s="28" t="n">
        <f aca="false">IF(AX193=0,0,A$186)</f>
        <v>0</v>
      </c>
      <c r="BA193" s="55"/>
      <c r="BB193" s="30"/>
      <c r="BC193" s="56"/>
      <c r="BD193" s="27"/>
      <c r="BE193" s="26"/>
      <c r="BF193" s="32"/>
      <c r="BG193" s="33"/>
    </row>
    <row r="194" customFormat="false" ht="15" hidden="false" customHeight="false" outlineLevel="0" collapsed="false">
      <c r="A194" s="21" t="n">
        <f aca="false">B!$E$182</f>
        <v>0</v>
      </c>
      <c r="B194" s="22" t="n">
        <f aca="false">C!G51</f>
        <v>0</v>
      </c>
      <c r="C194" s="22" t="n">
        <f aca="false">D!G51</f>
        <v>0</v>
      </c>
      <c r="D194" s="22" t="n">
        <f aca="false">E!G51</f>
        <v>0</v>
      </c>
      <c r="E194" s="22" t="n">
        <f aca="false">F!G51</f>
        <v>0</v>
      </c>
      <c r="F194" s="22" t="n">
        <f aca="false">G!G51</f>
        <v>0</v>
      </c>
      <c r="G194" s="22" t="n">
        <f aca="false">H!G51</f>
        <v>0</v>
      </c>
      <c r="H194" s="22" t="n">
        <f aca="false">I!G51</f>
        <v>0</v>
      </c>
      <c r="I194" s="22" t="n">
        <f aca="false">J!G51</f>
        <v>0</v>
      </c>
      <c r="J194" s="22" t="n">
        <f aca="false">K!G51</f>
        <v>0</v>
      </c>
      <c r="K194" s="22" t="n">
        <f aca="false">L!G51</f>
        <v>0</v>
      </c>
      <c r="L194" s="22" t="n">
        <f aca="false">M!G51</f>
        <v>0</v>
      </c>
      <c r="M194" s="22" t="n">
        <f aca="false">N!G51</f>
        <v>0</v>
      </c>
      <c r="N194" s="22" t="n">
        <f aca="false">O!G51</f>
        <v>0</v>
      </c>
      <c r="O194" s="22" t="n">
        <f aca="false">P!G51</f>
        <v>0</v>
      </c>
      <c r="P194" s="22" t="n">
        <f aca="false">Q!G51</f>
        <v>0</v>
      </c>
      <c r="Q194" s="22" t="n">
        <f aca="false">R!G51</f>
        <v>0</v>
      </c>
      <c r="R194" s="22" t="n">
        <f aca="false">S!G51</f>
        <v>0</v>
      </c>
      <c r="S194" s="22" t="n">
        <f aca="false">T!G51</f>
        <v>0</v>
      </c>
      <c r="T194" s="22" t="n">
        <f aca="false">U!G51</f>
        <v>0</v>
      </c>
      <c r="U194" s="22" t="n">
        <f aca="false">V!G51</f>
        <v>0</v>
      </c>
      <c r="V194" s="22" t="n">
        <f aca="false">W!G51</f>
        <v>0</v>
      </c>
      <c r="W194" s="22" t="n">
        <f aca="false">X!G51</f>
        <v>0</v>
      </c>
      <c r="X194" s="23" t="n">
        <f aca="false">SUM(B194:W194)</f>
        <v>0</v>
      </c>
      <c r="Y194" s="24" t="n">
        <f aca="false">IF(AW194=0,0,X194/AW194)</f>
        <v>0</v>
      </c>
      <c r="Z194" s="25" t="n">
        <f aca="false">A194</f>
        <v>0</v>
      </c>
      <c r="AA194" s="16" t="n">
        <f aca="false">IF(B194=0,0,1)</f>
        <v>0</v>
      </c>
      <c r="AB194" s="0" t="n">
        <f aca="false">IF(C194=0,0,1)</f>
        <v>0</v>
      </c>
      <c r="AC194" s="0" t="n">
        <f aca="false">IF(D194=0,0,1)</f>
        <v>0</v>
      </c>
      <c r="AD194" s="0" t="n">
        <f aca="false">IF(E194=0,0,1)</f>
        <v>0</v>
      </c>
      <c r="AE194" s="0" t="n">
        <f aca="false">IF(F194=0,0,1)</f>
        <v>0</v>
      </c>
      <c r="AF194" s="0" t="n">
        <f aca="false">IF(G194=0,0,1)</f>
        <v>0</v>
      </c>
      <c r="AG194" s="0" t="n">
        <f aca="false">IF(H194=0,0,1)</f>
        <v>0</v>
      </c>
      <c r="AH194" s="0" t="n">
        <f aca="false">IF(I194=0,0,1)</f>
        <v>0</v>
      </c>
      <c r="AI194" s="0" t="n">
        <f aca="false">IF(J194=0,0,1)</f>
        <v>0</v>
      </c>
      <c r="AJ194" s="0" t="n">
        <f aca="false">IF(K194=0,0,1)</f>
        <v>0</v>
      </c>
      <c r="AK194" s="0" t="n">
        <f aca="false">IF(L194=0,0,1)</f>
        <v>0</v>
      </c>
      <c r="AL194" s="0" t="n">
        <f aca="false">IF(M194=0,0,1)</f>
        <v>0</v>
      </c>
      <c r="AM194" s="0" t="n">
        <f aca="false">IF(N194=0,0,1)</f>
        <v>0</v>
      </c>
      <c r="AN194" s="0" t="n">
        <f aca="false">IF(O194=0,0,1)</f>
        <v>0</v>
      </c>
      <c r="AO194" s="0" t="n">
        <f aca="false">IF(P194=0,0,1)</f>
        <v>0</v>
      </c>
      <c r="AP194" s="0" t="n">
        <f aca="false">IF(Q194=0,0,1)</f>
        <v>0</v>
      </c>
      <c r="AQ194" s="0" t="n">
        <f aca="false">IF(R194=0,0,1)</f>
        <v>0</v>
      </c>
      <c r="AR194" s="0" t="n">
        <f aca="false">IF(S194=0,0,1)</f>
        <v>0</v>
      </c>
      <c r="AS194" s="0" t="n">
        <f aca="false">IF(T194=0,0,1)</f>
        <v>0</v>
      </c>
      <c r="AT194" s="0" t="n">
        <f aca="false">IF(U194=0,0,1)</f>
        <v>0</v>
      </c>
      <c r="AU194" s="0" t="n">
        <f aca="false">IF(V194=0,0,1)</f>
        <v>0</v>
      </c>
      <c r="AV194" s="0" t="n">
        <f aca="false">IF(W194=0,0,1)</f>
        <v>0</v>
      </c>
      <c r="AW194" s="26" t="n">
        <f aca="false">SUM(AA194:AV194)</f>
        <v>0</v>
      </c>
      <c r="AX194" s="27" t="n">
        <f aca="false">IF(X194=0,0,X194)</f>
        <v>0</v>
      </c>
      <c r="AY194" s="1" t="n">
        <f aca="false">IF(X194=0,0,A194)</f>
        <v>0</v>
      </c>
      <c r="AZ194" s="28" t="n">
        <f aca="false">IF(AX194=0,0,A$186)</f>
        <v>0</v>
      </c>
      <c r="BA194" s="55"/>
      <c r="BB194" s="30"/>
      <c r="BC194" s="56"/>
      <c r="BD194" s="27"/>
      <c r="BE194" s="26"/>
      <c r="BF194" s="32"/>
      <c r="BG194" s="33"/>
    </row>
    <row r="195" customFormat="false" ht="15" hidden="false" customHeight="false" outlineLevel="0" collapsed="false">
      <c r="A195" s="38" t="s">
        <v>60</v>
      </c>
      <c r="B195" s="39" t="n">
        <f aca="false">SUM(B187:B194)</f>
        <v>0</v>
      </c>
      <c r="C195" s="39" t="n">
        <f aca="false">SUM(C187:C194)</f>
        <v>0</v>
      </c>
      <c r="D195" s="39" t="n">
        <f aca="false">SUM(D187:D194)</f>
        <v>0</v>
      </c>
      <c r="E195" s="39" t="n">
        <f aca="false">SUM(E187:E194)</f>
        <v>0</v>
      </c>
      <c r="F195" s="39" t="n">
        <f aca="false">SUM(F187:F194)</f>
        <v>0</v>
      </c>
      <c r="G195" s="39" t="n">
        <f aca="false">SUM(G187:G194)</f>
        <v>0</v>
      </c>
      <c r="H195" s="39" t="n">
        <f aca="false">SUM(H187:H194)</f>
        <v>0</v>
      </c>
      <c r="I195" s="39" t="n">
        <f aca="false">SUM(I187:I194)</f>
        <v>0</v>
      </c>
      <c r="J195" s="39" t="n">
        <f aca="false">SUM(J187:J194)</f>
        <v>0</v>
      </c>
      <c r="K195" s="39" t="n">
        <f aca="false">SUM(K187:K194)</f>
        <v>0</v>
      </c>
      <c r="L195" s="39" t="n">
        <f aca="false">SUM(L187:L194)</f>
        <v>0</v>
      </c>
      <c r="M195" s="39" t="n">
        <f aca="false">SUM(M187:M194)</f>
        <v>0</v>
      </c>
      <c r="N195" s="39" t="n">
        <f aca="false">SUM(N187:N194)</f>
        <v>0</v>
      </c>
      <c r="O195" s="39" t="n">
        <f aca="false">SUM(O187:O194)</f>
        <v>0</v>
      </c>
      <c r="P195" s="39" t="n">
        <f aca="false">SUM(P187:P194)</f>
        <v>0</v>
      </c>
      <c r="Q195" s="39" t="n">
        <f aca="false">SUM(Q187:Q194)</f>
        <v>0</v>
      </c>
      <c r="R195" s="39" t="n">
        <f aca="false">SUM(R187:R194)</f>
        <v>0</v>
      </c>
      <c r="S195" s="39" t="n">
        <f aca="false">SUM(S187:S194)</f>
        <v>0</v>
      </c>
      <c r="T195" s="39" t="n">
        <f aca="false">SUM(T187:T194)</f>
        <v>0</v>
      </c>
      <c r="U195" s="39" t="n">
        <f aca="false">SUM(U187:U194)</f>
        <v>0</v>
      </c>
      <c r="V195" s="39" t="n">
        <f aca="false">SUM(V187:V194)</f>
        <v>0</v>
      </c>
      <c r="W195" s="39" t="n">
        <f aca="false">SUM(W187:W194)</f>
        <v>0</v>
      </c>
      <c r="X195" s="40" t="n">
        <f aca="false">SUM(B195:W195)</f>
        <v>0</v>
      </c>
      <c r="Y195" s="41" t="n">
        <f aca="false">IF(X195=0,0,X195/AW195)</f>
        <v>0</v>
      </c>
      <c r="Z195" s="25"/>
      <c r="AA195" s="42" t="n">
        <f aca="false">SUM(AA187:AA194)</f>
        <v>0</v>
      </c>
      <c r="AB195" s="43" t="n">
        <f aca="false">SUM(AB187:AB194)</f>
        <v>0</v>
      </c>
      <c r="AC195" s="43" t="n">
        <f aca="false">SUM(AC187:AC194)</f>
        <v>0</v>
      </c>
      <c r="AD195" s="43" t="n">
        <f aca="false">SUM(AD187:AD194)</f>
        <v>0</v>
      </c>
      <c r="AE195" s="43" t="n">
        <f aca="false">SUM(AE187:AE194)</f>
        <v>0</v>
      </c>
      <c r="AF195" s="43" t="n">
        <f aca="false">SUM(AF187:AF194)</f>
        <v>0</v>
      </c>
      <c r="AG195" s="43" t="n">
        <f aca="false">SUM(AG187:AG194)</f>
        <v>0</v>
      </c>
      <c r="AH195" s="43" t="n">
        <f aca="false">SUM(AH187:AH194)</f>
        <v>0</v>
      </c>
      <c r="AI195" s="43" t="n">
        <f aca="false">SUM(AI187:AI194)</f>
        <v>0</v>
      </c>
      <c r="AJ195" s="43" t="n">
        <f aca="false">SUM(AJ187:AJ194)</f>
        <v>0</v>
      </c>
      <c r="AK195" s="43" t="n">
        <f aca="false">SUM(AK187:AK194)</f>
        <v>0</v>
      </c>
      <c r="AL195" s="43" t="n">
        <f aca="false">SUM(AL187:AL194)</f>
        <v>0</v>
      </c>
      <c r="AM195" s="43" t="n">
        <f aca="false">SUM(AM187:AM194)</f>
        <v>0</v>
      </c>
      <c r="AN195" s="43" t="n">
        <f aca="false">SUM(AN187:AN194)</f>
        <v>0</v>
      </c>
      <c r="AO195" s="43" t="n">
        <f aca="false">SUM(AO187:AO194)</f>
        <v>0</v>
      </c>
      <c r="AP195" s="43" t="n">
        <f aca="false">SUM(AP187:AP194)</f>
        <v>0</v>
      </c>
      <c r="AQ195" s="43" t="n">
        <f aca="false">SUM(AQ187:AQ194)</f>
        <v>0</v>
      </c>
      <c r="AR195" s="43" t="n">
        <f aca="false">SUM(AR187:AR194)</f>
        <v>0</v>
      </c>
      <c r="AS195" s="43" t="n">
        <f aca="false">SUM(AS187:AS194)</f>
        <v>0</v>
      </c>
      <c r="AT195" s="43" t="n">
        <f aca="false">SUM(AT187:AT194)</f>
        <v>0</v>
      </c>
      <c r="AU195" s="43" t="n">
        <f aca="false">SUM(AU187:AU194)</f>
        <v>0</v>
      </c>
      <c r="AV195" s="43" t="n">
        <f aca="false">SUM(AV187:AV194)</f>
        <v>0</v>
      </c>
      <c r="AW195" s="44" t="n">
        <f aca="false">MAXA(AW187:AW194)</f>
        <v>0</v>
      </c>
      <c r="AX195" s="27"/>
      <c r="AZ195" s="28"/>
      <c r="BA195" s="55"/>
      <c r="BB195" s="30"/>
      <c r="BC195" s="56"/>
      <c r="BD195" s="27"/>
      <c r="BE195" s="26"/>
      <c r="BF195" s="32"/>
      <c r="BG195" s="33"/>
    </row>
    <row r="196" customFormat="false" ht="15" hidden="false" customHeight="false" outlineLevel="0" collapsed="false">
      <c r="A196" s="54" t="s">
        <v>64</v>
      </c>
      <c r="B196" s="22" t="n">
        <f aca="false">C!G52</f>
        <v>0</v>
      </c>
      <c r="C196" s="22" t="n">
        <f aca="false">D!G52</f>
        <v>0</v>
      </c>
      <c r="D196" s="22" t="n">
        <f aca="false">E!G52</f>
        <v>0</v>
      </c>
      <c r="E196" s="22" t="n">
        <f aca="false">F!G52</f>
        <v>0</v>
      </c>
      <c r="F196" s="22" t="n">
        <f aca="false">G!G52</f>
        <v>0</v>
      </c>
      <c r="G196" s="22" t="n">
        <f aca="false">H!G52</f>
        <v>0</v>
      </c>
      <c r="H196" s="22" t="n">
        <f aca="false">I!G52</f>
        <v>0</v>
      </c>
      <c r="I196" s="22" t="n">
        <f aca="false">J!G52</f>
        <v>0</v>
      </c>
      <c r="J196" s="22" t="n">
        <f aca="false">K!G52</f>
        <v>0</v>
      </c>
      <c r="K196" s="22" t="n">
        <f aca="false">L!G52</f>
        <v>0</v>
      </c>
      <c r="L196" s="22" t="n">
        <f aca="false">M!G52</f>
        <v>0</v>
      </c>
      <c r="M196" s="22" t="n">
        <f aca="false">N!G52</f>
        <v>0</v>
      </c>
      <c r="N196" s="22" t="n">
        <f aca="false">O!G52</f>
        <v>0</v>
      </c>
      <c r="O196" s="22" t="n">
        <f aca="false">P!G52</f>
        <v>0</v>
      </c>
      <c r="P196" s="22" t="n">
        <f aca="false">Q!G52</f>
        <v>0</v>
      </c>
      <c r="Q196" s="22" t="n">
        <f aca="false">R!G52</f>
        <v>0</v>
      </c>
      <c r="R196" s="22" t="n">
        <f aca="false">S!G52</f>
        <v>0</v>
      </c>
      <c r="S196" s="22" t="n">
        <f aca="false">T!G52</f>
        <v>0</v>
      </c>
      <c r="T196" s="22" t="n">
        <f aca="false">U!G52</f>
        <v>0</v>
      </c>
      <c r="U196" s="22" t="n">
        <f aca="false">V!G52</f>
        <v>0</v>
      </c>
      <c r="V196" s="22" t="n">
        <f aca="false">W!G52</f>
        <v>0</v>
      </c>
      <c r="W196" s="22" t="n">
        <f aca="false">X!G52</f>
        <v>0</v>
      </c>
      <c r="X196" s="23" t="n">
        <f aca="false">SUM(B196:W196)</f>
        <v>0</v>
      </c>
      <c r="Y196" s="47"/>
      <c r="Z196" s="25"/>
      <c r="AA196" s="16"/>
      <c r="AW196" s="26"/>
      <c r="AX196" s="27"/>
      <c r="AZ196" s="28"/>
      <c r="BA196" s="55"/>
      <c r="BB196" s="30"/>
      <c r="BC196" s="56"/>
      <c r="BD196" s="27"/>
      <c r="BE196" s="26"/>
      <c r="BF196" s="32"/>
      <c r="BG196" s="33"/>
    </row>
    <row r="197" customFormat="false" ht="15" hidden="false" customHeight="false" outlineLevel="0" collapsed="false">
      <c r="A197" s="48" t="s">
        <v>68</v>
      </c>
      <c r="B197" s="49" t="n">
        <f aca="false">SUM(B195:B196)</f>
        <v>0</v>
      </c>
      <c r="C197" s="49" t="n">
        <f aca="false">SUM(C195:C196)</f>
        <v>0</v>
      </c>
      <c r="D197" s="49" t="n">
        <f aca="false">SUM(D195:D196)</f>
        <v>0</v>
      </c>
      <c r="E197" s="49" t="n">
        <f aca="false">SUM(E195:E196)</f>
        <v>0</v>
      </c>
      <c r="F197" s="49" t="n">
        <f aca="false">SUM(F195:F196)</f>
        <v>0</v>
      </c>
      <c r="G197" s="49" t="n">
        <f aca="false">SUM(G195:G196)</f>
        <v>0</v>
      </c>
      <c r="H197" s="49" t="n">
        <f aca="false">SUM(H195:H196)</f>
        <v>0</v>
      </c>
      <c r="I197" s="49" t="n">
        <f aca="false">SUM(I195:I196)</f>
        <v>0</v>
      </c>
      <c r="J197" s="49" t="n">
        <f aca="false">SUM(J195:J196)</f>
        <v>0</v>
      </c>
      <c r="K197" s="49" t="n">
        <f aca="false">SUM(K195:K196)</f>
        <v>0</v>
      </c>
      <c r="L197" s="49" t="n">
        <f aca="false">SUM(L195:L196)</f>
        <v>0</v>
      </c>
      <c r="M197" s="49" t="n">
        <f aca="false">SUM(M195:M196)</f>
        <v>0</v>
      </c>
      <c r="N197" s="49" t="n">
        <f aca="false">SUM(N195:N196)</f>
        <v>0</v>
      </c>
      <c r="O197" s="49" t="n">
        <f aca="false">SUM(O195:O196)</f>
        <v>0</v>
      </c>
      <c r="P197" s="49" t="n">
        <f aca="false">SUM(P195:P196)</f>
        <v>0</v>
      </c>
      <c r="Q197" s="49" t="n">
        <f aca="false">SUM(Q195:Q196)</f>
        <v>0</v>
      </c>
      <c r="R197" s="49" t="n">
        <f aca="false">SUM(R195:R196)</f>
        <v>0</v>
      </c>
      <c r="S197" s="49" t="n">
        <f aca="false">SUM(S195:S196)</f>
        <v>0</v>
      </c>
      <c r="T197" s="49" t="n">
        <f aca="false">SUM(T195:T196)</f>
        <v>0</v>
      </c>
      <c r="U197" s="49" t="n">
        <f aca="false">SUM(U195:U196)</f>
        <v>0</v>
      </c>
      <c r="V197" s="49" t="n">
        <f aca="false">SUM(V195:V196)</f>
        <v>0</v>
      </c>
      <c r="W197" s="49" t="n">
        <f aca="false">SUM(W195:W196)</f>
        <v>0</v>
      </c>
      <c r="X197" s="50" t="n">
        <f aca="false">SUM(B197:W197)</f>
        <v>0</v>
      </c>
      <c r="Y197" s="51"/>
      <c r="Z197" s="25"/>
      <c r="AA197" s="16"/>
      <c r="AW197" s="26"/>
      <c r="AX197" s="27"/>
      <c r="AZ197" s="28"/>
      <c r="BA197" s="55"/>
      <c r="BB197" s="30"/>
      <c r="BC197" s="56"/>
      <c r="BD197" s="27" t="n">
        <f aca="false">X197</f>
        <v>0</v>
      </c>
      <c r="BE197" s="26" t="n">
        <f aca="false">A186</f>
        <v>0</v>
      </c>
      <c r="BF197" s="32"/>
      <c r="BG197" s="33"/>
    </row>
    <row r="198" customFormat="false" ht="15" hidden="false" customHeight="false" outlineLevel="0" collapsed="false"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25"/>
      <c r="AA198" s="16"/>
      <c r="AW198" s="26"/>
      <c r="AX198" s="27"/>
      <c r="AZ198" s="28"/>
      <c r="BA198" s="55"/>
      <c r="BB198" s="30"/>
      <c r="BC198" s="56"/>
      <c r="BD198" s="27"/>
      <c r="BE198" s="26"/>
      <c r="BF198" s="32"/>
      <c r="BG198" s="33"/>
    </row>
    <row r="199" customFormat="false" ht="15" hidden="false" customHeight="false" outlineLevel="0" collapsed="false">
      <c r="A199" s="5" t="s">
        <v>137</v>
      </c>
      <c r="B199" s="6" t="s">
        <v>1</v>
      </c>
      <c r="C199" s="6" t="s">
        <v>2</v>
      </c>
      <c r="D199" s="6" t="s">
        <v>3</v>
      </c>
      <c r="E199" s="6" t="s">
        <v>4</v>
      </c>
      <c r="F199" s="6" t="s">
        <v>5</v>
      </c>
      <c r="G199" s="6" t="s">
        <v>6</v>
      </c>
      <c r="H199" s="6" t="s">
        <v>7</v>
      </c>
      <c r="I199" s="6" t="s">
        <v>8</v>
      </c>
      <c r="J199" s="6" t="s">
        <v>9</v>
      </c>
      <c r="K199" s="6" t="s">
        <v>10</v>
      </c>
      <c r="L199" s="6" t="s">
        <v>11</v>
      </c>
      <c r="M199" s="6" t="s">
        <v>12</v>
      </c>
      <c r="N199" s="6" t="s">
        <v>13</v>
      </c>
      <c r="O199" s="6" t="s">
        <v>14</v>
      </c>
      <c r="P199" s="6" t="s">
        <v>15</v>
      </c>
      <c r="Q199" s="6" t="s">
        <v>16</v>
      </c>
      <c r="R199" s="6" t="s">
        <v>17</v>
      </c>
      <c r="S199" s="6" t="s">
        <v>18</v>
      </c>
      <c r="T199" s="6" t="s">
        <v>19</v>
      </c>
      <c r="U199" s="6" t="s">
        <v>20</v>
      </c>
      <c r="V199" s="6" t="s">
        <v>21</v>
      </c>
      <c r="W199" s="6" t="s">
        <v>22</v>
      </c>
      <c r="X199" s="34"/>
      <c r="Y199" s="34"/>
      <c r="Z199" s="4" t="str">
        <f aca="false">A199</f>
        <v>Team #15 Name:</v>
      </c>
      <c r="AA199" s="16"/>
      <c r="AW199" s="26"/>
      <c r="AX199" s="27"/>
      <c r="AZ199" s="28"/>
      <c r="BA199" s="55"/>
      <c r="BB199" s="30"/>
      <c r="BC199" s="56"/>
      <c r="BD199" s="27"/>
      <c r="BE199" s="26"/>
      <c r="BF199" s="32"/>
      <c r="BG199" s="33"/>
    </row>
    <row r="200" customFormat="false" ht="15" hidden="false" customHeight="false" outlineLevel="0" collapsed="false">
      <c r="A200" s="11" t="n">
        <f aca="false">B!$E$188</f>
        <v>0</v>
      </c>
      <c r="B200" s="52" t="s">
        <v>28</v>
      </c>
      <c r="C200" s="52" t="s">
        <v>28</v>
      </c>
      <c r="D200" s="52" t="s">
        <v>28</v>
      </c>
      <c r="E200" s="52" t="s">
        <v>28</v>
      </c>
      <c r="F200" s="52" t="s">
        <v>28</v>
      </c>
      <c r="G200" s="52" t="s">
        <v>28</v>
      </c>
      <c r="H200" s="52" t="s">
        <v>28</v>
      </c>
      <c r="I200" s="52" t="s">
        <v>28</v>
      </c>
      <c r="J200" s="52" t="s">
        <v>28</v>
      </c>
      <c r="K200" s="52" t="s">
        <v>28</v>
      </c>
      <c r="L200" s="52" t="s">
        <v>28</v>
      </c>
      <c r="M200" s="52" t="s">
        <v>28</v>
      </c>
      <c r="N200" s="52" t="s">
        <v>28</v>
      </c>
      <c r="O200" s="52" t="s">
        <v>28</v>
      </c>
      <c r="P200" s="52" t="s">
        <v>28</v>
      </c>
      <c r="Q200" s="52" t="s">
        <v>28</v>
      </c>
      <c r="R200" s="52" t="s">
        <v>28</v>
      </c>
      <c r="S200" s="52" t="s">
        <v>28</v>
      </c>
      <c r="T200" s="52" t="s">
        <v>28</v>
      </c>
      <c r="U200" s="52" t="s">
        <v>28</v>
      </c>
      <c r="V200" s="52" t="s">
        <v>28</v>
      </c>
      <c r="W200" s="52" t="s">
        <v>28</v>
      </c>
      <c r="X200" s="13" t="s">
        <v>29</v>
      </c>
      <c r="Y200" s="14" t="s">
        <v>30</v>
      </c>
      <c r="Z200" s="15" t="n">
        <f aca="false">A200</f>
        <v>0</v>
      </c>
      <c r="AA200" s="16"/>
      <c r="AW200" s="17" t="s">
        <v>31</v>
      </c>
      <c r="AX200" s="27"/>
      <c r="AZ200" s="28"/>
      <c r="BA200" s="55"/>
      <c r="BB200" s="30"/>
      <c r="BC200" s="56"/>
      <c r="BD200" s="27"/>
      <c r="BE200" s="26"/>
      <c r="BF200" s="32"/>
      <c r="BG200" s="33"/>
    </row>
    <row r="201" customFormat="false" ht="15" hidden="false" customHeight="false" outlineLevel="0" collapsed="false">
      <c r="A201" s="21" t="n">
        <f aca="false">B!$E$190</f>
        <v>0</v>
      </c>
      <c r="B201" s="22" t="n">
        <f aca="false">C!G57</f>
        <v>0</v>
      </c>
      <c r="C201" s="22" t="n">
        <f aca="false">D!G57</f>
        <v>0</v>
      </c>
      <c r="D201" s="22" t="n">
        <f aca="false">E!G57</f>
        <v>0</v>
      </c>
      <c r="E201" s="22" t="n">
        <f aca="false">F!G57</f>
        <v>0</v>
      </c>
      <c r="F201" s="22" t="n">
        <f aca="false">G!G57</f>
        <v>0</v>
      </c>
      <c r="G201" s="22" t="n">
        <f aca="false">H!G57</f>
        <v>0</v>
      </c>
      <c r="H201" s="22" t="n">
        <f aca="false">I!G57</f>
        <v>0</v>
      </c>
      <c r="I201" s="22" t="n">
        <f aca="false">J!G57</f>
        <v>0</v>
      </c>
      <c r="J201" s="22" t="n">
        <f aca="false">K!G57</f>
        <v>0</v>
      </c>
      <c r="K201" s="22" t="n">
        <f aca="false">L!G57</f>
        <v>0</v>
      </c>
      <c r="L201" s="22" t="n">
        <f aca="false">M!G57</f>
        <v>0</v>
      </c>
      <c r="M201" s="22" t="n">
        <f aca="false">N!G57</f>
        <v>0</v>
      </c>
      <c r="N201" s="22" t="n">
        <f aca="false">O!G57</f>
        <v>0</v>
      </c>
      <c r="O201" s="22" t="n">
        <f aca="false">P!G57</f>
        <v>0</v>
      </c>
      <c r="P201" s="22" t="n">
        <f aca="false">Q!G57</f>
        <v>0</v>
      </c>
      <c r="Q201" s="22" t="n">
        <f aca="false">R!G57</f>
        <v>0</v>
      </c>
      <c r="R201" s="22" t="n">
        <f aca="false">S!G57</f>
        <v>0</v>
      </c>
      <c r="S201" s="22" t="n">
        <f aca="false">T!G57</f>
        <v>0</v>
      </c>
      <c r="T201" s="22" t="n">
        <f aca="false">U!G57</f>
        <v>0</v>
      </c>
      <c r="U201" s="22" t="n">
        <f aca="false">V!G57</f>
        <v>0</v>
      </c>
      <c r="V201" s="22" t="n">
        <f aca="false">W!G57</f>
        <v>0</v>
      </c>
      <c r="W201" s="22" t="n">
        <f aca="false">X!G57</f>
        <v>0</v>
      </c>
      <c r="X201" s="23" t="n">
        <f aca="false">SUM(B201:W201)</f>
        <v>0</v>
      </c>
      <c r="Y201" s="24" t="n">
        <f aca="false">IF(AW201=0,0,X201/AW201)</f>
        <v>0</v>
      </c>
      <c r="Z201" s="25" t="n">
        <f aca="false">A201</f>
        <v>0</v>
      </c>
      <c r="AA201" s="16" t="n">
        <f aca="false">IF(B201=0,0,1)</f>
        <v>0</v>
      </c>
      <c r="AB201" s="0" t="n">
        <f aca="false">IF(C201=0,0,1)</f>
        <v>0</v>
      </c>
      <c r="AC201" s="0" t="n">
        <f aca="false">IF(D201=0,0,1)</f>
        <v>0</v>
      </c>
      <c r="AD201" s="0" t="n">
        <f aca="false">IF(E201=0,0,1)</f>
        <v>0</v>
      </c>
      <c r="AE201" s="0" t="n">
        <f aca="false">IF(F201=0,0,1)</f>
        <v>0</v>
      </c>
      <c r="AF201" s="0" t="n">
        <f aca="false">IF(G201=0,0,1)</f>
        <v>0</v>
      </c>
      <c r="AG201" s="0" t="n">
        <f aca="false">IF(H201=0,0,1)</f>
        <v>0</v>
      </c>
      <c r="AH201" s="0" t="n">
        <f aca="false">IF(I201=0,0,1)</f>
        <v>0</v>
      </c>
      <c r="AI201" s="0" t="n">
        <f aca="false">IF(J201=0,0,1)</f>
        <v>0</v>
      </c>
      <c r="AJ201" s="0" t="n">
        <f aca="false">IF(K201=0,0,1)</f>
        <v>0</v>
      </c>
      <c r="AK201" s="0" t="n">
        <f aca="false">IF(L201=0,0,1)</f>
        <v>0</v>
      </c>
      <c r="AL201" s="0" t="n">
        <f aca="false">IF(M201=0,0,1)</f>
        <v>0</v>
      </c>
      <c r="AM201" s="0" t="n">
        <f aca="false">IF(N201=0,0,1)</f>
        <v>0</v>
      </c>
      <c r="AN201" s="0" t="n">
        <f aca="false">IF(O201=0,0,1)</f>
        <v>0</v>
      </c>
      <c r="AO201" s="0" t="n">
        <f aca="false">IF(P201=0,0,1)</f>
        <v>0</v>
      </c>
      <c r="AP201" s="0" t="n">
        <f aca="false">IF(Q201=0,0,1)</f>
        <v>0</v>
      </c>
      <c r="AQ201" s="0" t="n">
        <f aca="false">IF(R201=0,0,1)</f>
        <v>0</v>
      </c>
      <c r="AR201" s="0" t="n">
        <f aca="false">IF(S201=0,0,1)</f>
        <v>0</v>
      </c>
      <c r="AS201" s="0" t="n">
        <f aca="false">IF(T201=0,0,1)</f>
        <v>0</v>
      </c>
      <c r="AT201" s="0" t="n">
        <f aca="false">IF(U201=0,0,1)</f>
        <v>0</v>
      </c>
      <c r="AU201" s="0" t="n">
        <f aca="false">IF(V201=0,0,1)</f>
        <v>0</v>
      </c>
      <c r="AV201" s="0" t="n">
        <f aca="false">IF(W201=0,0,1)</f>
        <v>0</v>
      </c>
      <c r="AW201" s="26" t="n">
        <f aca="false">SUM(AA201:AV201)</f>
        <v>0</v>
      </c>
      <c r="AX201" s="27" t="n">
        <f aca="false">IF(X201=0,0,X201)</f>
        <v>0</v>
      </c>
      <c r="AY201" s="1" t="n">
        <f aca="false">IF(X201=0,0,A201)</f>
        <v>0</v>
      </c>
      <c r="AZ201" s="28" t="n">
        <f aca="false">IF(AX201=0,0,A$200)</f>
        <v>0</v>
      </c>
      <c r="BA201" s="55"/>
      <c r="BB201" s="30"/>
      <c r="BC201" s="56"/>
      <c r="BD201" s="27"/>
      <c r="BE201" s="26"/>
      <c r="BF201" s="32"/>
      <c r="BG201" s="33"/>
    </row>
    <row r="202" customFormat="false" ht="15" hidden="false" customHeight="false" outlineLevel="0" collapsed="false">
      <c r="A202" s="21" t="n">
        <f aca="false">B!$E$195</f>
        <v>0</v>
      </c>
      <c r="B202" s="22" t="n">
        <f aca="false">C!G58</f>
        <v>0</v>
      </c>
      <c r="C202" s="22" t="n">
        <f aca="false">D!G58</f>
        <v>0</v>
      </c>
      <c r="D202" s="22" t="n">
        <f aca="false">E!G58</f>
        <v>0</v>
      </c>
      <c r="E202" s="22" t="n">
        <f aca="false">F!G58</f>
        <v>0</v>
      </c>
      <c r="F202" s="22" t="n">
        <f aca="false">G!G58</f>
        <v>0</v>
      </c>
      <c r="G202" s="22" t="n">
        <f aca="false">H!G58</f>
        <v>0</v>
      </c>
      <c r="H202" s="22" t="n">
        <f aca="false">I!G58</f>
        <v>0</v>
      </c>
      <c r="I202" s="22" t="n">
        <f aca="false">J!G58</f>
        <v>0</v>
      </c>
      <c r="J202" s="22" t="n">
        <f aca="false">K!G58</f>
        <v>0</v>
      </c>
      <c r="K202" s="22" t="n">
        <f aca="false">L!G58</f>
        <v>0</v>
      </c>
      <c r="L202" s="22" t="n">
        <f aca="false">M!G58</f>
        <v>0</v>
      </c>
      <c r="M202" s="22" t="n">
        <f aca="false">N!G58</f>
        <v>0</v>
      </c>
      <c r="N202" s="22" t="n">
        <f aca="false">O!G58</f>
        <v>0</v>
      </c>
      <c r="O202" s="22" t="n">
        <f aca="false">P!G58</f>
        <v>0</v>
      </c>
      <c r="P202" s="22" t="n">
        <f aca="false">Q!G58</f>
        <v>0</v>
      </c>
      <c r="Q202" s="22" t="n">
        <f aca="false">R!G58</f>
        <v>0</v>
      </c>
      <c r="R202" s="22" t="n">
        <f aca="false">S!G58</f>
        <v>0</v>
      </c>
      <c r="S202" s="22" t="n">
        <f aca="false">T!G58</f>
        <v>0</v>
      </c>
      <c r="T202" s="22" t="n">
        <f aca="false">U!G58</f>
        <v>0</v>
      </c>
      <c r="U202" s="22" t="n">
        <f aca="false">V!G58</f>
        <v>0</v>
      </c>
      <c r="V202" s="22" t="n">
        <f aca="false">W!G58</f>
        <v>0</v>
      </c>
      <c r="W202" s="22" t="n">
        <f aca="false">X!G58</f>
        <v>0</v>
      </c>
      <c r="X202" s="23" t="n">
        <f aca="false">SUM(B202:W202)</f>
        <v>0</v>
      </c>
      <c r="Y202" s="24" t="n">
        <f aca="false">IF(AW202=0,0,X202/AW202)</f>
        <v>0</v>
      </c>
      <c r="Z202" s="25" t="n">
        <f aca="false">A202</f>
        <v>0</v>
      </c>
      <c r="AA202" s="16" t="n">
        <f aca="false">IF(B202=0,0,1)</f>
        <v>0</v>
      </c>
      <c r="AB202" s="0" t="n">
        <f aca="false">IF(C202=0,0,1)</f>
        <v>0</v>
      </c>
      <c r="AC202" s="0" t="n">
        <f aca="false">IF(D202=0,0,1)</f>
        <v>0</v>
      </c>
      <c r="AD202" s="0" t="n">
        <f aca="false">IF(E202=0,0,1)</f>
        <v>0</v>
      </c>
      <c r="AE202" s="0" t="n">
        <f aca="false">IF(F202=0,0,1)</f>
        <v>0</v>
      </c>
      <c r="AF202" s="0" t="n">
        <f aca="false">IF(G202=0,0,1)</f>
        <v>0</v>
      </c>
      <c r="AG202" s="0" t="n">
        <f aca="false">IF(H202=0,0,1)</f>
        <v>0</v>
      </c>
      <c r="AH202" s="0" t="n">
        <f aca="false">IF(I202=0,0,1)</f>
        <v>0</v>
      </c>
      <c r="AI202" s="0" t="n">
        <f aca="false">IF(J202=0,0,1)</f>
        <v>0</v>
      </c>
      <c r="AJ202" s="0" t="n">
        <f aca="false">IF(K202=0,0,1)</f>
        <v>0</v>
      </c>
      <c r="AK202" s="0" t="n">
        <f aca="false">IF(L202=0,0,1)</f>
        <v>0</v>
      </c>
      <c r="AL202" s="0" t="n">
        <f aca="false">IF(M202=0,0,1)</f>
        <v>0</v>
      </c>
      <c r="AM202" s="0" t="n">
        <f aca="false">IF(N202=0,0,1)</f>
        <v>0</v>
      </c>
      <c r="AN202" s="0" t="n">
        <f aca="false">IF(O202=0,0,1)</f>
        <v>0</v>
      </c>
      <c r="AO202" s="0" t="n">
        <f aca="false">IF(P202=0,0,1)</f>
        <v>0</v>
      </c>
      <c r="AP202" s="0" t="n">
        <f aca="false">IF(Q202=0,0,1)</f>
        <v>0</v>
      </c>
      <c r="AQ202" s="0" t="n">
        <f aca="false">IF(R202=0,0,1)</f>
        <v>0</v>
      </c>
      <c r="AR202" s="0" t="n">
        <f aca="false">IF(S202=0,0,1)</f>
        <v>0</v>
      </c>
      <c r="AS202" s="0" t="n">
        <f aca="false">IF(T202=0,0,1)</f>
        <v>0</v>
      </c>
      <c r="AT202" s="0" t="n">
        <f aca="false">IF(U202=0,0,1)</f>
        <v>0</v>
      </c>
      <c r="AU202" s="0" t="n">
        <f aca="false">IF(V202=0,0,1)</f>
        <v>0</v>
      </c>
      <c r="AV202" s="0" t="n">
        <f aca="false">IF(W202=0,0,1)</f>
        <v>0</v>
      </c>
      <c r="AW202" s="26" t="n">
        <f aca="false">SUM(AA202:AV202)</f>
        <v>0</v>
      </c>
      <c r="AX202" s="27" t="n">
        <f aca="false">IF(X202=0,0,X202)</f>
        <v>0</v>
      </c>
      <c r="AY202" s="1" t="n">
        <f aca="false">IF(X202=0,0,A202)</f>
        <v>0</v>
      </c>
      <c r="AZ202" s="28" t="n">
        <f aca="false">IF(AX202=0,0,A$200)</f>
        <v>0</v>
      </c>
      <c r="BA202" s="55"/>
      <c r="BB202" s="30"/>
      <c r="BC202" s="56"/>
      <c r="BD202" s="27"/>
      <c r="BE202" s="26"/>
      <c r="BF202" s="32"/>
      <c r="BG202" s="33"/>
    </row>
    <row r="203" customFormat="false" ht="15" hidden="false" customHeight="false" outlineLevel="0" collapsed="false">
      <c r="A203" s="21" t="n">
        <f aca="false">B!$E$200</f>
        <v>0</v>
      </c>
      <c r="B203" s="22" t="n">
        <f aca="false">C!G59</f>
        <v>0</v>
      </c>
      <c r="C203" s="22" t="n">
        <f aca="false">D!G59</f>
        <v>0</v>
      </c>
      <c r="D203" s="22" t="n">
        <f aca="false">E!G59</f>
        <v>0</v>
      </c>
      <c r="E203" s="22" t="n">
        <f aca="false">F!G59</f>
        <v>0</v>
      </c>
      <c r="F203" s="22" t="n">
        <f aca="false">G!G59</f>
        <v>0</v>
      </c>
      <c r="G203" s="22" t="n">
        <f aca="false">H!G59</f>
        <v>0</v>
      </c>
      <c r="H203" s="22" t="n">
        <f aca="false">I!G59</f>
        <v>0</v>
      </c>
      <c r="I203" s="22" t="n">
        <f aca="false">J!G59</f>
        <v>0</v>
      </c>
      <c r="J203" s="22" t="n">
        <f aca="false">K!G59</f>
        <v>0</v>
      </c>
      <c r="K203" s="22" t="n">
        <f aca="false">L!G59</f>
        <v>0</v>
      </c>
      <c r="L203" s="22" t="n">
        <f aca="false">M!G59</f>
        <v>0</v>
      </c>
      <c r="M203" s="22" t="n">
        <f aca="false">N!G59</f>
        <v>0</v>
      </c>
      <c r="N203" s="22" t="n">
        <f aca="false">O!G59</f>
        <v>0</v>
      </c>
      <c r="O203" s="22" t="n">
        <f aca="false">P!G59</f>
        <v>0</v>
      </c>
      <c r="P203" s="22" t="n">
        <f aca="false">Q!G59</f>
        <v>0</v>
      </c>
      <c r="Q203" s="22" t="n">
        <f aca="false">R!G59</f>
        <v>0</v>
      </c>
      <c r="R203" s="22" t="n">
        <f aca="false">S!G59</f>
        <v>0</v>
      </c>
      <c r="S203" s="22" t="n">
        <f aca="false">T!G59</f>
        <v>0</v>
      </c>
      <c r="T203" s="22" t="n">
        <f aca="false">U!G59</f>
        <v>0</v>
      </c>
      <c r="U203" s="22" t="n">
        <f aca="false">V!G59</f>
        <v>0</v>
      </c>
      <c r="V203" s="22" t="n">
        <f aca="false">W!G59</f>
        <v>0</v>
      </c>
      <c r="W203" s="22" t="n">
        <f aca="false">X!G59</f>
        <v>0</v>
      </c>
      <c r="X203" s="23" t="n">
        <f aca="false">SUM(B203:W203)</f>
        <v>0</v>
      </c>
      <c r="Y203" s="24" t="n">
        <f aca="false">IF(AW203=0,0,X203/AW203)</f>
        <v>0</v>
      </c>
      <c r="Z203" s="25" t="n">
        <f aca="false">A203</f>
        <v>0</v>
      </c>
      <c r="AA203" s="16" t="n">
        <f aca="false">IF(B203=0,0,1)</f>
        <v>0</v>
      </c>
      <c r="AB203" s="0" t="n">
        <f aca="false">IF(C203=0,0,1)</f>
        <v>0</v>
      </c>
      <c r="AC203" s="0" t="n">
        <f aca="false">IF(D203=0,0,1)</f>
        <v>0</v>
      </c>
      <c r="AD203" s="0" t="n">
        <f aca="false">IF(E203=0,0,1)</f>
        <v>0</v>
      </c>
      <c r="AE203" s="0" t="n">
        <f aca="false">IF(F203=0,0,1)</f>
        <v>0</v>
      </c>
      <c r="AF203" s="0" t="n">
        <f aca="false">IF(G203=0,0,1)</f>
        <v>0</v>
      </c>
      <c r="AG203" s="0" t="n">
        <f aca="false">IF(H203=0,0,1)</f>
        <v>0</v>
      </c>
      <c r="AH203" s="0" t="n">
        <f aca="false">IF(I203=0,0,1)</f>
        <v>0</v>
      </c>
      <c r="AI203" s="0" t="n">
        <f aca="false">IF(J203=0,0,1)</f>
        <v>0</v>
      </c>
      <c r="AJ203" s="0" t="n">
        <f aca="false">IF(K203=0,0,1)</f>
        <v>0</v>
      </c>
      <c r="AK203" s="0" t="n">
        <f aca="false">IF(L203=0,0,1)</f>
        <v>0</v>
      </c>
      <c r="AL203" s="0" t="n">
        <f aca="false">IF(M203=0,0,1)</f>
        <v>0</v>
      </c>
      <c r="AM203" s="0" t="n">
        <f aca="false">IF(N203=0,0,1)</f>
        <v>0</v>
      </c>
      <c r="AN203" s="0" t="n">
        <f aca="false">IF(O203=0,0,1)</f>
        <v>0</v>
      </c>
      <c r="AO203" s="0" t="n">
        <f aca="false">IF(P203=0,0,1)</f>
        <v>0</v>
      </c>
      <c r="AP203" s="0" t="n">
        <f aca="false">IF(Q203=0,0,1)</f>
        <v>0</v>
      </c>
      <c r="AQ203" s="0" t="n">
        <f aca="false">IF(R203=0,0,1)</f>
        <v>0</v>
      </c>
      <c r="AR203" s="0" t="n">
        <f aca="false">IF(S203=0,0,1)</f>
        <v>0</v>
      </c>
      <c r="AS203" s="0" t="n">
        <f aca="false">IF(T203=0,0,1)</f>
        <v>0</v>
      </c>
      <c r="AT203" s="0" t="n">
        <f aca="false">IF(U203=0,0,1)</f>
        <v>0</v>
      </c>
      <c r="AU203" s="0" t="n">
        <f aca="false">IF(V203=0,0,1)</f>
        <v>0</v>
      </c>
      <c r="AV203" s="0" t="n">
        <f aca="false">IF(W203=0,0,1)</f>
        <v>0</v>
      </c>
      <c r="AW203" s="26" t="n">
        <f aca="false">SUM(AA203:AV203)</f>
        <v>0</v>
      </c>
      <c r="AX203" s="27" t="n">
        <f aca="false">IF(X203=0,0,X203)</f>
        <v>0</v>
      </c>
      <c r="AY203" s="1" t="n">
        <f aca="false">IF(X203=0,0,A203)</f>
        <v>0</v>
      </c>
      <c r="AZ203" s="28" t="n">
        <f aca="false">IF(AX203=0,0,A$200)</f>
        <v>0</v>
      </c>
      <c r="BA203" s="55"/>
      <c r="BB203" s="30"/>
      <c r="BC203" s="56"/>
      <c r="BD203" s="27"/>
      <c r="BE203" s="26"/>
      <c r="BF203" s="32"/>
      <c r="BG203" s="33"/>
    </row>
    <row r="204" customFormat="false" ht="15" hidden="false" customHeight="false" outlineLevel="0" collapsed="false">
      <c r="A204" s="21" t="n">
        <f aca="false">B!$E$205</f>
        <v>0</v>
      </c>
      <c r="B204" s="22" t="n">
        <f aca="false">C!G60</f>
        <v>0</v>
      </c>
      <c r="C204" s="22" t="n">
        <f aca="false">D!G60</f>
        <v>0</v>
      </c>
      <c r="D204" s="22" t="n">
        <f aca="false">E!G60</f>
        <v>0</v>
      </c>
      <c r="E204" s="22" t="n">
        <f aca="false">F!G60</f>
        <v>0</v>
      </c>
      <c r="F204" s="22" t="n">
        <f aca="false">G!G60</f>
        <v>0</v>
      </c>
      <c r="G204" s="22" t="n">
        <f aca="false">H!G60</f>
        <v>0</v>
      </c>
      <c r="H204" s="22" t="n">
        <f aca="false">I!G60</f>
        <v>0</v>
      </c>
      <c r="I204" s="22" t="n">
        <f aca="false">J!G60</f>
        <v>0</v>
      </c>
      <c r="J204" s="22" t="n">
        <f aca="false">K!G60</f>
        <v>0</v>
      </c>
      <c r="K204" s="22" t="n">
        <f aca="false">L!G60</f>
        <v>0</v>
      </c>
      <c r="L204" s="22" t="n">
        <f aca="false">M!G60</f>
        <v>0</v>
      </c>
      <c r="M204" s="22" t="n">
        <f aca="false">N!G60</f>
        <v>0</v>
      </c>
      <c r="N204" s="22" t="n">
        <f aca="false">O!G60</f>
        <v>0</v>
      </c>
      <c r="O204" s="22" t="n">
        <f aca="false">P!G60</f>
        <v>0</v>
      </c>
      <c r="P204" s="22" t="n">
        <f aca="false">Q!G60</f>
        <v>0</v>
      </c>
      <c r="Q204" s="22" t="n">
        <f aca="false">R!G60</f>
        <v>0</v>
      </c>
      <c r="R204" s="22" t="n">
        <f aca="false">S!G60</f>
        <v>0</v>
      </c>
      <c r="S204" s="22" t="n">
        <f aca="false">T!G60</f>
        <v>0</v>
      </c>
      <c r="T204" s="22" t="n">
        <f aca="false">U!G60</f>
        <v>0</v>
      </c>
      <c r="U204" s="22" t="n">
        <f aca="false">V!G60</f>
        <v>0</v>
      </c>
      <c r="V204" s="22" t="n">
        <f aca="false">W!G60</f>
        <v>0</v>
      </c>
      <c r="W204" s="22" t="n">
        <f aca="false">X!G60</f>
        <v>0</v>
      </c>
      <c r="X204" s="23" t="n">
        <f aca="false">SUM(B204:W204)</f>
        <v>0</v>
      </c>
      <c r="Y204" s="24" t="n">
        <f aca="false">IF(AW204=0,0,X204/AW204)</f>
        <v>0</v>
      </c>
      <c r="Z204" s="25" t="n">
        <f aca="false">A204</f>
        <v>0</v>
      </c>
      <c r="AA204" s="16" t="n">
        <f aca="false">IF(B204=0,0,1)</f>
        <v>0</v>
      </c>
      <c r="AB204" s="0" t="n">
        <f aca="false">IF(C204=0,0,1)</f>
        <v>0</v>
      </c>
      <c r="AC204" s="0" t="n">
        <f aca="false">IF(D204=0,0,1)</f>
        <v>0</v>
      </c>
      <c r="AD204" s="0" t="n">
        <f aca="false">IF(E204=0,0,1)</f>
        <v>0</v>
      </c>
      <c r="AE204" s="0" t="n">
        <f aca="false">IF(F204=0,0,1)</f>
        <v>0</v>
      </c>
      <c r="AF204" s="0" t="n">
        <f aca="false">IF(G204=0,0,1)</f>
        <v>0</v>
      </c>
      <c r="AG204" s="0" t="n">
        <f aca="false">IF(H204=0,0,1)</f>
        <v>0</v>
      </c>
      <c r="AH204" s="0" t="n">
        <f aca="false">IF(I204=0,0,1)</f>
        <v>0</v>
      </c>
      <c r="AI204" s="0" t="n">
        <f aca="false">IF(J204=0,0,1)</f>
        <v>0</v>
      </c>
      <c r="AJ204" s="0" t="n">
        <f aca="false">IF(K204=0,0,1)</f>
        <v>0</v>
      </c>
      <c r="AK204" s="0" t="n">
        <f aca="false">IF(L204=0,0,1)</f>
        <v>0</v>
      </c>
      <c r="AL204" s="0" t="n">
        <f aca="false">IF(M204=0,0,1)</f>
        <v>0</v>
      </c>
      <c r="AM204" s="0" t="n">
        <f aca="false">IF(N204=0,0,1)</f>
        <v>0</v>
      </c>
      <c r="AN204" s="0" t="n">
        <f aca="false">IF(O204=0,0,1)</f>
        <v>0</v>
      </c>
      <c r="AO204" s="0" t="n">
        <f aca="false">IF(P204=0,0,1)</f>
        <v>0</v>
      </c>
      <c r="AP204" s="0" t="n">
        <f aca="false">IF(Q204=0,0,1)</f>
        <v>0</v>
      </c>
      <c r="AQ204" s="0" t="n">
        <f aca="false">IF(R204=0,0,1)</f>
        <v>0</v>
      </c>
      <c r="AR204" s="0" t="n">
        <f aca="false">IF(S204=0,0,1)</f>
        <v>0</v>
      </c>
      <c r="AS204" s="0" t="n">
        <f aca="false">IF(T204=0,0,1)</f>
        <v>0</v>
      </c>
      <c r="AT204" s="0" t="n">
        <f aca="false">IF(U204=0,0,1)</f>
        <v>0</v>
      </c>
      <c r="AU204" s="0" t="n">
        <f aca="false">IF(V204=0,0,1)</f>
        <v>0</v>
      </c>
      <c r="AV204" s="0" t="n">
        <f aca="false">IF(W204=0,0,1)</f>
        <v>0</v>
      </c>
      <c r="AW204" s="26" t="n">
        <f aca="false">SUM(AA204:AV204)</f>
        <v>0</v>
      </c>
      <c r="AX204" s="27" t="n">
        <f aca="false">IF(X204=0,0,X204)</f>
        <v>0</v>
      </c>
      <c r="AY204" s="1" t="n">
        <f aca="false">IF(X204=0,0,A204)</f>
        <v>0</v>
      </c>
      <c r="AZ204" s="28" t="n">
        <f aca="false">IF(AX204=0,0,A$200)</f>
        <v>0</v>
      </c>
      <c r="BA204" s="55"/>
      <c r="BB204" s="30"/>
      <c r="BC204" s="56"/>
      <c r="BD204" s="27"/>
      <c r="BE204" s="26"/>
      <c r="BF204" s="32"/>
      <c r="BG204" s="33"/>
    </row>
    <row r="205" customFormat="false" ht="15" hidden="false" customHeight="false" outlineLevel="0" collapsed="false">
      <c r="A205" s="21" t="n">
        <f aca="false">B!$E$210</f>
        <v>0</v>
      </c>
      <c r="B205" s="22" t="n">
        <f aca="false">C!G61</f>
        <v>0</v>
      </c>
      <c r="C205" s="22" t="n">
        <f aca="false">D!G61</f>
        <v>0</v>
      </c>
      <c r="D205" s="22" t="n">
        <f aca="false">E!G61</f>
        <v>0</v>
      </c>
      <c r="E205" s="22" t="n">
        <f aca="false">F!G61</f>
        <v>0</v>
      </c>
      <c r="F205" s="22" t="n">
        <f aca="false">G!G61</f>
        <v>0</v>
      </c>
      <c r="G205" s="22" t="n">
        <f aca="false">H!G61</f>
        <v>0</v>
      </c>
      <c r="H205" s="22" t="n">
        <f aca="false">I!G61</f>
        <v>0</v>
      </c>
      <c r="I205" s="22" t="n">
        <f aca="false">J!G61</f>
        <v>0</v>
      </c>
      <c r="J205" s="22" t="n">
        <f aca="false">K!G61</f>
        <v>0</v>
      </c>
      <c r="K205" s="22" t="n">
        <f aca="false">L!G61</f>
        <v>0</v>
      </c>
      <c r="L205" s="22" t="n">
        <f aca="false">M!G61</f>
        <v>0</v>
      </c>
      <c r="M205" s="22" t="n">
        <f aca="false">N!G61</f>
        <v>0</v>
      </c>
      <c r="N205" s="22" t="n">
        <f aca="false">O!G61</f>
        <v>0</v>
      </c>
      <c r="O205" s="22" t="n">
        <f aca="false">P!G61</f>
        <v>0</v>
      </c>
      <c r="P205" s="22" t="n">
        <f aca="false">Q!G61</f>
        <v>0</v>
      </c>
      <c r="Q205" s="22" t="n">
        <f aca="false">R!G61</f>
        <v>0</v>
      </c>
      <c r="R205" s="22" t="n">
        <f aca="false">S!G61</f>
        <v>0</v>
      </c>
      <c r="S205" s="22" t="n">
        <f aca="false">T!G61</f>
        <v>0</v>
      </c>
      <c r="T205" s="22" t="n">
        <f aca="false">U!G61</f>
        <v>0</v>
      </c>
      <c r="U205" s="22" t="n">
        <f aca="false">V!G61</f>
        <v>0</v>
      </c>
      <c r="V205" s="22" t="n">
        <f aca="false">W!G61</f>
        <v>0</v>
      </c>
      <c r="W205" s="22" t="n">
        <f aca="false">X!G61</f>
        <v>0</v>
      </c>
      <c r="X205" s="23" t="n">
        <f aca="false">SUM(B205:W205)</f>
        <v>0</v>
      </c>
      <c r="Y205" s="24" t="n">
        <f aca="false">IF(AW205=0,0,X205/AW205)</f>
        <v>0</v>
      </c>
      <c r="Z205" s="25" t="n">
        <f aca="false">A205</f>
        <v>0</v>
      </c>
      <c r="AA205" s="16" t="n">
        <f aca="false">IF(B205=0,0,1)</f>
        <v>0</v>
      </c>
      <c r="AB205" s="0" t="n">
        <f aca="false">IF(C205=0,0,1)</f>
        <v>0</v>
      </c>
      <c r="AC205" s="0" t="n">
        <f aca="false">IF(D205=0,0,1)</f>
        <v>0</v>
      </c>
      <c r="AD205" s="0" t="n">
        <f aca="false">IF(E205=0,0,1)</f>
        <v>0</v>
      </c>
      <c r="AE205" s="0" t="n">
        <f aca="false">IF(F205=0,0,1)</f>
        <v>0</v>
      </c>
      <c r="AF205" s="0" t="n">
        <f aca="false">IF(G205=0,0,1)</f>
        <v>0</v>
      </c>
      <c r="AG205" s="0" t="n">
        <f aca="false">IF(H205=0,0,1)</f>
        <v>0</v>
      </c>
      <c r="AH205" s="0" t="n">
        <f aca="false">IF(I205=0,0,1)</f>
        <v>0</v>
      </c>
      <c r="AI205" s="0" t="n">
        <f aca="false">IF(J205=0,0,1)</f>
        <v>0</v>
      </c>
      <c r="AJ205" s="0" t="n">
        <f aca="false">IF(K205=0,0,1)</f>
        <v>0</v>
      </c>
      <c r="AK205" s="0" t="n">
        <f aca="false">IF(L205=0,0,1)</f>
        <v>0</v>
      </c>
      <c r="AL205" s="0" t="n">
        <f aca="false">IF(M205=0,0,1)</f>
        <v>0</v>
      </c>
      <c r="AM205" s="0" t="n">
        <f aca="false">IF(N205=0,0,1)</f>
        <v>0</v>
      </c>
      <c r="AN205" s="0" t="n">
        <f aca="false">IF(O205=0,0,1)</f>
        <v>0</v>
      </c>
      <c r="AO205" s="0" t="n">
        <f aca="false">IF(P205=0,0,1)</f>
        <v>0</v>
      </c>
      <c r="AP205" s="0" t="n">
        <f aca="false">IF(Q205=0,0,1)</f>
        <v>0</v>
      </c>
      <c r="AQ205" s="0" t="n">
        <f aca="false">IF(R205=0,0,1)</f>
        <v>0</v>
      </c>
      <c r="AR205" s="0" t="n">
        <f aca="false">IF(S205=0,0,1)</f>
        <v>0</v>
      </c>
      <c r="AS205" s="0" t="n">
        <f aca="false">IF(T205=0,0,1)</f>
        <v>0</v>
      </c>
      <c r="AT205" s="0" t="n">
        <f aca="false">IF(U205=0,0,1)</f>
        <v>0</v>
      </c>
      <c r="AU205" s="0" t="n">
        <f aca="false">IF(V205=0,0,1)</f>
        <v>0</v>
      </c>
      <c r="AV205" s="0" t="n">
        <f aca="false">IF(W205=0,0,1)</f>
        <v>0</v>
      </c>
      <c r="AW205" s="26" t="n">
        <f aca="false">SUM(AA205:AV205)</f>
        <v>0</v>
      </c>
      <c r="AX205" s="27" t="n">
        <f aca="false">IF(X205=0,0,X205)</f>
        <v>0</v>
      </c>
      <c r="AY205" s="1" t="n">
        <f aca="false">IF(X205=0,0,A205)</f>
        <v>0</v>
      </c>
      <c r="AZ205" s="28" t="n">
        <f aca="false">IF(AX205=0,0,A$200)</f>
        <v>0</v>
      </c>
      <c r="BA205" s="55"/>
      <c r="BB205" s="30"/>
      <c r="BC205" s="56"/>
      <c r="BD205" s="27"/>
      <c r="BE205" s="26"/>
      <c r="BF205" s="32"/>
      <c r="BG205" s="33"/>
    </row>
    <row r="206" customFormat="false" ht="15" hidden="false" customHeight="false" outlineLevel="0" collapsed="false">
      <c r="A206" s="21" t="n">
        <f aca="false">B!$E$215</f>
        <v>0</v>
      </c>
      <c r="B206" s="22" t="n">
        <f aca="false">C!G62</f>
        <v>0</v>
      </c>
      <c r="C206" s="22" t="n">
        <f aca="false">D!G62</f>
        <v>0</v>
      </c>
      <c r="D206" s="22" t="n">
        <f aca="false">E!G62</f>
        <v>0</v>
      </c>
      <c r="E206" s="22" t="n">
        <f aca="false">F!G62</f>
        <v>0</v>
      </c>
      <c r="F206" s="22" t="n">
        <f aca="false">G!G62</f>
        <v>0</v>
      </c>
      <c r="G206" s="22" t="n">
        <f aca="false">H!G62</f>
        <v>0</v>
      </c>
      <c r="H206" s="22" t="n">
        <f aca="false">I!G62</f>
        <v>0</v>
      </c>
      <c r="I206" s="22" t="n">
        <f aca="false">J!G62</f>
        <v>0</v>
      </c>
      <c r="J206" s="22" t="n">
        <f aca="false">K!G62</f>
        <v>0</v>
      </c>
      <c r="K206" s="22" t="n">
        <f aca="false">L!G62</f>
        <v>0</v>
      </c>
      <c r="L206" s="22" t="n">
        <f aca="false">M!G62</f>
        <v>0</v>
      </c>
      <c r="M206" s="22" t="n">
        <f aca="false">N!G62</f>
        <v>0</v>
      </c>
      <c r="N206" s="22" t="n">
        <f aca="false">O!G62</f>
        <v>0</v>
      </c>
      <c r="O206" s="22" t="n">
        <f aca="false">P!G62</f>
        <v>0</v>
      </c>
      <c r="P206" s="22" t="n">
        <f aca="false">Q!G62</f>
        <v>0</v>
      </c>
      <c r="Q206" s="22" t="n">
        <f aca="false">R!G62</f>
        <v>0</v>
      </c>
      <c r="R206" s="22" t="n">
        <f aca="false">S!G62</f>
        <v>0</v>
      </c>
      <c r="S206" s="22" t="n">
        <f aca="false">T!G62</f>
        <v>0</v>
      </c>
      <c r="T206" s="22" t="n">
        <f aca="false">U!G62</f>
        <v>0</v>
      </c>
      <c r="U206" s="22" t="n">
        <f aca="false">V!G62</f>
        <v>0</v>
      </c>
      <c r="V206" s="22" t="n">
        <f aca="false">W!G62</f>
        <v>0</v>
      </c>
      <c r="W206" s="22" t="n">
        <f aca="false">X!G62</f>
        <v>0</v>
      </c>
      <c r="X206" s="23" t="n">
        <f aca="false">SUM(B206:W206)</f>
        <v>0</v>
      </c>
      <c r="Y206" s="24" t="n">
        <f aca="false">IF(AW206=0,0,X206/AW206)</f>
        <v>0</v>
      </c>
      <c r="Z206" s="25" t="n">
        <f aca="false">A206</f>
        <v>0</v>
      </c>
      <c r="AA206" s="16" t="n">
        <f aca="false">IF(B206=0,0,1)</f>
        <v>0</v>
      </c>
      <c r="AB206" s="0" t="n">
        <f aca="false">IF(C206=0,0,1)</f>
        <v>0</v>
      </c>
      <c r="AC206" s="0" t="n">
        <f aca="false">IF(D206=0,0,1)</f>
        <v>0</v>
      </c>
      <c r="AD206" s="0" t="n">
        <f aca="false">IF(E206=0,0,1)</f>
        <v>0</v>
      </c>
      <c r="AE206" s="0" t="n">
        <f aca="false">IF(F206=0,0,1)</f>
        <v>0</v>
      </c>
      <c r="AF206" s="0" t="n">
        <f aca="false">IF(G206=0,0,1)</f>
        <v>0</v>
      </c>
      <c r="AG206" s="0" t="n">
        <f aca="false">IF(H206=0,0,1)</f>
        <v>0</v>
      </c>
      <c r="AH206" s="0" t="n">
        <f aca="false">IF(I206=0,0,1)</f>
        <v>0</v>
      </c>
      <c r="AI206" s="0" t="n">
        <f aca="false">IF(J206=0,0,1)</f>
        <v>0</v>
      </c>
      <c r="AJ206" s="0" t="n">
        <f aca="false">IF(K206=0,0,1)</f>
        <v>0</v>
      </c>
      <c r="AK206" s="0" t="n">
        <f aca="false">IF(L206=0,0,1)</f>
        <v>0</v>
      </c>
      <c r="AL206" s="0" t="n">
        <f aca="false">IF(M206=0,0,1)</f>
        <v>0</v>
      </c>
      <c r="AM206" s="0" t="n">
        <f aca="false">IF(N206=0,0,1)</f>
        <v>0</v>
      </c>
      <c r="AN206" s="0" t="n">
        <f aca="false">IF(O206=0,0,1)</f>
        <v>0</v>
      </c>
      <c r="AO206" s="0" t="n">
        <f aca="false">IF(P206=0,0,1)</f>
        <v>0</v>
      </c>
      <c r="AP206" s="0" t="n">
        <f aca="false">IF(Q206=0,0,1)</f>
        <v>0</v>
      </c>
      <c r="AQ206" s="0" t="n">
        <f aca="false">IF(R206=0,0,1)</f>
        <v>0</v>
      </c>
      <c r="AR206" s="0" t="n">
        <f aca="false">IF(S206=0,0,1)</f>
        <v>0</v>
      </c>
      <c r="AS206" s="0" t="n">
        <f aca="false">IF(T206=0,0,1)</f>
        <v>0</v>
      </c>
      <c r="AT206" s="0" t="n">
        <f aca="false">IF(U206=0,0,1)</f>
        <v>0</v>
      </c>
      <c r="AU206" s="0" t="n">
        <f aca="false">IF(V206=0,0,1)</f>
        <v>0</v>
      </c>
      <c r="AV206" s="0" t="n">
        <f aca="false">IF(W206=0,0,1)</f>
        <v>0</v>
      </c>
      <c r="AW206" s="26" t="n">
        <f aca="false">SUM(AA206:AV206)</f>
        <v>0</v>
      </c>
      <c r="AX206" s="27" t="n">
        <f aca="false">IF(X206=0,0,X206)</f>
        <v>0</v>
      </c>
      <c r="AY206" s="1" t="n">
        <f aca="false">IF(X206=0,0,A206)</f>
        <v>0</v>
      </c>
      <c r="AZ206" s="28" t="n">
        <f aca="false">IF(AX206=0,0,A$200)</f>
        <v>0</v>
      </c>
      <c r="BA206" s="55"/>
      <c r="BB206" s="30"/>
      <c r="BC206" s="56"/>
      <c r="BD206" s="27"/>
      <c r="BE206" s="26"/>
      <c r="BF206" s="32"/>
      <c r="BG206" s="33"/>
    </row>
    <row r="207" customFormat="false" ht="15" hidden="false" customHeight="false" outlineLevel="0" collapsed="false">
      <c r="A207" s="21" t="n">
        <f aca="false">B!$E$220</f>
        <v>0</v>
      </c>
      <c r="B207" s="22" t="n">
        <f aca="false">C!G63</f>
        <v>0</v>
      </c>
      <c r="C207" s="22" t="n">
        <f aca="false">D!G63</f>
        <v>0</v>
      </c>
      <c r="D207" s="22" t="n">
        <f aca="false">E!G63</f>
        <v>0</v>
      </c>
      <c r="E207" s="22" t="n">
        <f aca="false">F!G63</f>
        <v>0</v>
      </c>
      <c r="F207" s="22" t="n">
        <f aca="false">G!G63</f>
        <v>0</v>
      </c>
      <c r="G207" s="22" t="n">
        <f aca="false">H!G63</f>
        <v>0</v>
      </c>
      <c r="H207" s="22" t="n">
        <f aca="false">I!G63</f>
        <v>0</v>
      </c>
      <c r="I207" s="22" t="n">
        <f aca="false">J!G63</f>
        <v>0</v>
      </c>
      <c r="J207" s="22" t="n">
        <f aca="false">K!G63</f>
        <v>0</v>
      </c>
      <c r="K207" s="22" t="n">
        <f aca="false">L!G63</f>
        <v>0</v>
      </c>
      <c r="L207" s="22" t="n">
        <f aca="false">M!G63</f>
        <v>0</v>
      </c>
      <c r="M207" s="22" t="n">
        <f aca="false">N!G63</f>
        <v>0</v>
      </c>
      <c r="N207" s="22" t="n">
        <f aca="false">O!G63</f>
        <v>0</v>
      </c>
      <c r="O207" s="22" t="n">
        <f aca="false">P!G63</f>
        <v>0</v>
      </c>
      <c r="P207" s="22" t="n">
        <f aca="false">Q!G63</f>
        <v>0</v>
      </c>
      <c r="Q207" s="22" t="n">
        <f aca="false">R!G63</f>
        <v>0</v>
      </c>
      <c r="R207" s="22" t="n">
        <f aca="false">S!G63</f>
        <v>0</v>
      </c>
      <c r="S207" s="22" t="n">
        <f aca="false">T!G63</f>
        <v>0</v>
      </c>
      <c r="T207" s="22" t="n">
        <f aca="false">U!G63</f>
        <v>0</v>
      </c>
      <c r="U207" s="22" t="n">
        <f aca="false">V!G63</f>
        <v>0</v>
      </c>
      <c r="V207" s="22" t="n">
        <f aca="false">W!G63</f>
        <v>0</v>
      </c>
      <c r="W207" s="22" t="n">
        <f aca="false">X!G63</f>
        <v>0</v>
      </c>
      <c r="X207" s="23" t="n">
        <f aca="false">SUM(B207:W207)</f>
        <v>0</v>
      </c>
      <c r="Y207" s="24" t="n">
        <f aca="false">IF(AW207=0,0,X207/AW207)</f>
        <v>0</v>
      </c>
      <c r="Z207" s="25" t="n">
        <f aca="false">A207</f>
        <v>0</v>
      </c>
      <c r="AA207" s="16" t="n">
        <f aca="false">IF(B207=0,0,1)</f>
        <v>0</v>
      </c>
      <c r="AB207" s="0" t="n">
        <f aca="false">IF(C207=0,0,1)</f>
        <v>0</v>
      </c>
      <c r="AC207" s="0" t="n">
        <f aca="false">IF(D207=0,0,1)</f>
        <v>0</v>
      </c>
      <c r="AD207" s="0" t="n">
        <f aca="false">IF(E207=0,0,1)</f>
        <v>0</v>
      </c>
      <c r="AE207" s="0" t="n">
        <f aca="false">IF(F207=0,0,1)</f>
        <v>0</v>
      </c>
      <c r="AF207" s="0" t="n">
        <f aca="false">IF(G207=0,0,1)</f>
        <v>0</v>
      </c>
      <c r="AG207" s="0" t="n">
        <f aca="false">IF(H207=0,0,1)</f>
        <v>0</v>
      </c>
      <c r="AH207" s="0" t="n">
        <f aca="false">IF(I207=0,0,1)</f>
        <v>0</v>
      </c>
      <c r="AI207" s="0" t="n">
        <f aca="false">IF(J207=0,0,1)</f>
        <v>0</v>
      </c>
      <c r="AJ207" s="0" t="n">
        <f aca="false">IF(K207=0,0,1)</f>
        <v>0</v>
      </c>
      <c r="AK207" s="0" t="n">
        <f aca="false">IF(L207=0,0,1)</f>
        <v>0</v>
      </c>
      <c r="AL207" s="0" t="n">
        <f aca="false">IF(M207=0,0,1)</f>
        <v>0</v>
      </c>
      <c r="AM207" s="0" t="n">
        <f aca="false">IF(N207=0,0,1)</f>
        <v>0</v>
      </c>
      <c r="AN207" s="0" t="n">
        <f aca="false">IF(O207=0,0,1)</f>
        <v>0</v>
      </c>
      <c r="AO207" s="0" t="n">
        <f aca="false">IF(P207=0,0,1)</f>
        <v>0</v>
      </c>
      <c r="AP207" s="0" t="n">
        <f aca="false">IF(Q207=0,0,1)</f>
        <v>0</v>
      </c>
      <c r="AQ207" s="0" t="n">
        <f aca="false">IF(R207=0,0,1)</f>
        <v>0</v>
      </c>
      <c r="AR207" s="0" t="n">
        <f aca="false">IF(S207=0,0,1)</f>
        <v>0</v>
      </c>
      <c r="AS207" s="0" t="n">
        <f aca="false">IF(T207=0,0,1)</f>
        <v>0</v>
      </c>
      <c r="AT207" s="0" t="n">
        <f aca="false">IF(U207=0,0,1)</f>
        <v>0</v>
      </c>
      <c r="AU207" s="0" t="n">
        <f aca="false">IF(V207=0,0,1)</f>
        <v>0</v>
      </c>
      <c r="AV207" s="0" t="n">
        <f aca="false">IF(W207=0,0,1)</f>
        <v>0</v>
      </c>
      <c r="AW207" s="26" t="n">
        <f aca="false">SUM(AA207:AV207)</f>
        <v>0</v>
      </c>
      <c r="AX207" s="27" t="n">
        <f aca="false">IF(X207=0,0,X207)</f>
        <v>0</v>
      </c>
      <c r="AY207" s="1" t="n">
        <f aca="false">IF(X207=0,0,A207)</f>
        <v>0</v>
      </c>
      <c r="AZ207" s="28" t="n">
        <f aca="false">IF(AX207=0,0,A$200)</f>
        <v>0</v>
      </c>
      <c r="BA207" s="55"/>
      <c r="BB207" s="30"/>
      <c r="BC207" s="56"/>
      <c r="BD207" s="27"/>
      <c r="BE207" s="26"/>
      <c r="BF207" s="32"/>
      <c r="BG207" s="33"/>
    </row>
    <row r="208" customFormat="false" ht="15" hidden="false" customHeight="false" outlineLevel="0" collapsed="false">
      <c r="A208" s="21" t="n">
        <f aca="false">B!$E$225</f>
        <v>0</v>
      </c>
      <c r="B208" s="22" t="n">
        <f aca="false">C!G64</f>
        <v>0</v>
      </c>
      <c r="C208" s="22" t="n">
        <f aca="false">D!G64</f>
        <v>0</v>
      </c>
      <c r="D208" s="22" t="n">
        <f aca="false">E!G64</f>
        <v>0</v>
      </c>
      <c r="E208" s="22" t="n">
        <f aca="false">F!G64</f>
        <v>0</v>
      </c>
      <c r="F208" s="22" t="n">
        <f aca="false">G!G64</f>
        <v>0</v>
      </c>
      <c r="G208" s="22" t="n">
        <f aca="false">H!G64</f>
        <v>0</v>
      </c>
      <c r="H208" s="22" t="n">
        <f aca="false">I!G64</f>
        <v>0</v>
      </c>
      <c r="I208" s="22" t="n">
        <f aca="false">J!G64</f>
        <v>0</v>
      </c>
      <c r="J208" s="22" t="n">
        <f aca="false">K!G64</f>
        <v>0</v>
      </c>
      <c r="K208" s="22" t="n">
        <f aca="false">L!G64</f>
        <v>0</v>
      </c>
      <c r="L208" s="22" t="n">
        <f aca="false">M!G64</f>
        <v>0</v>
      </c>
      <c r="M208" s="22" t="n">
        <f aca="false">N!G64</f>
        <v>0</v>
      </c>
      <c r="N208" s="22" t="n">
        <f aca="false">O!G64</f>
        <v>0</v>
      </c>
      <c r="O208" s="22" t="n">
        <f aca="false">P!G64</f>
        <v>0</v>
      </c>
      <c r="P208" s="22" t="n">
        <f aca="false">Q!G64</f>
        <v>0</v>
      </c>
      <c r="Q208" s="22" t="n">
        <f aca="false">R!G64</f>
        <v>0</v>
      </c>
      <c r="R208" s="22" t="n">
        <f aca="false">S!G64</f>
        <v>0</v>
      </c>
      <c r="S208" s="22" t="n">
        <f aca="false">T!G64</f>
        <v>0</v>
      </c>
      <c r="T208" s="22" t="n">
        <f aca="false">U!G64</f>
        <v>0</v>
      </c>
      <c r="U208" s="22" t="n">
        <f aca="false">V!G64</f>
        <v>0</v>
      </c>
      <c r="V208" s="22" t="n">
        <f aca="false">W!G64</f>
        <v>0</v>
      </c>
      <c r="W208" s="22" t="n">
        <f aca="false">X!G64</f>
        <v>0</v>
      </c>
      <c r="X208" s="23" t="n">
        <f aca="false">SUM(B208:W208)</f>
        <v>0</v>
      </c>
      <c r="Y208" s="24" t="n">
        <f aca="false">IF(AW208=0,0,X208/AW208)</f>
        <v>0</v>
      </c>
      <c r="Z208" s="25" t="n">
        <f aca="false">A208</f>
        <v>0</v>
      </c>
      <c r="AA208" s="16" t="n">
        <f aca="false">IF(B208=0,0,1)</f>
        <v>0</v>
      </c>
      <c r="AB208" s="0" t="n">
        <f aca="false">IF(C208=0,0,1)</f>
        <v>0</v>
      </c>
      <c r="AC208" s="0" t="n">
        <f aca="false">IF(D208=0,0,1)</f>
        <v>0</v>
      </c>
      <c r="AD208" s="0" t="n">
        <f aca="false">IF(E208=0,0,1)</f>
        <v>0</v>
      </c>
      <c r="AE208" s="0" t="n">
        <f aca="false">IF(F208=0,0,1)</f>
        <v>0</v>
      </c>
      <c r="AF208" s="0" t="n">
        <f aca="false">IF(G208=0,0,1)</f>
        <v>0</v>
      </c>
      <c r="AG208" s="0" t="n">
        <f aca="false">IF(H208=0,0,1)</f>
        <v>0</v>
      </c>
      <c r="AH208" s="0" t="n">
        <f aca="false">IF(I208=0,0,1)</f>
        <v>0</v>
      </c>
      <c r="AI208" s="0" t="n">
        <f aca="false">IF(J208=0,0,1)</f>
        <v>0</v>
      </c>
      <c r="AJ208" s="0" t="n">
        <f aca="false">IF(K208=0,0,1)</f>
        <v>0</v>
      </c>
      <c r="AK208" s="0" t="n">
        <f aca="false">IF(L208=0,0,1)</f>
        <v>0</v>
      </c>
      <c r="AL208" s="0" t="n">
        <f aca="false">IF(M208=0,0,1)</f>
        <v>0</v>
      </c>
      <c r="AM208" s="0" t="n">
        <f aca="false">IF(N208=0,0,1)</f>
        <v>0</v>
      </c>
      <c r="AN208" s="0" t="n">
        <f aca="false">IF(O208=0,0,1)</f>
        <v>0</v>
      </c>
      <c r="AO208" s="0" t="n">
        <f aca="false">IF(P208=0,0,1)</f>
        <v>0</v>
      </c>
      <c r="AP208" s="0" t="n">
        <f aca="false">IF(Q208=0,0,1)</f>
        <v>0</v>
      </c>
      <c r="AQ208" s="0" t="n">
        <f aca="false">IF(R208=0,0,1)</f>
        <v>0</v>
      </c>
      <c r="AR208" s="0" t="n">
        <f aca="false">IF(S208=0,0,1)</f>
        <v>0</v>
      </c>
      <c r="AS208" s="0" t="n">
        <f aca="false">IF(T208=0,0,1)</f>
        <v>0</v>
      </c>
      <c r="AT208" s="0" t="n">
        <f aca="false">IF(U208=0,0,1)</f>
        <v>0</v>
      </c>
      <c r="AU208" s="0" t="n">
        <f aca="false">IF(V208=0,0,1)</f>
        <v>0</v>
      </c>
      <c r="AV208" s="0" t="n">
        <f aca="false">IF(W208=0,0,1)</f>
        <v>0</v>
      </c>
      <c r="AW208" s="26" t="n">
        <f aca="false">SUM(AA208:AV208)</f>
        <v>0</v>
      </c>
      <c r="AX208" s="27" t="n">
        <f aca="false">IF(X208=0,0,X208)</f>
        <v>0</v>
      </c>
      <c r="AY208" s="1" t="n">
        <f aca="false">IF(X208=0,0,A208)</f>
        <v>0</v>
      </c>
      <c r="AZ208" s="28" t="n">
        <f aca="false">IF(AX208=0,0,A$200)</f>
        <v>0</v>
      </c>
      <c r="BA208" s="55"/>
      <c r="BB208" s="30"/>
      <c r="BC208" s="56"/>
      <c r="BD208" s="27"/>
      <c r="BE208" s="26"/>
      <c r="BF208" s="32"/>
      <c r="BG208" s="33"/>
    </row>
    <row r="209" customFormat="false" ht="15" hidden="false" customHeight="false" outlineLevel="0" collapsed="false">
      <c r="A209" s="38" t="s">
        <v>60</v>
      </c>
      <c r="B209" s="39" t="n">
        <f aca="false">SUM(B201:B208)</f>
        <v>0</v>
      </c>
      <c r="C209" s="39" t="n">
        <f aca="false">SUM(C201:C208)</f>
        <v>0</v>
      </c>
      <c r="D209" s="39" t="n">
        <f aca="false">SUM(D201:D208)</f>
        <v>0</v>
      </c>
      <c r="E209" s="39" t="n">
        <f aca="false">SUM(E201:E208)</f>
        <v>0</v>
      </c>
      <c r="F209" s="39" t="n">
        <f aca="false">SUM(F201:F208)</f>
        <v>0</v>
      </c>
      <c r="G209" s="39" t="n">
        <f aca="false">SUM(G201:G208)</f>
        <v>0</v>
      </c>
      <c r="H209" s="39" t="n">
        <f aca="false">SUM(H201:H208)</f>
        <v>0</v>
      </c>
      <c r="I209" s="39" t="n">
        <f aca="false">SUM(I201:I208)</f>
        <v>0</v>
      </c>
      <c r="J209" s="39" t="n">
        <f aca="false">SUM(J201:J208)</f>
        <v>0</v>
      </c>
      <c r="K209" s="39" t="n">
        <f aca="false">SUM(K201:K208)</f>
        <v>0</v>
      </c>
      <c r="L209" s="39" t="n">
        <f aca="false">SUM(L201:L208)</f>
        <v>0</v>
      </c>
      <c r="M209" s="39" t="n">
        <f aca="false">SUM(M201:M208)</f>
        <v>0</v>
      </c>
      <c r="N209" s="39" t="n">
        <f aca="false">SUM(N201:N208)</f>
        <v>0</v>
      </c>
      <c r="O209" s="39" t="n">
        <f aca="false">SUM(O201:O208)</f>
        <v>0</v>
      </c>
      <c r="P209" s="39" t="n">
        <f aca="false">SUM(P201:P208)</f>
        <v>0</v>
      </c>
      <c r="Q209" s="39" t="n">
        <f aca="false">SUM(Q201:Q208)</f>
        <v>0</v>
      </c>
      <c r="R209" s="39" t="n">
        <f aca="false">SUM(R201:R208)</f>
        <v>0</v>
      </c>
      <c r="S209" s="39" t="n">
        <f aca="false">SUM(S201:S208)</f>
        <v>0</v>
      </c>
      <c r="T209" s="39" t="n">
        <f aca="false">SUM(T201:T208)</f>
        <v>0</v>
      </c>
      <c r="U209" s="39" t="n">
        <f aca="false">SUM(U201:U208)</f>
        <v>0</v>
      </c>
      <c r="V209" s="39" t="n">
        <f aca="false">SUM(V201:V208)</f>
        <v>0</v>
      </c>
      <c r="W209" s="39" t="n">
        <f aca="false">SUM(W201:W208)</f>
        <v>0</v>
      </c>
      <c r="X209" s="40" t="n">
        <f aca="false">SUM(B209:W209)</f>
        <v>0</v>
      </c>
      <c r="Y209" s="41" t="n">
        <f aca="false">IF(X209=0,0,X209/AW209)</f>
        <v>0</v>
      </c>
      <c r="Z209" s="25"/>
      <c r="AA209" s="42" t="n">
        <f aca="false">SUM(AA201:AA208)</f>
        <v>0</v>
      </c>
      <c r="AB209" s="43" t="n">
        <f aca="false">SUM(AB201:AB208)</f>
        <v>0</v>
      </c>
      <c r="AC209" s="43" t="n">
        <f aca="false">SUM(AC201:AC208)</f>
        <v>0</v>
      </c>
      <c r="AD209" s="43" t="n">
        <f aca="false">SUM(AD201:AD208)</f>
        <v>0</v>
      </c>
      <c r="AE209" s="43" t="n">
        <f aca="false">SUM(AE201:AE208)</f>
        <v>0</v>
      </c>
      <c r="AF209" s="43" t="n">
        <f aca="false">SUM(AF201:AF208)</f>
        <v>0</v>
      </c>
      <c r="AG209" s="43" t="n">
        <f aca="false">SUM(AG201:AG208)</f>
        <v>0</v>
      </c>
      <c r="AH209" s="43" t="n">
        <f aca="false">SUM(AH201:AH208)</f>
        <v>0</v>
      </c>
      <c r="AI209" s="43" t="n">
        <f aca="false">SUM(AI201:AI208)</f>
        <v>0</v>
      </c>
      <c r="AJ209" s="43" t="n">
        <f aca="false">SUM(AJ201:AJ208)</f>
        <v>0</v>
      </c>
      <c r="AK209" s="43" t="n">
        <f aca="false">SUM(AK201:AK208)</f>
        <v>0</v>
      </c>
      <c r="AL209" s="43" t="n">
        <f aca="false">SUM(AL201:AL208)</f>
        <v>0</v>
      </c>
      <c r="AM209" s="43" t="n">
        <f aca="false">SUM(AM201:AM208)</f>
        <v>0</v>
      </c>
      <c r="AN209" s="43" t="n">
        <f aca="false">SUM(AN201:AN208)</f>
        <v>0</v>
      </c>
      <c r="AO209" s="43" t="n">
        <f aca="false">SUM(AO201:AO208)</f>
        <v>0</v>
      </c>
      <c r="AP209" s="43" t="n">
        <f aca="false">SUM(AP201:AP208)</f>
        <v>0</v>
      </c>
      <c r="AQ209" s="43" t="n">
        <f aca="false">SUM(AQ201:AQ208)</f>
        <v>0</v>
      </c>
      <c r="AR209" s="43" t="n">
        <f aca="false">SUM(AR201:AR208)</f>
        <v>0</v>
      </c>
      <c r="AS209" s="43" t="n">
        <f aca="false">SUM(AS201:AS208)</f>
        <v>0</v>
      </c>
      <c r="AT209" s="43" t="n">
        <f aca="false">SUM(AT201:AT208)</f>
        <v>0</v>
      </c>
      <c r="AU209" s="43" t="n">
        <f aca="false">SUM(AU201:AU208)</f>
        <v>0</v>
      </c>
      <c r="AV209" s="43" t="n">
        <f aca="false">SUM(AV201:AV208)</f>
        <v>0</v>
      </c>
      <c r="AW209" s="44" t="n">
        <f aca="false">MAXA(AW201:AW208)</f>
        <v>0</v>
      </c>
      <c r="AX209" s="27"/>
      <c r="AZ209" s="28"/>
      <c r="BA209" s="55"/>
      <c r="BB209" s="30"/>
      <c r="BC209" s="56"/>
      <c r="BD209" s="27"/>
      <c r="BE209" s="26"/>
      <c r="BF209" s="32"/>
      <c r="BG209" s="33"/>
    </row>
    <row r="210" customFormat="false" ht="15" hidden="false" customHeight="false" outlineLevel="0" collapsed="false">
      <c r="A210" s="54" t="s">
        <v>64</v>
      </c>
      <c r="B210" s="22" t="n">
        <f aca="false">C!G65</f>
        <v>0</v>
      </c>
      <c r="C210" s="22" t="n">
        <f aca="false">D!G65</f>
        <v>0</v>
      </c>
      <c r="D210" s="22" t="n">
        <f aca="false">E!G65</f>
        <v>0</v>
      </c>
      <c r="E210" s="22" t="n">
        <f aca="false">F!G65</f>
        <v>0</v>
      </c>
      <c r="F210" s="22" t="n">
        <f aca="false">G!G65</f>
        <v>0</v>
      </c>
      <c r="G210" s="22" t="n">
        <f aca="false">H!G65</f>
        <v>0</v>
      </c>
      <c r="H210" s="22" t="n">
        <f aca="false">I!G65</f>
        <v>0</v>
      </c>
      <c r="I210" s="22" t="n">
        <f aca="false">J!G65</f>
        <v>0</v>
      </c>
      <c r="J210" s="22" t="n">
        <f aca="false">K!G65</f>
        <v>0</v>
      </c>
      <c r="K210" s="22" t="n">
        <f aca="false">L!G65</f>
        <v>0</v>
      </c>
      <c r="L210" s="22" t="n">
        <f aca="false">M!G65</f>
        <v>0</v>
      </c>
      <c r="M210" s="22" t="n">
        <f aca="false">N!G65</f>
        <v>0</v>
      </c>
      <c r="N210" s="22" t="n">
        <f aca="false">O!G65</f>
        <v>0</v>
      </c>
      <c r="O210" s="22" t="n">
        <f aca="false">P!G65</f>
        <v>0</v>
      </c>
      <c r="P210" s="22" t="n">
        <f aca="false">Q!G65</f>
        <v>0</v>
      </c>
      <c r="Q210" s="22" t="n">
        <f aca="false">R!G65</f>
        <v>0</v>
      </c>
      <c r="R210" s="22" t="n">
        <f aca="false">S!G65</f>
        <v>0</v>
      </c>
      <c r="S210" s="22" t="n">
        <f aca="false">T!G65</f>
        <v>0</v>
      </c>
      <c r="T210" s="22" t="n">
        <f aca="false">U!G65</f>
        <v>0</v>
      </c>
      <c r="U210" s="22" t="n">
        <f aca="false">V!G65</f>
        <v>0</v>
      </c>
      <c r="V210" s="22" t="n">
        <f aca="false">W!G65</f>
        <v>0</v>
      </c>
      <c r="W210" s="22" t="n">
        <f aca="false">X!G65</f>
        <v>0</v>
      </c>
      <c r="X210" s="23" t="n">
        <f aca="false">SUM(B210:W210)</f>
        <v>0</v>
      </c>
      <c r="Y210" s="47"/>
      <c r="Z210" s="25"/>
      <c r="AA210" s="16"/>
      <c r="AW210" s="26"/>
      <c r="AX210" s="27"/>
      <c r="AZ210" s="28"/>
      <c r="BA210" s="55"/>
      <c r="BB210" s="30"/>
      <c r="BC210" s="56"/>
      <c r="BD210" s="27"/>
      <c r="BE210" s="26"/>
      <c r="BF210" s="32"/>
      <c r="BG210" s="33"/>
    </row>
    <row r="211" customFormat="false" ht="15" hidden="false" customHeight="false" outlineLevel="0" collapsed="false">
      <c r="A211" s="48" t="s">
        <v>68</v>
      </c>
      <c r="B211" s="49" t="n">
        <f aca="false">SUM(B209:B210)</f>
        <v>0</v>
      </c>
      <c r="C211" s="49" t="n">
        <f aca="false">SUM(C209:C210)</f>
        <v>0</v>
      </c>
      <c r="D211" s="49" t="n">
        <f aca="false">SUM(D209:D210)</f>
        <v>0</v>
      </c>
      <c r="E211" s="49" t="n">
        <f aca="false">SUM(E209:E210)</f>
        <v>0</v>
      </c>
      <c r="F211" s="49" t="n">
        <f aca="false">SUM(F209:F210)</f>
        <v>0</v>
      </c>
      <c r="G211" s="49" t="n">
        <f aca="false">SUM(G209:G210)</f>
        <v>0</v>
      </c>
      <c r="H211" s="49" t="n">
        <f aca="false">SUM(H209:H210)</f>
        <v>0</v>
      </c>
      <c r="I211" s="49" t="n">
        <f aca="false">SUM(I209:I210)</f>
        <v>0</v>
      </c>
      <c r="J211" s="49" t="n">
        <f aca="false">SUM(J209:J210)</f>
        <v>0</v>
      </c>
      <c r="K211" s="49" t="n">
        <f aca="false">SUM(K209:K210)</f>
        <v>0</v>
      </c>
      <c r="L211" s="49" t="n">
        <f aca="false">SUM(L209:L210)</f>
        <v>0</v>
      </c>
      <c r="M211" s="49" t="n">
        <f aca="false">SUM(M209:M210)</f>
        <v>0</v>
      </c>
      <c r="N211" s="49" t="n">
        <f aca="false">SUM(N209:N210)</f>
        <v>0</v>
      </c>
      <c r="O211" s="49" t="n">
        <f aca="false">SUM(O209:O210)</f>
        <v>0</v>
      </c>
      <c r="P211" s="49" t="n">
        <f aca="false">SUM(P209:P210)</f>
        <v>0</v>
      </c>
      <c r="Q211" s="49" t="n">
        <f aca="false">SUM(Q209:Q210)</f>
        <v>0</v>
      </c>
      <c r="R211" s="49" t="n">
        <f aca="false">SUM(R209:R210)</f>
        <v>0</v>
      </c>
      <c r="S211" s="49" t="n">
        <f aca="false">SUM(S209:S210)</f>
        <v>0</v>
      </c>
      <c r="T211" s="49" t="n">
        <f aca="false">SUM(T209:T210)</f>
        <v>0</v>
      </c>
      <c r="U211" s="49" t="n">
        <f aca="false">SUM(U209:U210)</f>
        <v>0</v>
      </c>
      <c r="V211" s="49" t="n">
        <f aca="false">SUM(V209:V210)</f>
        <v>0</v>
      </c>
      <c r="W211" s="49" t="n">
        <f aca="false">SUM(W209:W210)</f>
        <v>0</v>
      </c>
      <c r="X211" s="50" t="n">
        <f aca="false">SUM(B211:W211)</f>
        <v>0</v>
      </c>
      <c r="Y211" s="51"/>
      <c r="Z211" s="25"/>
      <c r="AA211" s="16"/>
      <c r="AW211" s="26"/>
      <c r="AX211" s="27"/>
      <c r="AZ211" s="28"/>
      <c r="BA211" s="55"/>
      <c r="BB211" s="30"/>
      <c r="BC211" s="56"/>
      <c r="BD211" s="27" t="n">
        <f aca="false">X211</f>
        <v>0</v>
      </c>
      <c r="BE211" s="26" t="n">
        <f aca="false">A200</f>
        <v>0</v>
      </c>
      <c r="BF211" s="32"/>
      <c r="BG211" s="33"/>
    </row>
    <row r="212" customFormat="false" ht="15" hidden="false" customHeight="false" outlineLevel="0" collapsed="false">
      <c r="A212" s="57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25"/>
      <c r="AA212" s="16"/>
      <c r="AW212" s="26"/>
      <c r="AX212" s="27"/>
      <c r="AZ212" s="28"/>
      <c r="BA212" s="55"/>
      <c r="BB212" s="30"/>
      <c r="BC212" s="56"/>
      <c r="BD212" s="27"/>
      <c r="BE212" s="26"/>
      <c r="BF212" s="32"/>
      <c r="BG212" s="33"/>
    </row>
    <row r="213" customFormat="false" ht="15" hidden="false" customHeight="false" outlineLevel="0" collapsed="false">
      <c r="A213" s="5" t="s">
        <v>138</v>
      </c>
      <c r="B213" s="6" t="s">
        <v>1</v>
      </c>
      <c r="C213" s="6" t="s">
        <v>2</v>
      </c>
      <c r="D213" s="6" t="s">
        <v>3</v>
      </c>
      <c r="E213" s="6" t="s">
        <v>4</v>
      </c>
      <c r="F213" s="6" t="s">
        <v>5</v>
      </c>
      <c r="G213" s="6" t="s">
        <v>6</v>
      </c>
      <c r="H213" s="6" t="s">
        <v>7</v>
      </c>
      <c r="I213" s="6" t="s">
        <v>8</v>
      </c>
      <c r="J213" s="6" t="s">
        <v>9</v>
      </c>
      <c r="K213" s="6" t="s">
        <v>10</v>
      </c>
      <c r="L213" s="6" t="s">
        <v>11</v>
      </c>
      <c r="M213" s="6" t="s">
        <v>12</v>
      </c>
      <c r="N213" s="6" t="s">
        <v>13</v>
      </c>
      <c r="O213" s="6" t="s">
        <v>14</v>
      </c>
      <c r="P213" s="6" t="s">
        <v>15</v>
      </c>
      <c r="Q213" s="6" t="s">
        <v>16</v>
      </c>
      <c r="R213" s="6" t="s">
        <v>17</v>
      </c>
      <c r="S213" s="6" t="s">
        <v>18</v>
      </c>
      <c r="T213" s="6" t="s">
        <v>19</v>
      </c>
      <c r="U213" s="6" t="s">
        <v>20</v>
      </c>
      <c r="V213" s="6" t="s">
        <v>21</v>
      </c>
      <c r="W213" s="6" t="s">
        <v>22</v>
      </c>
      <c r="X213" s="34"/>
      <c r="Y213" s="34"/>
      <c r="Z213" s="4" t="str">
        <f aca="false">A213</f>
        <v>Team #16 Name:</v>
      </c>
      <c r="AA213" s="16"/>
      <c r="AW213" s="26"/>
      <c r="AX213" s="27"/>
      <c r="AZ213" s="28"/>
      <c r="BA213" s="55"/>
      <c r="BB213" s="30"/>
      <c r="BC213" s="56"/>
      <c r="BD213" s="27"/>
      <c r="BE213" s="26"/>
      <c r="BF213" s="32"/>
      <c r="BG213" s="33"/>
    </row>
    <row r="214" customFormat="false" ht="15" hidden="false" customHeight="false" outlineLevel="0" collapsed="false">
      <c r="A214" s="11" t="n">
        <f aca="false">B!$E$231</f>
        <v>0</v>
      </c>
      <c r="B214" s="52" t="s">
        <v>28</v>
      </c>
      <c r="C214" s="52" t="s">
        <v>28</v>
      </c>
      <c r="D214" s="52" t="s">
        <v>28</v>
      </c>
      <c r="E214" s="52" t="s">
        <v>28</v>
      </c>
      <c r="F214" s="52" t="s">
        <v>28</v>
      </c>
      <c r="G214" s="52" t="s">
        <v>28</v>
      </c>
      <c r="H214" s="52" t="s">
        <v>28</v>
      </c>
      <c r="I214" s="52" t="s">
        <v>28</v>
      </c>
      <c r="J214" s="52" t="s">
        <v>28</v>
      </c>
      <c r="K214" s="52" t="s">
        <v>28</v>
      </c>
      <c r="L214" s="52" t="s">
        <v>28</v>
      </c>
      <c r="M214" s="52" t="s">
        <v>28</v>
      </c>
      <c r="N214" s="52" t="s">
        <v>28</v>
      </c>
      <c r="O214" s="52" t="s">
        <v>28</v>
      </c>
      <c r="P214" s="52" t="s">
        <v>28</v>
      </c>
      <c r="Q214" s="52" t="s">
        <v>28</v>
      </c>
      <c r="R214" s="52" t="s">
        <v>28</v>
      </c>
      <c r="S214" s="52" t="s">
        <v>28</v>
      </c>
      <c r="T214" s="52" t="s">
        <v>28</v>
      </c>
      <c r="U214" s="52" t="s">
        <v>28</v>
      </c>
      <c r="V214" s="52" t="s">
        <v>28</v>
      </c>
      <c r="W214" s="52" t="s">
        <v>28</v>
      </c>
      <c r="X214" s="13" t="s">
        <v>29</v>
      </c>
      <c r="Y214" s="14" t="s">
        <v>30</v>
      </c>
      <c r="Z214" s="15" t="n">
        <f aca="false">A214</f>
        <v>0</v>
      </c>
      <c r="AA214" s="16"/>
      <c r="AW214" s="17" t="s">
        <v>31</v>
      </c>
      <c r="AX214" s="27"/>
      <c r="AZ214" s="28"/>
      <c r="BA214" s="55"/>
      <c r="BB214" s="30"/>
      <c r="BC214" s="56"/>
      <c r="BD214" s="27"/>
      <c r="BE214" s="26"/>
      <c r="BF214" s="32"/>
      <c r="BG214" s="33"/>
    </row>
    <row r="215" customFormat="false" ht="15" hidden="false" customHeight="false" outlineLevel="0" collapsed="false">
      <c r="A215" s="21" t="n">
        <f aca="false">B!$E$233</f>
        <v>0</v>
      </c>
      <c r="B215" s="22" t="n">
        <f aca="false">C!G70</f>
        <v>0</v>
      </c>
      <c r="C215" s="22" t="n">
        <f aca="false">D!G70</f>
        <v>0</v>
      </c>
      <c r="D215" s="22" t="n">
        <f aca="false">E!G70</f>
        <v>0</v>
      </c>
      <c r="E215" s="22" t="n">
        <f aca="false">F!G70</f>
        <v>0</v>
      </c>
      <c r="F215" s="22" t="n">
        <f aca="false">G!G70</f>
        <v>0</v>
      </c>
      <c r="G215" s="22" t="n">
        <f aca="false">H!G70</f>
        <v>0</v>
      </c>
      <c r="H215" s="22" t="n">
        <f aca="false">I!G70</f>
        <v>0</v>
      </c>
      <c r="I215" s="22" t="n">
        <f aca="false">J!G70</f>
        <v>0</v>
      </c>
      <c r="J215" s="22" t="n">
        <f aca="false">K!G70</f>
        <v>0</v>
      </c>
      <c r="K215" s="22" t="n">
        <f aca="false">L!G70</f>
        <v>0</v>
      </c>
      <c r="L215" s="22" t="n">
        <f aca="false">M!G70</f>
        <v>0</v>
      </c>
      <c r="M215" s="22" t="n">
        <f aca="false">N!G70</f>
        <v>0</v>
      </c>
      <c r="N215" s="22" t="n">
        <f aca="false">O!G70</f>
        <v>0</v>
      </c>
      <c r="O215" s="22" t="n">
        <f aca="false">P!G70</f>
        <v>0</v>
      </c>
      <c r="P215" s="22" t="n">
        <f aca="false">Q!G70</f>
        <v>0</v>
      </c>
      <c r="Q215" s="22" t="n">
        <f aca="false">R!G70</f>
        <v>0</v>
      </c>
      <c r="R215" s="22" t="n">
        <f aca="false">S!G70</f>
        <v>0</v>
      </c>
      <c r="S215" s="22" t="n">
        <f aca="false">T!G70</f>
        <v>0</v>
      </c>
      <c r="T215" s="22" t="n">
        <f aca="false">U!G70</f>
        <v>0</v>
      </c>
      <c r="U215" s="22" t="n">
        <f aca="false">V!G70</f>
        <v>0</v>
      </c>
      <c r="V215" s="22" t="n">
        <f aca="false">W!G70</f>
        <v>0</v>
      </c>
      <c r="W215" s="22" t="n">
        <f aca="false">X!G70</f>
        <v>0</v>
      </c>
      <c r="X215" s="23" t="n">
        <f aca="false">SUM(B215:W215)</f>
        <v>0</v>
      </c>
      <c r="Y215" s="24" t="n">
        <f aca="false">IF(AW215=0,0,X215/AW215)</f>
        <v>0</v>
      </c>
      <c r="Z215" s="25" t="n">
        <f aca="false">A215</f>
        <v>0</v>
      </c>
      <c r="AA215" s="16" t="n">
        <f aca="false">IF(B215=0,0,1)</f>
        <v>0</v>
      </c>
      <c r="AB215" s="0" t="n">
        <f aca="false">IF(C215=0,0,1)</f>
        <v>0</v>
      </c>
      <c r="AC215" s="0" t="n">
        <f aca="false">IF(D215=0,0,1)</f>
        <v>0</v>
      </c>
      <c r="AD215" s="0" t="n">
        <f aca="false">IF(E215=0,0,1)</f>
        <v>0</v>
      </c>
      <c r="AE215" s="0" t="n">
        <f aca="false">IF(F215=0,0,1)</f>
        <v>0</v>
      </c>
      <c r="AF215" s="0" t="n">
        <f aca="false">IF(G215=0,0,1)</f>
        <v>0</v>
      </c>
      <c r="AG215" s="0" t="n">
        <f aca="false">IF(H215=0,0,1)</f>
        <v>0</v>
      </c>
      <c r="AH215" s="0" t="n">
        <f aca="false">IF(I215=0,0,1)</f>
        <v>0</v>
      </c>
      <c r="AI215" s="0" t="n">
        <f aca="false">IF(J215=0,0,1)</f>
        <v>0</v>
      </c>
      <c r="AJ215" s="0" t="n">
        <f aca="false">IF(K215=0,0,1)</f>
        <v>0</v>
      </c>
      <c r="AK215" s="0" t="n">
        <f aca="false">IF(L215=0,0,1)</f>
        <v>0</v>
      </c>
      <c r="AL215" s="0" t="n">
        <f aca="false">IF(M215=0,0,1)</f>
        <v>0</v>
      </c>
      <c r="AM215" s="0" t="n">
        <f aca="false">IF(N215=0,0,1)</f>
        <v>0</v>
      </c>
      <c r="AN215" s="0" t="n">
        <f aca="false">IF(O215=0,0,1)</f>
        <v>0</v>
      </c>
      <c r="AO215" s="0" t="n">
        <f aca="false">IF(P215=0,0,1)</f>
        <v>0</v>
      </c>
      <c r="AP215" s="0" t="n">
        <f aca="false">IF(Q215=0,0,1)</f>
        <v>0</v>
      </c>
      <c r="AQ215" s="0" t="n">
        <f aca="false">IF(R215=0,0,1)</f>
        <v>0</v>
      </c>
      <c r="AR215" s="0" t="n">
        <f aca="false">IF(S215=0,0,1)</f>
        <v>0</v>
      </c>
      <c r="AS215" s="0" t="n">
        <f aca="false">IF(T215=0,0,1)</f>
        <v>0</v>
      </c>
      <c r="AT215" s="0" t="n">
        <f aca="false">IF(U215=0,0,1)</f>
        <v>0</v>
      </c>
      <c r="AU215" s="0" t="n">
        <f aca="false">IF(V215=0,0,1)</f>
        <v>0</v>
      </c>
      <c r="AV215" s="0" t="n">
        <f aca="false">IF(W215=0,0,1)</f>
        <v>0</v>
      </c>
      <c r="AW215" s="26" t="n">
        <f aca="false">SUM(AA215:AV215)</f>
        <v>0</v>
      </c>
      <c r="AX215" s="27" t="n">
        <f aca="false">IF(X215=0,0,X215)</f>
        <v>0</v>
      </c>
      <c r="AY215" s="1" t="n">
        <f aca="false">IF(X215=0,0,A215)</f>
        <v>0</v>
      </c>
      <c r="AZ215" s="28" t="n">
        <f aca="false">IF(AX215=0,0,A$214)</f>
        <v>0</v>
      </c>
      <c r="BA215" s="55"/>
      <c r="BB215" s="30"/>
      <c r="BC215" s="56"/>
      <c r="BD215" s="27"/>
      <c r="BE215" s="26"/>
      <c r="BF215" s="32"/>
      <c r="BG215" s="33"/>
    </row>
    <row r="216" customFormat="false" ht="15" hidden="false" customHeight="false" outlineLevel="0" collapsed="false">
      <c r="A216" s="21" t="n">
        <f aca="false">B!$E$238</f>
        <v>0</v>
      </c>
      <c r="B216" s="22" t="n">
        <f aca="false">C!G71</f>
        <v>0</v>
      </c>
      <c r="C216" s="22" t="n">
        <f aca="false">D!G71</f>
        <v>0</v>
      </c>
      <c r="D216" s="22" t="n">
        <f aca="false">E!G71</f>
        <v>0</v>
      </c>
      <c r="E216" s="22" t="n">
        <f aca="false">F!G71</f>
        <v>0</v>
      </c>
      <c r="F216" s="22" t="n">
        <f aca="false">G!G71</f>
        <v>0</v>
      </c>
      <c r="G216" s="22" t="n">
        <f aca="false">H!G71</f>
        <v>0</v>
      </c>
      <c r="H216" s="22" t="n">
        <f aca="false">I!G71</f>
        <v>0</v>
      </c>
      <c r="I216" s="22" t="n">
        <f aca="false">J!G71</f>
        <v>0</v>
      </c>
      <c r="J216" s="22" t="n">
        <f aca="false">K!G71</f>
        <v>0</v>
      </c>
      <c r="K216" s="22" t="n">
        <f aca="false">L!G71</f>
        <v>0</v>
      </c>
      <c r="L216" s="22" t="n">
        <f aca="false">M!G71</f>
        <v>0</v>
      </c>
      <c r="M216" s="22" t="n">
        <f aca="false">N!G71</f>
        <v>0</v>
      </c>
      <c r="N216" s="22" t="n">
        <f aca="false">O!G71</f>
        <v>0</v>
      </c>
      <c r="O216" s="22" t="n">
        <f aca="false">P!G71</f>
        <v>0</v>
      </c>
      <c r="P216" s="22" t="n">
        <f aca="false">Q!G71</f>
        <v>0</v>
      </c>
      <c r="Q216" s="22" t="n">
        <f aca="false">R!G71</f>
        <v>0</v>
      </c>
      <c r="R216" s="22" t="n">
        <f aca="false">S!G71</f>
        <v>0</v>
      </c>
      <c r="S216" s="22" t="n">
        <f aca="false">T!G71</f>
        <v>0</v>
      </c>
      <c r="T216" s="22" t="n">
        <f aca="false">U!G71</f>
        <v>0</v>
      </c>
      <c r="U216" s="22" t="n">
        <f aca="false">V!G71</f>
        <v>0</v>
      </c>
      <c r="V216" s="22" t="n">
        <f aca="false">W!G71</f>
        <v>0</v>
      </c>
      <c r="W216" s="22" t="n">
        <f aca="false">X!G71</f>
        <v>0</v>
      </c>
      <c r="X216" s="23" t="n">
        <f aca="false">SUM(B216:W216)</f>
        <v>0</v>
      </c>
      <c r="Y216" s="24" t="n">
        <f aca="false">IF(AW216=0,0,X216/AW216)</f>
        <v>0</v>
      </c>
      <c r="Z216" s="25" t="n">
        <f aca="false">A216</f>
        <v>0</v>
      </c>
      <c r="AA216" s="16" t="n">
        <f aca="false">IF(B216=0,0,1)</f>
        <v>0</v>
      </c>
      <c r="AB216" s="0" t="n">
        <f aca="false">IF(C216=0,0,1)</f>
        <v>0</v>
      </c>
      <c r="AC216" s="0" t="n">
        <f aca="false">IF(D216=0,0,1)</f>
        <v>0</v>
      </c>
      <c r="AD216" s="0" t="n">
        <f aca="false">IF(E216=0,0,1)</f>
        <v>0</v>
      </c>
      <c r="AE216" s="0" t="n">
        <f aca="false">IF(F216=0,0,1)</f>
        <v>0</v>
      </c>
      <c r="AF216" s="0" t="n">
        <f aca="false">IF(G216=0,0,1)</f>
        <v>0</v>
      </c>
      <c r="AG216" s="0" t="n">
        <f aca="false">IF(H216=0,0,1)</f>
        <v>0</v>
      </c>
      <c r="AH216" s="0" t="n">
        <f aca="false">IF(I216=0,0,1)</f>
        <v>0</v>
      </c>
      <c r="AI216" s="0" t="n">
        <f aca="false">IF(J216=0,0,1)</f>
        <v>0</v>
      </c>
      <c r="AJ216" s="0" t="n">
        <f aca="false">IF(K216=0,0,1)</f>
        <v>0</v>
      </c>
      <c r="AK216" s="0" t="n">
        <f aca="false">IF(L216=0,0,1)</f>
        <v>0</v>
      </c>
      <c r="AL216" s="0" t="n">
        <f aca="false">IF(M216=0,0,1)</f>
        <v>0</v>
      </c>
      <c r="AM216" s="0" t="n">
        <f aca="false">IF(N216=0,0,1)</f>
        <v>0</v>
      </c>
      <c r="AN216" s="0" t="n">
        <f aca="false">IF(O216=0,0,1)</f>
        <v>0</v>
      </c>
      <c r="AO216" s="0" t="n">
        <f aca="false">IF(P216=0,0,1)</f>
        <v>0</v>
      </c>
      <c r="AP216" s="0" t="n">
        <f aca="false">IF(Q216=0,0,1)</f>
        <v>0</v>
      </c>
      <c r="AQ216" s="0" t="n">
        <f aca="false">IF(R216=0,0,1)</f>
        <v>0</v>
      </c>
      <c r="AR216" s="0" t="n">
        <f aca="false">IF(S216=0,0,1)</f>
        <v>0</v>
      </c>
      <c r="AS216" s="0" t="n">
        <f aca="false">IF(T216=0,0,1)</f>
        <v>0</v>
      </c>
      <c r="AT216" s="0" t="n">
        <f aca="false">IF(U216=0,0,1)</f>
        <v>0</v>
      </c>
      <c r="AU216" s="0" t="n">
        <f aca="false">IF(V216=0,0,1)</f>
        <v>0</v>
      </c>
      <c r="AV216" s="0" t="n">
        <f aca="false">IF(W216=0,0,1)</f>
        <v>0</v>
      </c>
      <c r="AW216" s="26" t="n">
        <f aca="false">SUM(AA216:AV216)</f>
        <v>0</v>
      </c>
      <c r="AX216" s="27" t="n">
        <f aca="false">IF(X216=0,0,X216)</f>
        <v>0</v>
      </c>
      <c r="AY216" s="1" t="n">
        <f aca="false">IF(X216=0,0,A216)</f>
        <v>0</v>
      </c>
      <c r="AZ216" s="28" t="n">
        <f aca="false">IF(AX216=0,0,A$214)</f>
        <v>0</v>
      </c>
      <c r="BA216" s="55"/>
      <c r="BB216" s="30"/>
      <c r="BC216" s="56"/>
      <c r="BD216" s="27"/>
      <c r="BE216" s="26"/>
      <c r="BF216" s="32"/>
      <c r="BG216" s="33"/>
    </row>
    <row r="217" customFormat="false" ht="15" hidden="false" customHeight="false" outlineLevel="0" collapsed="false">
      <c r="A217" s="21" t="n">
        <f aca="false">B!$E$243</f>
        <v>0</v>
      </c>
      <c r="B217" s="22" t="n">
        <f aca="false">C!G72</f>
        <v>0</v>
      </c>
      <c r="C217" s="22" t="n">
        <f aca="false">D!G72</f>
        <v>0</v>
      </c>
      <c r="D217" s="22" t="n">
        <f aca="false">E!G72</f>
        <v>0</v>
      </c>
      <c r="E217" s="22" t="n">
        <f aca="false">F!G72</f>
        <v>0</v>
      </c>
      <c r="F217" s="22" t="n">
        <f aca="false">G!G72</f>
        <v>0</v>
      </c>
      <c r="G217" s="22" t="n">
        <f aca="false">H!G72</f>
        <v>0</v>
      </c>
      <c r="H217" s="22" t="n">
        <f aca="false">I!G72</f>
        <v>0</v>
      </c>
      <c r="I217" s="22" t="n">
        <f aca="false">J!G72</f>
        <v>0</v>
      </c>
      <c r="J217" s="22" t="n">
        <f aca="false">K!G72</f>
        <v>0</v>
      </c>
      <c r="K217" s="22" t="n">
        <f aca="false">L!G72</f>
        <v>0</v>
      </c>
      <c r="L217" s="22" t="n">
        <f aca="false">M!G72</f>
        <v>0</v>
      </c>
      <c r="M217" s="22" t="n">
        <f aca="false">N!G72</f>
        <v>0</v>
      </c>
      <c r="N217" s="22" t="n">
        <f aca="false">O!G72</f>
        <v>0</v>
      </c>
      <c r="O217" s="22" t="n">
        <f aca="false">P!G72</f>
        <v>0</v>
      </c>
      <c r="P217" s="22" t="n">
        <f aca="false">Q!G72</f>
        <v>0</v>
      </c>
      <c r="Q217" s="22" t="n">
        <f aca="false">R!G72</f>
        <v>0</v>
      </c>
      <c r="R217" s="22" t="n">
        <f aca="false">S!G72</f>
        <v>0</v>
      </c>
      <c r="S217" s="22" t="n">
        <f aca="false">T!G72</f>
        <v>0</v>
      </c>
      <c r="T217" s="22" t="n">
        <f aca="false">U!G72</f>
        <v>0</v>
      </c>
      <c r="U217" s="22" t="n">
        <f aca="false">V!G72</f>
        <v>0</v>
      </c>
      <c r="V217" s="22" t="n">
        <f aca="false">W!G72</f>
        <v>0</v>
      </c>
      <c r="W217" s="22" t="n">
        <f aca="false">X!G72</f>
        <v>0</v>
      </c>
      <c r="X217" s="23" t="n">
        <f aca="false">SUM(B217:W217)</f>
        <v>0</v>
      </c>
      <c r="Y217" s="24" t="n">
        <f aca="false">IF(AW217=0,0,X217/AW217)</f>
        <v>0</v>
      </c>
      <c r="Z217" s="25" t="n">
        <f aca="false">A217</f>
        <v>0</v>
      </c>
      <c r="AA217" s="16" t="n">
        <f aca="false">IF(B217=0,0,1)</f>
        <v>0</v>
      </c>
      <c r="AB217" s="0" t="n">
        <f aca="false">IF(C217=0,0,1)</f>
        <v>0</v>
      </c>
      <c r="AC217" s="0" t="n">
        <f aca="false">IF(D217=0,0,1)</f>
        <v>0</v>
      </c>
      <c r="AD217" s="0" t="n">
        <f aca="false">IF(E217=0,0,1)</f>
        <v>0</v>
      </c>
      <c r="AE217" s="0" t="n">
        <f aca="false">IF(F217=0,0,1)</f>
        <v>0</v>
      </c>
      <c r="AF217" s="0" t="n">
        <f aca="false">IF(G217=0,0,1)</f>
        <v>0</v>
      </c>
      <c r="AG217" s="0" t="n">
        <f aca="false">IF(H217=0,0,1)</f>
        <v>0</v>
      </c>
      <c r="AH217" s="0" t="n">
        <f aca="false">IF(I217=0,0,1)</f>
        <v>0</v>
      </c>
      <c r="AI217" s="0" t="n">
        <f aca="false">IF(J217=0,0,1)</f>
        <v>0</v>
      </c>
      <c r="AJ217" s="0" t="n">
        <f aca="false">IF(K217=0,0,1)</f>
        <v>0</v>
      </c>
      <c r="AK217" s="0" t="n">
        <f aca="false">IF(L217=0,0,1)</f>
        <v>0</v>
      </c>
      <c r="AL217" s="0" t="n">
        <f aca="false">IF(M217=0,0,1)</f>
        <v>0</v>
      </c>
      <c r="AM217" s="0" t="n">
        <f aca="false">IF(N217=0,0,1)</f>
        <v>0</v>
      </c>
      <c r="AN217" s="0" t="n">
        <f aca="false">IF(O217=0,0,1)</f>
        <v>0</v>
      </c>
      <c r="AO217" s="0" t="n">
        <f aca="false">IF(P217=0,0,1)</f>
        <v>0</v>
      </c>
      <c r="AP217" s="0" t="n">
        <f aca="false">IF(Q217=0,0,1)</f>
        <v>0</v>
      </c>
      <c r="AQ217" s="0" t="n">
        <f aca="false">IF(R217=0,0,1)</f>
        <v>0</v>
      </c>
      <c r="AR217" s="0" t="n">
        <f aca="false">IF(S217=0,0,1)</f>
        <v>0</v>
      </c>
      <c r="AS217" s="0" t="n">
        <f aca="false">IF(T217=0,0,1)</f>
        <v>0</v>
      </c>
      <c r="AT217" s="0" t="n">
        <f aca="false">IF(U217=0,0,1)</f>
        <v>0</v>
      </c>
      <c r="AU217" s="0" t="n">
        <f aca="false">IF(V217=0,0,1)</f>
        <v>0</v>
      </c>
      <c r="AV217" s="0" t="n">
        <f aca="false">IF(W217=0,0,1)</f>
        <v>0</v>
      </c>
      <c r="AW217" s="26" t="n">
        <f aca="false">SUM(AA217:AV217)</f>
        <v>0</v>
      </c>
      <c r="AX217" s="27" t="n">
        <f aca="false">IF(X217=0,0,X217)</f>
        <v>0</v>
      </c>
      <c r="AY217" s="1" t="n">
        <f aca="false">IF(X217=0,0,A217)</f>
        <v>0</v>
      </c>
      <c r="AZ217" s="28" t="n">
        <f aca="false">IF(AX217=0,0,A$214)</f>
        <v>0</v>
      </c>
      <c r="BA217" s="55"/>
      <c r="BB217" s="30"/>
      <c r="BC217" s="56"/>
      <c r="BD217" s="27"/>
      <c r="BE217" s="26"/>
      <c r="BF217" s="32"/>
      <c r="BG217" s="33"/>
    </row>
    <row r="218" customFormat="false" ht="15" hidden="false" customHeight="false" outlineLevel="0" collapsed="false">
      <c r="A218" s="21" t="n">
        <f aca="false">B!$E$248</f>
        <v>0</v>
      </c>
      <c r="B218" s="22" t="n">
        <f aca="false">C!G73</f>
        <v>0</v>
      </c>
      <c r="C218" s="22" t="n">
        <f aca="false">D!G73</f>
        <v>0</v>
      </c>
      <c r="D218" s="22" t="n">
        <f aca="false">E!G73</f>
        <v>0</v>
      </c>
      <c r="E218" s="22" t="n">
        <f aca="false">F!G73</f>
        <v>0</v>
      </c>
      <c r="F218" s="22" t="n">
        <f aca="false">G!G73</f>
        <v>0</v>
      </c>
      <c r="G218" s="22" t="n">
        <f aca="false">H!G73</f>
        <v>0</v>
      </c>
      <c r="H218" s="22" t="n">
        <f aca="false">I!G73</f>
        <v>0</v>
      </c>
      <c r="I218" s="22" t="n">
        <f aca="false">J!G73</f>
        <v>0</v>
      </c>
      <c r="J218" s="22" t="n">
        <f aca="false">K!G73</f>
        <v>0</v>
      </c>
      <c r="K218" s="22" t="n">
        <f aca="false">L!G73</f>
        <v>0</v>
      </c>
      <c r="L218" s="22" t="n">
        <f aca="false">M!G73</f>
        <v>0</v>
      </c>
      <c r="M218" s="22" t="n">
        <f aca="false">N!G73</f>
        <v>0</v>
      </c>
      <c r="N218" s="22" t="n">
        <f aca="false">O!G73</f>
        <v>0</v>
      </c>
      <c r="O218" s="22" t="n">
        <f aca="false">P!G73</f>
        <v>0</v>
      </c>
      <c r="P218" s="22" t="n">
        <f aca="false">Q!G73</f>
        <v>0</v>
      </c>
      <c r="Q218" s="22" t="n">
        <f aca="false">R!G73</f>
        <v>0</v>
      </c>
      <c r="R218" s="22" t="n">
        <f aca="false">S!G73</f>
        <v>0</v>
      </c>
      <c r="S218" s="22" t="n">
        <f aca="false">T!G73</f>
        <v>0</v>
      </c>
      <c r="T218" s="22" t="n">
        <f aca="false">U!G73</f>
        <v>0</v>
      </c>
      <c r="U218" s="22" t="n">
        <f aca="false">V!G73</f>
        <v>0</v>
      </c>
      <c r="V218" s="22" t="n">
        <f aca="false">W!G73</f>
        <v>0</v>
      </c>
      <c r="W218" s="22" t="n">
        <f aca="false">X!G73</f>
        <v>0</v>
      </c>
      <c r="X218" s="23" t="n">
        <f aca="false">SUM(B218:W218)</f>
        <v>0</v>
      </c>
      <c r="Y218" s="24" t="n">
        <f aca="false">IF(AW218=0,0,X218/AW218)</f>
        <v>0</v>
      </c>
      <c r="Z218" s="25" t="n">
        <f aca="false">A218</f>
        <v>0</v>
      </c>
      <c r="AA218" s="16" t="n">
        <f aca="false">IF(B218=0,0,1)</f>
        <v>0</v>
      </c>
      <c r="AB218" s="0" t="n">
        <f aca="false">IF(C218=0,0,1)</f>
        <v>0</v>
      </c>
      <c r="AC218" s="0" t="n">
        <f aca="false">IF(D218=0,0,1)</f>
        <v>0</v>
      </c>
      <c r="AD218" s="0" t="n">
        <f aca="false">IF(E218=0,0,1)</f>
        <v>0</v>
      </c>
      <c r="AE218" s="0" t="n">
        <f aca="false">IF(F218=0,0,1)</f>
        <v>0</v>
      </c>
      <c r="AF218" s="0" t="n">
        <f aca="false">IF(G218=0,0,1)</f>
        <v>0</v>
      </c>
      <c r="AG218" s="0" t="n">
        <f aca="false">IF(H218=0,0,1)</f>
        <v>0</v>
      </c>
      <c r="AH218" s="0" t="n">
        <f aca="false">IF(I218=0,0,1)</f>
        <v>0</v>
      </c>
      <c r="AI218" s="0" t="n">
        <f aca="false">IF(J218=0,0,1)</f>
        <v>0</v>
      </c>
      <c r="AJ218" s="0" t="n">
        <f aca="false">IF(K218=0,0,1)</f>
        <v>0</v>
      </c>
      <c r="AK218" s="0" t="n">
        <f aca="false">IF(L218=0,0,1)</f>
        <v>0</v>
      </c>
      <c r="AL218" s="0" t="n">
        <f aca="false">IF(M218=0,0,1)</f>
        <v>0</v>
      </c>
      <c r="AM218" s="0" t="n">
        <f aca="false">IF(N218=0,0,1)</f>
        <v>0</v>
      </c>
      <c r="AN218" s="0" t="n">
        <f aca="false">IF(O218=0,0,1)</f>
        <v>0</v>
      </c>
      <c r="AO218" s="0" t="n">
        <f aca="false">IF(P218=0,0,1)</f>
        <v>0</v>
      </c>
      <c r="AP218" s="0" t="n">
        <f aca="false">IF(Q218=0,0,1)</f>
        <v>0</v>
      </c>
      <c r="AQ218" s="0" t="n">
        <f aca="false">IF(R218=0,0,1)</f>
        <v>0</v>
      </c>
      <c r="AR218" s="0" t="n">
        <f aca="false">IF(S218=0,0,1)</f>
        <v>0</v>
      </c>
      <c r="AS218" s="0" t="n">
        <f aca="false">IF(T218=0,0,1)</f>
        <v>0</v>
      </c>
      <c r="AT218" s="0" t="n">
        <f aca="false">IF(U218=0,0,1)</f>
        <v>0</v>
      </c>
      <c r="AU218" s="0" t="n">
        <f aca="false">IF(V218=0,0,1)</f>
        <v>0</v>
      </c>
      <c r="AV218" s="0" t="n">
        <f aca="false">IF(W218=0,0,1)</f>
        <v>0</v>
      </c>
      <c r="AW218" s="26" t="n">
        <f aca="false">SUM(AA218:AV218)</f>
        <v>0</v>
      </c>
      <c r="AX218" s="27" t="n">
        <f aca="false">IF(X218=0,0,X218)</f>
        <v>0</v>
      </c>
      <c r="AY218" s="1" t="n">
        <f aca="false">IF(X218=0,0,A218)</f>
        <v>0</v>
      </c>
      <c r="AZ218" s="28" t="n">
        <f aca="false">IF(AX218=0,0,A$214)</f>
        <v>0</v>
      </c>
      <c r="BA218" s="55"/>
      <c r="BB218" s="30"/>
      <c r="BC218" s="56"/>
      <c r="BD218" s="27"/>
      <c r="BE218" s="26"/>
      <c r="BF218" s="32"/>
      <c r="BG218" s="33"/>
    </row>
    <row r="219" customFormat="false" ht="15" hidden="false" customHeight="false" outlineLevel="0" collapsed="false">
      <c r="A219" s="21" t="n">
        <f aca="false">B!$E$253</f>
        <v>0</v>
      </c>
      <c r="B219" s="22" t="n">
        <f aca="false">C!G74</f>
        <v>0</v>
      </c>
      <c r="C219" s="22" t="n">
        <f aca="false">D!G74</f>
        <v>0</v>
      </c>
      <c r="D219" s="22" t="n">
        <f aca="false">E!G74</f>
        <v>0</v>
      </c>
      <c r="E219" s="22" t="n">
        <f aca="false">F!G74</f>
        <v>0</v>
      </c>
      <c r="F219" s="22" t="n">
        <f aca="false">G!G74</f>
        <v>0</v>
      </c>
      <c r="G219" s="22" t="n">
        <f aca="false">H!G74</f>
        <v>0</v>
      </c>
      <c r="H219" s="22" t="n">
        <f aca="false">I!G74</f>
        <v>0</v>
      </c>
      <c r="I219" s="22" t="n">
        <f aca="false">J!G74</f>
        <v>0</v>
      </c>
      <c r="J219" s="22" t="n">
        <f aca="false">K!G74</f>
        <v>0</v>
      </c>
      <c r="K219" s="22" t="n">
        <f aca="false">L!G74</f>
        <v>0</v>
      </c>
      <c r="L219" s="22" t="n">
        <f aca="false">M!G74</f>
        <v>0</v>
      </c>
      <c r="M219" s="22" t="n">
        <f aca="false">N!G74</f>
        <v>0</v>
      </c>
      <c r="N219" s="22" t="n">
        <f aca="false">O!G74</f>
        <v>0</v>
      </c>
      <c r="O219" s="22" t="n">
        <f aca="false">P!G74</f>
        <v>0</v>
      </c>
      <c r="P219" s="22" t="n">
        <f aca="false">Q!G74</f>
        <v>0</v>
      </c>
      <c r="Q219" s="22" t="n">
        <f aca="false">R!G74</f>
        <v>0</v>
      </c>
      <c r="R219" s="22" t="n">
        <f aca="false">S!G74</f>
        <v>0</v>
      </c>
      <c r="S219" s="22" t="n">
        <f aca="false">T!G74</f>
        <v>0</v>
      </c>
      <c r="T219" s="22" t="n">
        <f aca="false">U!G74</f>
        <v>0</v>
      </c>
      <c r="U219" s="22" t="n">
        <f aca="false">V!G74</f>
        <v>0</v>
      </c>
      <c r="V219" s="22" t="n">
        <f aca="false">W!G74</f>
        <v>0</v>
      </c>
      <c r="W219" s="22" t="n">
        <f aca="false">X!G74</f>
        <v>0</v>
      </c>
      <c r="X219" s="23" t="n">
        <f aca="false">SUM(B219:W219)</f>
        <v>0</v>
      </c>
      <c r="Y219" s="24" t="n">
        <f aca="false">IF(AW219=0,0,X219/AW219)</f>
        <v>0</v>
      </c>
      <c r="Z219" s="25" t="n">
        <f aca="false">A219</f>
        <v>0</v>
      </c>
      <c r="AA219" s="16" t="n">
        <f aca="false">IF(B219=0,0,1)</f>
        <v>0</v>
      </c>
      <c r="AB219" s="0" t="n">
        <f aca="false">IF(C219=0,0,1)</f>
        <v>0</v>
      </c>
      <c r="AC219" s="0" t="n">
        <f aca="false">IF(D219=0,0,1)</f>
        <v>0</v>
      </c>
      <c r="AD219" s="0" t="n">
        <f aca="false">IF(E219=0,0,1)</f>
        <v>0</v>
      </c>
      <c r="AE219" s="0" t="n">
        <f aca="false">IF(F219=0,0,1)</f>
        <v>0</v>
      </c>
      <c r="AF219" s="0" t="n">
        <f aca="false">IF(G219=0,0,1)</f>
        <v>0</v>
      </c>
      <c r="AG219" s="0" t="n">
        <f aca="false">IF(H219=0,0,1)</f>
        <v>0</v>
      </c>
      <c r="AH219" s="0" t="n">
        <f aca="false">IF(I219=0,0,1)</f>
        <v>0</v>
      </c>
      <c r="AI219" s="0" t="n">
        <f aca="false">IF(J219=0,0,1)</f>
        <v>0</v>
      </c>
      <c r="AJ219" s="0" t="n">
        <f aca="false">IF(K219=0,0,1)</f>
        <v>0</v>
      </c>
      <c r="AK219" s="0" t="n">
        <f aca="false">IF(L219=0,0,1)</f>
        <v>0</v>
      </c>
      <c r="AL219" s="0" t="n">
        <f aca="false">IF(M219=0,0,1)</f>
        <v>0</v>
      </c>
      <c r="AM219" s="0" t="n">
        <f aca="false">IF(N219=0,0,1)</f>
        <v>0</v>
      </c>
      <c r="AN219" s="0" t="n">
        <f aca="false">IF(O219=0,0,1)</f>
        <v>0</v>
      </c>
      <c r="AO219" s="0" t="n">
        <f aca="false">IF(P219=0,0,1)</f>
        <v>0</v>
      </c>
      <c r="AP219" s="0" t="n">
        <f aca="false">IF(Q219=0,0,1)</f>
        <v>0</v>
      </c>
      <c r="AQ219" s="0" t="n">
        <f aca="false">IF(R219=0,0,1)</f>
        <v>0</v>
      </c>
      <c r="AR219" s="0" t="n">
        <f aca="false">IF(S219=0,0,1)</f>
        <v>0</v>
      </c>
      <c r="AS219" s="0" t="n">
        <f aca="false">IF(T219=0,0,1)</f>
        <v>0</v>
      </c>
      <c r="AT219" s="0" t="n">
        <f aca="false">IF(U219=0,0,1)</f>
        <v>0</v>
      </c>
      <c r="AU219" s="0" t="n">
        <f aca="false">IF(V219=0,0,1)</f>
        <v>0</v>
      </c>
      <c r="AV219" s="0" t="n">
        <f aca="false">IF(W219=0,0,1)</f>
        <v>0</v>
      </c>
      <c r="AW219" s="26" t="n">
        <f aca="false">SUM(AA219:AV219)</f>
        <v>0</v>
      </c>
      <c r="AX219" s="27" t="n">
        <f aca="false">IF(X219=0,0,X219)</f>
        <v>0</v>
      </c>
      <c r="AY219" s="1" t="n">
        <f aca="false">IF(X219=0,0,A219)</f>
        <v>0</v>
      </c>
      <c r="AZ219" s="28" t="n">
        <f aca="false">IF(AX219=0,0,A$214)</f>
        <v>0</v>
      </c>
      <c r="BA219" s="55"/>
      <c r="BB219" s="30"/>
      <c r="BC219" s="56"/>
      <c r="BD219" s="27"/>
      <c r="BE219" s="26"/>
      <c r="BF219" s="32"/>
      <c r="BG219" s="33"/>
    </row>
    <row r="220" customFormat="false" ht="15" hidden="false" customHeight="false" outlineLevel="0" collapsed="false">
      <c r="A220" s="21" t="n">
        <f aca="false">B!$E$258</f>
        <v>0</v>
      </c>
      <c r="B220" s="22" t="n">
        <f aca="false">C!G75</f>
        <v>0</v>
      </c>
      <c r="C220" s="22" t="n">
        <f aca="false">D!G75</f>
        <v>0</v>
      </c>
      <c r="D220" s="22" t="n">
        <f aca="false">E!G75</f>
        <v>0</v>
      </c>
      <c r="E220" s="22" t="n">
        <f aca="false">F!G75</f>
        <v>0</v>
      </c>
      <c r="F220" s="22" t="n">
        <f aca="false">G!G75</f>
        <v>0</v>
      </c>
      <c r="G220" s="22" t="n">
        <f aca="false">H!G75</f>
        <v>0</v>
      </c>
      <c r="H220" s="22" t="n">
        <f aca="false">I!G75</f>
        <v>0</v>
      </c>
      <c r="I220" s="22" t="n">
        <f aca="false">J!G75</f>
        <v>0</v>
      </c>
      <c r="J220" s="22" t="n">
        <f aca="false">K!G75</f>
        <v>0</v>
      </c>
      <c r="K220" s="22" t="n">
        <f aca="false">L!G75</f>
        <v>0</v>
      </c>
      <c r="L220" s="22" t="n">
        <f aca="false">M!G75</f>
        <v>0</v>
      </c>
      <c r="M220" s="22" t="n">
        <f aca="false">N!G75</f>
        <v>0</v>
      </c>
      <c r="N220" s="22" t="n">
        <f aca="false">O!G75</f>
        <v>0</v>
      </c>
      <c r="O220" s="22" t="n">
        <f aca="false">P!G75</f>
        <v>0</v>
      </c>
      <c r="P220" s="22" t="n">
        <f aca="false">Q!G75</f>
        <v>0</v>
      </c>
      <c r="Q220" s="22" t="n">
        <f aca="false">R!G75</f>
        <v>0</v>
      </c>
      <c r="R220" s="22" t="n">
        <f aca="false">S!G75</f>
        <v>0</v>
      </c>
      <c r="S220" s="22" t="n">
        <f aca="false">T!G75</f>
        <v>0</v>
      </c>
      <c r="T220" s="22" t="n">
        <f aca="false">U!G75</f>
        <v>0</v>
      </c>
      <c r="U220" s="22" t="n">
        <f aca="false">V!G75</f>
        <v>0</v>
      </c>
      <c r="V220" s="22" t="n">
        <f aca="false">W!G75</f>
        <v>0</v>
      </c>
      <c r="W220" s="22" t="n">
        <f aca="false">X!G75</f>
        <v>0</v>
      </c>
      <c r="X220" s="23" t="n">
        <f aca="false">SUM(B220:W220)</f>
        <v>0</v>
      </c>
      <c r="Y220" s="24" t="n">
        <f aca="false">IF(AW220=0,0,X220/AW220)</f>
        <v>0</v>
      </c>
      <c r="Z220" s="25" t="n">
        <f aca="false">A220</f>
        <v>0</v>
      </c>
      <c r="AA220" s="16" t="n">
        <f aca="false">IF(B220=0,0,1)</f>
        <v>0</v>
      </c>
      <c r="AB220" s="0" t="n">
        <f aca="false">IF(C220=0,0,1)</f>
        <v>0</v>
      </c>
      <c r="AC220" s="0" t="n">
        <f aca="false">IF(D220=0,0,1)</f>
        <v>0</v>
      </c>
      <c r="AD220" s="0" t="n">
        <f aca="false">IF(E220=0,0,1)</f>
        <v>0</v>
      </c>
      <c r="AE220" s="0" t="n">
        <f aca="false">IF(F220=0,0,1)</f>
        <v>0</v>
      </c>
      <c r="AF220" s="0" t="n">
        <f aca="false">IF(G220=0,0,1)</f>
        <v>0</v>
      </c>
      <c r="AG220" s="0" t="n">
        <f aca="false">IF(H220=0,0,1)</f>
        <v>0</v>
      </c>
      <c r="AH220" s="0" t="n">
        <f aca="false">IF(I220=0,0,1)</f>
        <v>0</v>
      </c>
      <c r="AI220" s="0" t="n">
        <f aca="false">IF(J220=0,0,1)</f>
        <v>0</v>
      </c>
      <c r="AJ220" s="0" t="n">
        <f aca="false">IF(K220=0,0,1)</f>
        <v>0</v>
      </c>
      <c r="AK220" s="0" t="n">
        <f aca="false">IF(L220=0,0,1)</f>
        <v>0</v>
      </c>
      <c r="AL220" s="0" t="n">
        <f aca="false">IF(M220=0,0,1)</f>
        <v>0</v>
      </c>
      <c r="AM220" s="0" t="n">
        <f aca="false">IF(N220=0,0,1)</f>
        <v>0</v>
      </c>
      <c r="AN220" s="0" t="n">
        <f aca="false">IF(O220=0,0,1)</f>
        <v>0</v>
      </c>
      <c r="AO220" s="0" t="n">
        <f aca="false">IF(P220=0,0,1)</f>
        <v>0</v>
      </c>
      <c r="AP220" s="0" t="n">
        <f aca="false">IF(Q220=0,0,1)</f>
        <v>0</v>
      </c>
      <c r="AQ220" s="0" t="n">
        <f aca="false">IF(R220=0,0,1)</f>
        <v>0</v>
      </c>
      <c r="AR220" s="0" t="n">
        <f aca="false">IF(S220=0,0,1)</f>
        <v>0</v>
      </c>
      <c r="AS220" s="0" t="n">
        <f aca="false">IF(T220=0,0,1)</f>
        <v>0</v>
      </c>
      <c r="AT220" s="0" t="n">
        <f aca="false">IF(U220=0,0,1)</f>
        <v>0</v>
      </c>
      <c r="AU220" s="0" t="n">
        <f aca="false">IF(V220=0,0,1)</f>
        <v>0</v>
      </c>
      <c r="AV220" s="0" t="n">
        <f aca="false">IF(W220=0,0,1)</f>
        <v>0</v>
      </c>
      <c r="AW220" s="26" t="n">
        <f aca="false">SUM(AA220:AV220)</f>
        <v>0</v>
      </c>
      <c r="AX220" s="27" t="n">
        <f aca="false">IF(X220=0,0,X220)</f>
        <v>0</v>
      </c>
      <c r="AY220" s="1" t="n">
        <f aca="false">IF(X220=0,0,A220)</f>
        <v>0</v>
      </c>
      <c r="AZ220" s="28" t="n">
        <f aca="false">IF(AX220=0,0,A$214)</f>
        <v>0</v>
      </c>
      <c r="BA220" s="55"/>
      <c r="BB220" s="30"/>
      <c r="BC220" s="56"/>
      <c r="BD220" s="27"/>
      <c r="BE220" s="26"/>
      <c r="BF220" s="32"/>
      <c r="BG220" s="33"/>
    </row>
    <row r="221" customFormat="false" ht="15" hidden="false" customHeight="false" outlineLevel="0" collapsed="false">
      <c r="A221" s="21" t="n">
        <f aca="false">B!$E$263</f>
        <v>0</v>
      </c>
      <c r="B221" s="22" t="n">
        <f aca="false">C!G76</f>
        <v>0</v>
      </c>
      <c r="C221" s="22" t="n">
        <f aca="false">D!G76</f>
        <v>0</v>
      </c>
      <c r="D221" s="22" t="n">
        <f aca="false">E!G76</f>
        <v>0</v>
      </c>
      <c r="E221" s="22" t="n">
        <f aca="false">F!G76</f>
        <v>0</v>
      </c>
      <c r="F221" s="22" t="n">
        <f aca="false">G!G76</f>
        <v>0</v>
      </c>
      <c r="G221" s="22" t="n">
        <f aca="false">H!G76</f>
        <v>0</v>
      </c>
      <c r="H221" s="22" t="n">
        <f aca="false">I!G76</f>
        <v>0</v>
      </c>
      <c r="I221" s="22" t="n">
        <f aca="false">J!G76</f>
        <v>0</v>
      </c>
      <c r="J221" s="22" t="n">
        <f aca="false">K!G76</f>
        <v>0</v>
      </c>
      <c r="K221" s="22" t="n">
        <f aca="false">L!G76</f>
        <v>0</v>
      </c>
      <c r="L221" s="22" t="n">
        <f aca="false">M!G76</f>
        <v>0</v>
      </c>
      <c r="M221" s="22" t="n">
        <f aca="false">N!G76</f>
        <v>0</v>
      </c>
      <c r="N221" s="22" t="n">
        <f aca="false">O!G76</f>
        <v>0</v>
      </c>
      <c r="O221" s="22" t="n">
        <f aca="false">P!G76</f>
        <v>0</v>
      </c>
      <c r="P221" s="22" t="n">
        <f aca="false">Q!G76</f>
        <v>0</v>
      </c>
      <c r="Q221" s="22" t="n">
        <f aca="false">R!G76</f>
        <v>0</v>
      </c>
      <c r="R221" s="22" t="n">
        <f aca="false">S!G76</f>
        <v>0</v>
      </c>
      <c r="S221" s="22" t="n">
        <f aca="false">T!G76</f>
        <v>0</v>
      </c>
      <c r="T221" s="22" t="n">
        <f aca="false">U!G76</f>
        <v>0</v>
      </c>
      <c r="U221" s="22" t="n">
        <f aca="false">V!G76</f>
        <v>0</v>
      </c>
      <c r="V221" s="22" t="n">
        <f aca="false">W!G76</f>
        <v>0</v>
      </c>
      <c r="W221" s="22" t="n">
        <f aca="false">X!G76</f>
        <v>0</v>
      </c>
      <c r="X221" s="23" t="n">
        <f aca="false">SUM(B221:W221)</f>
        <v>0</v>
      </c>
      <c r="Y221" s="24" t="n">
        <f aca="false">IF(AW221=0,0,X221/AW221)</f>
        <v>0</v>
      </c>
      <c r="Z221" s="25" t="n">
        <f aca="false">A221</f>
        <v>0</v>
      </c>
      <c r="AA221" s="16" t="n">
        <f aca="false">IF(B221=0,0,1)</f>
        <v>0</v>
      </c>
      <c r="AB221" s="0" t="n">
        <f aca="false">IF(C221=0,0,1)</f>
        <v>0</v>
      </c>
      <c r="AC221" s="0" t="n">
        <f aca="false">IF(D221=0,0,1)</f>
        <v>0</v>
      </c>
      <c r="AD221" s="0" t="n">
        <f aca="false">IF(E221=0,0,1)</f>
        <v>0</v>
      </c>
      <c r="AE221" s="0" t="n">
        <f aca="false">IF(F221=0,0,1)</f>
        <v>0</v>
      </c>
      <c r="AF221" s="0" t="n">
        <f aca="false">IF(G221=0,0,1)</f>
        <v>0</v>
      </c>
      <c r="AG221" s="0" t="n">
        <f aca="false">IF(H221=0,0,1)</f>
        <v>0</v>
      </c>
      <c r="AH221" s="0" t="n">
        <f aca="false">IF(I221=0,0,1)</f>
        <v>0</v>
      </c>
      <c r="AI221" s="0" t="n">
        <f aca="false">IF(J221=0,0,1)</f>
        <v>0</v>
      </c>
      <c r="AJ221" s="0" t="n">
        <f aca="false">IF(K221=0,0,1)</f>
        <v>0</v>
      </c>
      <c r="AK221" s="0" t="n">
        <f aca="false">IF(L221=0,0,1)</f>
        <v>0</v>
      </c>
      <c r="AL221" s="0" t="n">
        <f aca="false">IF(M221=0,0,1)</f>
        <v>0</v>
      </c>
      <c r="AM221" s="0" t="n">
        <f aca="false">IF(N221=0,0,1)</f>
        <v>0</v>
      </c>
      <c r="AN221" s="0" t="n">
        <f aca="false">IF(O221=0,0,1)</f>
        <v>0</v>
      </c>
      <c r="AO221" s="0" t="n">
        <f aca="false">IF(P221=0,0,1)</f>
        <v>0</v>
      </c>
      <c r="AP221" s="0" t="n">
        <f aca="false">IF(Q221=0,0,1)</f>
        <v>0</v>
      </c>
      <c r="AQ221" s="0" t="n">
        <f aca="false">IF(R221=0,0,1)</f>
        <v>0</v>
      </c>
      <c r="AR221" s="0" t="n">
        <f aca="false">IF(S221=0,0,1)</f>
        <v>0</v>
      </c>
      <c r="AS221" s="0" t="n">
        <f aca="false">IF(T221=0,0,1)</f>
        <v>0</v>
      </c>
      <c r="AT221" s="0" t="n">
        <f aca="false">IF(U221=0,0,1)</f>
        <v>0</v>
      </c>
      <c r="AU221" s="0" t="n">
        <f aca="false">IF(V221=0,0,1)</f>
        <v>0</v>
      </c>
      <c r="AV221" s="0" t="n">
        <f aca="false">IF(W221=0,0,1)</f>
        <v>0</v>
      </c>
      <c r="AW221" s="26" t="n">
        <f aca="false">SUM(AA221:AV221)</f>
        <v>0</v>
      </c>
      <c r="AX221" s="27" t="n">
        <f aca="false">IF(X221=0,0,X221)</f>
        <v>0</v>
      </c>
      <c r="AY221" s="1" t="n">
        <f aca="false">IF(X221=0,0,A221)</f>
        <v>0</v>
      </c>
      <c r="AZ221" s="28" t="n">
        <f aca="false">IF(AX221=0,0,A$214)</f>
        <v>0</v>
      </c>
      <c r="BA221" s="55"/>
      <c r="BB221" s="30"/>
      <c r="BC221" s="56"/>
      <c r="BD221" s="27"/>
      <c r="BE221" s="26"/>
      <c r="BF221" s="32"/>
      <c r="BG221" s="33"/>
    </row>
    <row r="222" customFormat="false" ht="15" hidden="false" customHeight="false" outlineLevel="0" collapsed="false">
      <c r="A222" s="21" t="n">
        <f aca="false">B!$E$268</f>
        <v>0</v>
      </c>
      <c r="B222" s="22" t="n">
        <f aca="false">C!G77</f>
        <v>0</v>
      </c>
      <c r="C222" s="22" t="n">
        <f aca="false">D!G77</f>
        <v>0</v>
      </c>
      <c r="D222" s="22" t="n">
        <f aca="false">E!G77</f>
        <v>0</v>
      </c>
      <c r="E222" s="22" t="n">
        <f aca="false">F!G77</f>
        <v>0</v>
      </c>
      <c r="F222" s="22" t="n">
        <f aca="false">G!G77</f>
        <v>0</v>
      </c>
      <c r="G222" s="22" t="n">
        <f aca="false">H!G77</f>
        <v>0</v>
      </c>
      <c r="H222" s="22" t="n">
        <f aca="false">I!G77</f>
        <v>0</v>
      </c>
      <c r="I222" s="22" t="n">
        <f aca="false">J!G77</f>
        <v>0</v>
      </c>
      <c r="J222" s="22" t="n">
        <f aca="false">K!G77</f>
        <v>0</v>
      </c>
      <c r="K222" s="22" t="n">
        <f aca="false">L!G77</f>
        <v>0</v>
      </c>
      <c r="L222" s="22" t="n">
        <f aca="false">M!G77</f>
        <v>0</v>
      </c>
      <c r="M222" s="22" t="n">
        <f aca="false">N!G77</f>
        <v>0</v>
      </c>
      <c r="N222" s="22" t="n">
        <f aca="false">O!G77</f>
        <v>0</v>
      </c>
      <c r="O222" s="22" t="n">
        <f aca="false">P!G77</f>
        <v>0</v>
      </c>
      <c r="P222" s="22" t="n">
        <f aca="false">Q!G77</f>
        <v>0</v>
      </c>
      <c r="Q222" s="22" t="n">
        <f aca="false">R!G77</f>
        <v>0</v>
      </c>
      <c r="R222" s="22" t="n">
        <f aca="false">S!G77</f>
        <v>0</v>
      </c>
      <c r="S222" s="22" t="n">
        <f aca="false">T!G77</f>
        <v>0</v>
      </c>
      <c r="T222" s="22" t="n">
        <f aca="false">U!G77</f>
        <v>0</v>
      </c>
      <c r="U222" s="22" t="n">
        <f aca="false">V!G77</f>
        <v>0</v>
      </c>
      <c r="V222" s="22" t="n">
        <f aca="false">W!G77</f>
        <v>0</v>
      </c>
      <c r="W222" s="22" t="n">
        <f aca="false">X!G77</f>
        <v>0</v>
      </c>
      <c r="X222" s="23" t="n">
        <f aca="false">SUM(B222:W222)</f>
        <v>0</v>
      </c>
      <c r="Y222" s="24" t="n">
        <f aca="false">IF(AW222=0,0,X222/AW222)</f>
        <v>0</v>
      </c>
      <c r="Z222" s="25" t="n">
        <f aca="false">A222</f>
        <v>0</v>
      </c>
      <c r="AA222" s="16" t="n">
        <f aca="false">IF(B222=0,0,1)</f>
        <v>0</v>
      </c>
      <c r="AB222" s="0" t="n">
        <f aca="false">IF(C222=0,0,1)</f>
        <v>0</v>
      </c>
      <c r="AC222" s="0" t="n">
        <f aca="false">IF(D222=0,0,1)</f>
        <v>0</v>
      </c>
      <c r="AD222" s="0" t="n">
        <f aca="false">IF(E222=0,0,1)</f>
        <v>0</v>
      </c>
      <c r="AE222" s="0" t="n">
        <f aca="false">IF(F222=0,0,1)</f>
        <v>0</v>
      </c>
      <c r="AF222" s="0" t="n">
        <f aca="false">IF(G222=0,0,1)</f>
        <v>0</v>
      </c>
      <c r="AG222" s="0" t="n">
        <f aca="false">IF(H222=0,0,1)</f>
        <v>0</v>
      </c>
      <c r="AH222" s="0" t="n">
        <f aca="false">IF(I222=0,0,1)</f>
        <v>0</v>
      </c>
      <c r="AI222" s="0" t="n">
        <f aca="false">IF(J222=0,0,1)</f>
        <v>0</v>
      </c>
      <c r="AJ222" s="0" t="n">
        <f aca="false">IF(K222=0,0,1)</f>
        <v>0</v>
      </c>
      <c r="AK222" s="0" t="n">
        <f aca="false">IF(L222=0,0,1)</f>
        <v>0</v>
      </c>
      <c r="AL222" s="0" t="n">
        <f aca="false">IF(M222=0,0,1)</f>
        <v>0</v>
      </c>
      <c r="AM222" s="0" t="n">
        <f aca="false">IF(N222=0,0,1)</f>
        <v>0</v>
      </c>
      <c r="AN222" s="0" t="n">
        <f aca="false">IF(O222=0,0,1)</f>
        <v>0</v>
      </c>
      <c r="AO222" s="0" t="n">
        <f aca="false">IF(P222=0,0,1)</f>
        <v>0</v>
      </c>
      <c r="AP222" s="0" t="n">
        <f aca="false">IF(Q222=0,0,1)</f>
        <v>0</v>
      </c>
      <c r="AQ222" s="0" t="n">
        <f aca="false">IF(R222=0,0,1)</f>
        <v>0</v>
      </c>
      <c r="AR222" s="0" t="n">
        <f aca="false">IF(S222=0,0,1)</f>
        <v>0</v>
      </c>
      <c r="AS222" s="0" t="n">
        <f aca="false">IF(T222=0,0,1)</f>
        <v>0</v>
      </c>
      <c r="AT222" s="0" t="n">
        <f aca="false">IF(U222=0,0,1)</f>
        <v>0</v>
      </c>
      <c r="AU222" s="0" t="n">
        <f aca="false">IF(V222=0,0,1)</f>
        <v>0</v>
      </c>
      <c r="AV222" s="0" t="n">
        <f aca="false">IF(W222=0,0,1)</f>
        <v>0</v>
      </c>
      <c r="AW222" s="26" t="n">
        <f aca="false">SUM(AA222:AV222)</f>
        <v>0</v>
      </c>
      <c r="AX222" s="27" t="n">
        <f aca="false">IF(X222=0,0,X222)</f>
        <v>0</v>
      </c>
      <c r="AY222" s="1" t="n">
        <f aca="false">IF(X222=0,0,A222)</f>
        <v>0</v>
      </c>
      <c r="AZ222" s="28" t="n">
        <f aca="false">IF(AX222=0,0,A$214)</f>
        <v>0</v>
      </c>
      <c r="BA222" s="55"/>
      <c r="BB222" s="30"/>
      <c r="BC222" s="56"/>
      <c r="BD222" s="27"/>
      <c r="BE222" s="26"/>
      <c r="BF222" s="32"/>
      <c r="BG222" s="33"/>
    </row>
    <row r="223" customFormat="false" ht="15" hidden="false" customHeight="false" outlineLevel="0" collapsed="false">
      <c r="A223" s="38" t="s">
        <v>60</v>
      </c>
      <c r="B223" s="39" t="n">
        <f aca="false">SUM(B215:B222)</f>
        <v>0</v>
      </c>
      <c r="C223" s="39" t="n">
        <f aca="false">SUM(C215:C222)</f>
        <v>0</v>
      </c>
      <c r="D223" s="39" t="n">
        <f aca="false">SUM(D215:D222)</f>
        <v>0</v>
      </c>
      <c r="E223" s="39" t="n">
        <f aca="false">SUM(E215:E222)</f>
        <v>0</v>
      </c>
      <c r="F223" s="39" t="n">
        <f aca="false">SUM(F215:F222)</f>
        <v>0</v>
      </c>
      <c r="G223" s="39" t="n">
        <f aca="false">SUM(G215:G222)</f>
        <v>0</v>
      </c>
      <c r="H223" s="39" t="n">
        <f aca="false">SUM(H215:H222)</f>
        <v>0</v>
      </c>
      <c r="I223" s="39" t="n">
        <f aca="false">SUM(I215:I222)</f>
        <v>0</v>
      </c>
      <c r="J223" s="39" t="n">
        <f aca="false">SUM(J215:J222)</f>
        <v>0</v>
      </c>
      <c r="K223" s="39" t="n">
        <f aca="false">SUM(K215:K222)</f>
        <v>0</v>
      </c>
      <c r="L223" s="39" t="n">
        <f aca="false">SUM(L215:L222)</f>
        <v>0</v>
      </c>
      <c r="M223" s="39" t="n">
        <f aca="false">SUM(M215:M222)</f>
        <v>0</v>
      </c>
      <c r="N223" s="39" t="n">
        <f aca="false">SUM(N215:N222)</f>
        <v>0</v>
      </c>
      <c r="O223" s="39" t="n">
        <f aca="false">SUM(O215:O222)</f>
        <v>0</v>
      </c>
      <c r="P223" s="39" t="n">
        <f aca="false">SUM(P215:P222)</f>
        <v>0</v>
      </c>
      <c r="Q223" s="39" t="n">
        <f aca="false">SUM(Q215:Q222)</f>
        <v>0</v>
      </c>
      <c r="R223" s="39" t="n">
        <f aca="false">SUM(R215:R222)</f>
        <v>0</v>
      </c>
      <c r="S223" s="39" t="n">
        <f aca="false">SUM(S215:S222)</f>
        <v>0</v>
      </c>
      <c r="T223" s="39" t="n">
        <f aca="false">SUM(T215:T222)</f>
        <v>0</v>
      </c>
      <c r="U223" s="39" t="n">
        <f aca="false">SUM(U215:U222)</f>
        <v>0</v>
      </c>
      <c r="V223" s="39" t="n">
        <f aca="false">SUM(V215:V222)</f>
        <v>0</v>
      </c>
      <c r="W223" s="39" t="n">
        <f aca="false">SUM(W215:W222)</f>
        <v>0</v>
      </c>
      <c r="X223" s="40" t="n">
        <f aca="false">SUM(B223:W223)</f>
        <v>0</v>
      </c>
      <c r="Y223" s="41" t="n">
        <f aca="false">IF(X223=0,0,X223/AW223)</f>
        <v>0</v>
      </c>
      <c r="Z223" s="25"/>
      <c r="AA223" s="42" t="n">
        <f aca="false">SUM(AA215:AA222)</f>
        <v>0</v>
      </c>
      <c r="AB223" s="43" t="n">
        <f aca="false">SUM(AB215:AB222)</f>
        <v>0</v>
      </c>
      <c r="AC223" s="43" t="n">
        <f aca="false">SUM(AC215:AC222)</f>
        <v>0</v>
      </c>
      <c r="AD223" s="43" t="n">
        <f aca="false">SUM(AD215:AD222)</f>
        <v>0</v>
      </c>
      <c r="AE223" s="43" t="n">
        <f aca="false">SUM(AE215:AE222)</f>
        <v>0</v>
      </c>
      <c r="AF223" s="43" t="n">
        <f aca="false">SUM(AF215:AF222)</f>
        <v>0</v>
      </c>
      <c r="AG223" s="43" t="n">
        <f aca="false">SUM(AG215:AG222)</f>
        <v>0</v>
      </c>
      <c r="AH223" s="43" t="n">
        <f aca="false">SUM(AH215:AH222)</f>
        <v>0</v>
      </c>
      <c r="AI223" s="43" t="n">
        <f aca="false">SUM(AI215:AI222)</f>
        <v>0</v>
      </c>
      <c r="AJ223" s="43" t="n">
        <f aca="false">SUM(AJ215:AJ222)</f>
        <v>0</v>
      </c>
      <c r="AK223" s="43" t="n">
        <f aca="false">SUM(AK215:AK222)</f>
        <v>0</v>
      </c>
      <c r="AL223" s="43" t="n">
        <f aca="false">SUM(AL215:AL222)</f>
        <v>0</v>
      </c>
      <c r="AM223" s="43" t="n">
        <f aca="false">SUM(AM215:AM222)</f>
        <v>0</v>
      </c>
      <c r="AN223" s="43" t="n">
        <f aca="false">SUM(AN215:AN222)</f>
        <v>0</v>
      </c>
      <c r="AO223" s="43" t="n">
        <f aca="false">SUM(AO215:AO222)</f>
        <v>0</v>
      </c>
      <c r="AP223" s="43" t="n">
        <f aca="false">SUM(AP215:AP222)</f>
        <v>0</v>
      </c>
      <c r="AQ223" s="43" t="n">
        <f aca="false">SUM(AQ215:AQ222)</f>
        <v>0</v>
      </c>
      <c r="AR223" s="43" t="n">
        <f aca="false">SUM(AR215:AR222)</f>
        <v>0</v>
      </c>
      <c r="AS223" s="43" t="n">
        <f aca="false">SUM(AS215:AS222)</f>
        <v>0</v>
      </c>
      <c r="AT223" s="43" t="n">
        <f aca="false">SUM(AT215:AT222)</f>
        <v>0</v>
      </c>
      <c r="AU223" s="43" t="n">
        <f aca="false">SUM(AU215:AU222)</f>
        <v>0</v>
      </c>
      <c r="AV223" s="43" t="n">
        <f aca="false">SUM(AV215:AV222)</f>
        <v>0</v>
      </c>
      <c r="AW223" s="44" t="n">
        <f aca="false">MAXA(AW215:AW222)</f>
        <v>0</v>
      </c>
      <c r="AX223" s="27"/>
      <c r="AZ223" s="28"/>
      <c r="BA223" s="55"/>
      <c r="BB223" s="30"/>
      <c r="BC223" s="56"/>
      <c r="BD223" s="27"/>
      <c r="BE223" s="26"/>
      <c r="BF223" s="32"/>
      <c r="BG223" s="33"/>
    </row>
    <row r="224" customFormat="false" ht="15" hidden="false" customHeight="false" outlineLevel="0" collapsed="false">
      <c r="A224" s="54" t="s">
        <v>64</v>
      </c>
      <c r="B224" s="22" t="n">
        <f aca="false">C!G78</f>
        <v>0</v>
      </c>
      <c r="C224" s="22" t="n">
        <f aca="false">D!G78</f>
        <v>0</v>
      </c>
      <c r="D224" s="22" t="n">
        <f aca="false">E!G78</f>
        <v>0</v>
      </c>
      <c r="E224" s="22" t="n">
        <f aca="false">F!G78</f>
        <v>0</v>
      </c>
      <c r="F224" s="22" t="n">
        <f aca="false">G!G78</f>
        <v>0</v>
      </c>
      <c r="G224" s="22" t="n">
        <f aca="false">H!G78</f>
        <v>0</v>
      </c>
      <c r="H224" s="22" t="n">
        <f aca="false">I!G78</f>
        <v>0</v>
      </c>
      <c r="I224" s="22" t="n">
        <f aca="false">J!G78</f>
        <v>0</v>
      </c>
      <c r="J224" s="22" t="n">
        <f aca="false">K!G78</f>
        <v>0</v>
      </c>
      <c r="K224" s="22" t="n">
        <f aca="false">L!G78</f>
        <v>0</v>
      </c>
      <c r="L224" s="22" t="n">
        <f aca="false">M!G78</f>
        <v>0</v>
      </c>
      <c r="M224" s="22" t="n">
        <f aca="false">N!G78</f>
        <v>0</v>
      </c>
      <c r="N224" s="22" t="n">
        <f aca="false">O!G78</f>
        <v>0</v>
      </c>
      <c r="O224" s="22" t="n">
        <f aca="false">P!G78</f>
        <v>0</v>
      </c>
      <c r="P224" s="22" t="n">
        <f aca="false">Q!G78</f>
        <v>0</v>
      </c>
      <c r="Q224" s="22" t="n">
        <f aca="false">R!G78</f>
        <v>0</v>
      </c>
      <c r="R224" s="22" t="n">
        <f aca="false">S!G78</f>
        <v>0</v>
      </c>
      <c r="S224" s="22" t="n">
        <f aca="false">T!G78</f>
        <v>0</v>
      </c>
      <c r="T224" s="22" t="n">
        <f aca="false">U!G78</f>
        <v>0</v>
      </c>
      <c r="U224" s="22" t="n">
        <f aca="false">V!G78</f>
        <v>0</v>
      </c>
      <c r="V224" s="22" t="n">
        <f aca="false">W!G78</f>
        <v>0</v>
      </c>
      <c r="W224" s="22" t="n">
        <f aca="false">X!G78</f>
        <v>0</v>
      </c>
      <c r="X224" s="23" t="n">
        <f aca="false">SUM(B224:W224)</f>
        <v>0</v>
      </c>
      <c r="Y224" s="47"/>
      <c r="Z224" s="25"/>
      <c r="AA224" s="16"/>
      <c r="AW224" s="26"/>
      <c r="AX224" s="27"/>
      <c r="AZ224" s="28"/>
      <c r="BA224" s="55"/>
      <c r="BB224" s="30"/>
      <c r="BC224" s="56"/>
      <c r="BD224" s="27"/>
      <c r="BE224" s="26"/>
      <c r="BF224" s="32"/>
      <c r="BG224" s="33"/>
    </row>
    <row r="225" customFormat="false" ht="15" hidden="false" customHeight="false" outlineLevel="0" collapsed="false">
      <c r="A225" s="48" t="s">
        <v>68</v>
      </c>
      <c r="B225" s="49" t="n">
        <f aca="false">SUM(B223:B224)</f>
        <v>0</v>
      </c>
      <c r="C225" s="49" t="n">
        <f aca="false">SUM(C223:C224)</f>
        <v>0</v>
      </c>
      <c r="D225" s="49" t="n">
        <f aca="false">SUM(D223:D224)</f>
        <v>0</v>
      </c>
      <c r="E225" s="49" t="n">
        <f aca="false">SUM(E223:E224)</f>
        <v>0</v>
      </c>
      <c r="F225" s="49" t="n">
        <f aca="false">SUM(F223:F224)</f>
        <v>0</v>
      </c>
      <c r="G225" s="49" t="n">
        <f aca="false">SUM(G223:G224)</f>
        <v>0</v>
      </c>
      <c r="H225" s="49" t="n">
        <f aca="false">SUM(H223:H224)</f>
        <v>0</v>
      </c>
      <c r="I225" s="49" t="n">
        <f aca="false">SUM(I223:I224)</f>
        <v>0</v>
      </c>
      <c r="J225" s="49" t="n">
        <f aca="false">SUM(J223:J224)</f>
        <v>0</v>
      </c>
      <c r="K225" s="49" t="n">
        <f aca="false">SUM(K223:K224)</f>
        <v>0</v>
      </c>
      <c r="L225" s="49" t="n">
        <f aca="false">SUM(L223:L224)</f>
        <v>0</v>
      </c>
      <c r="M225" s="49" t="n">
        <f aca="false">SUM(M223:M224)</f>
        <v>0</v>
      </c>
      <c r="N225" s="49" t="n">
        <f aca="false">SUM(N223:N224)</f>
        <v>0</v>
      </c>
      <c r="O225" s="49" t="n">
        <f aca="false">SUM(O223:O224)</f>
        <v>0</v>
      </c>
      <c r="P225" s="49" t="n">
        <f aca="false">SUM(P223:P224)</f>
        <v>0</v>
      </c>
      <c r="Q225" s="49" t="n">
        <f aca="false">SUM(Q223:Q224)</f>
        <v>0</v>
      </c>
      <c r="R225" s="49" t="n">
        <f aca="false">SUM(R223:R224)</f>
        <v>0</v>
      </c>
      <c r="S225" s="49" t="n">
        <f aca="false">SUM(S223:S224)</f>
        <v>0</v>
      </c>
      <c r="T225" s="49" t="n">
        <f aca="false">SUM(T223:T224)</f>
        <v>0</v>
      </c>
      <c r="U225" s="49" t="n">
        <f aca="false">SUM(U223:U224)</f>
        <v>0</v>
      </c>
      <c r="V225" s="49" t="n">
        <f aca="false">SUM(V223:V224)</f>
        <v>0</v>
      </c>
      <c r="W225" s="49" t="n">
        <f aca="false">SUM(W223:W224)</f>
        <v>0</v>
      </c>
      <c r="X225" s="50" t="n">
        <f aca="false">SUM(B225:W225)</f>
        <v>0</v>
      </c>
      <c r="Y225" s="51"/>
      <c r="Z225" s="25"/>
      <c r="AA225" s="16"/>
      <c r="AW225" s="26"/>
      <c r="AX225" s="27"/>
      <c r="AZ225" s="28"/>
      <c r="BA225" s="55"/>
      <c r="BB225" s="30"/>
      <c r="BC225" s="56"/>
      <c r="BD225" s="27" t="n">
        <f aca="false">X225</f>
        <v>0</v>
      </c>
      <c r="BE225" s="26" t="n">
        <f aca="false">A214</f>
        <v>0</v>
      </c>
      <c r="BF225" s="32"/>
      <c r="BG225" s="33"/>
    </row>
    <row r="226" customFormat="false" ht="15" hidden="false" customHeight="false" outlineLevel="0" collapsed="false">
      <c r="A226" s="57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25"/>
      <c r="AA226" s="16"/>
      <c r="AW226" s="26"/>
      <c r="AX226" s="27"/>
      <c r="AZ226" s="28"/>
      <c r="BA226" s="55"/>
      <c r="BB226" s="30"/>
      <c r="BC226" s="56"/>
      <c r="BD226" s="27"/>
      <c r="BE226" s="26"/>
      <c r="BF226" s="32"/>
      <c r="BG226" s="33"/>
    </row>
    <row r="227" customFormat="false" ht="15" hidden="false" customHeight="false" outlineLevel="0" collapsed="false">
      <c r="A227" s="5" t="s">
        <v>139</v>
      </c>
      <c r="B227" s="6" t="s">
        <v>1</v>
      </c>
      <c r="C227" s="6" t="s">
        <v>2</v>
      </c>
      <c r="D227" s="6" t="s">
        <v>3</v>
      </c>
      <c r="E227" s="6" t="s">
        <v>4</v>
      </c>
      <c r="F227" s="6" t="s">
        <v>5</v>
      </c>
      <c r="G227" s="6" t="s">
        <v>6</v>
      </c>
      <c r="H227" s="6" t="s">
        <v>7</v>
      </c>
      <c r="I227" s="6" t="s">
        <v>8</v>
      </c>
      <c r="J227" s="6" t="s">
        <v>9</v>
      </c>
      <c r="K227" s="6" t="s">
        <v>10</v>
      </c>
      <c r="L227" s="6" t="s">
        <v>11</v>
      </c>
      <c r="M227" s="6" t="s">
        <v>12</v>
      </c>
      <c r="N227" s="6" t="s">
        <v>13</v>
      </c>
      <c r="O227" s="6" t="s">
        <v>14</v>
      </c>
      <c r="P227" s="6" t="s">
        <v>15</v>
      </c>
      <c r="Q227" s="6" t="s">
        <v>16</v>
      </c>
      <c r="R227" s="6" t="s">
        <v>17</v>
      </c>
      <c r="S227" s="6" t="s">
        <v>18</v>
      </c>
      <c r="T227" s="6" t="s">
        <v>19</v>
      </c>
      <c r="U227" s="6" t="s">
        <v>20</v>
      </c>
      <c r="V227" s="6" t="s">
        <v>21</v>
      </c>
      <c r="W227" s="6" t="s">
        <v>22</v>
      </c>
      <c r="X227" s="34"/>
      <c r="Y227" s="34"/>
      <c r="Z227" s="4" t="str">
        <f aca="false">A227</f>
        <v>Team #17 Name:</v>
      </c>
      <c r="AA227" s="16"/>
      <c r="AW227" s="26"/>
      <c r="AX227" s="27"/>
      <c r="AZ227" s="28"/>
      <c r="BA227" s="55"/>
      <c r="BB227" s="30"/>
      <c r="BC227" s="56"/>
      <c r="BD227" s="27"/>
      <c r="BE227" s="26"/>
      <c r="BF227" s="32"/>
      <c r="BG227" s="33"/>
    </row>
    <row r="228" customFormat="false" ht="15" hidden="false" customHeight="false" outlineLevel="0" collapsed="false">
      <c r="A228" s="11" t="n">
        <f aca="false">B!$E$274</f>
        <v>0</v>
      </c>
      <c r="B228" s="52" t="s">
        <v>28</v>
      </c>
      <c r="C228" s="52" t="s">
        <v>28</v>
      </c>
      <c r="D228" s="52" t="s">
        <v>28</v>
      </c>
      <c r="E228" s="52" t="s">
        <v>28</v>
      </c>
      <c r="F228" s="52" t="s">
        <v>28</v>
      </c>
      <c r="G228" s="52" t="s">
        <v>28</v>
      </c>
      <c r="H228" s="52" t="s">
        <v>28</v>
      </c>
      <c r="I228" s="52" t="s">
        <v>28</v>
      </c>
      <c r="J228" s="52" t="s">
        <v>28</v>
      </c>
      <c r="K228" s="52" t="s">
        <v>28</v>
      </c>
      <c r="L228" s="52" t="s">
        <v>28</v>
      </c>
      <c r="M228" s="52" t="s">
        <v>28</v>
      </c>
      <c r="N228" s="52" t="s">
        <v>28</v>
      </c>
      <c r="O228" s="52" t="s">
        <v>28</v>
      </c>
      <c r="P228" s="52" t="s">
        <v>28</v>
      </c>
      <c r="Q228" s="52" t="s">
        <v>28</v>
      </c>
      <c r="R228" s="52" t="s">
        <v>28</v>
      </c>
      <c r="S228" s="52" t="s">
        <v>28</v>
      </c>
      <c r="T228" s="52" t="s">
        <v>28</v>
      </c>
      <c r="U228" s="52" t="s">
        <v>28</v>
      </c>
      <c r="V228" s="52" t="s">
        <v>28</v>
      </c>
      <c r="W228" s="52" t="s">
        <v>28</v>
      </c>
      <c r="X228" s="13" t="s">
        <v>29</v>
      </c>
      <c r="Y228" s="14" t="s">
        <v>30</v>
      </c>
      <c r="Z228" s="15" t="n">
        <f aca="false">A228</f>
        <v>0</v>
      </c>
      <c r="AA228" s="16"/>
      <c r="AW228" s="17" t="s">
        <v>31</v>
      </c>
      <c r="AX228" s="27"/>
      <c r="AZ228" s="28"/>
      <c r="BA228" s="55"/>
      <c r="BB228" s="30"/>
      <c r="BC228" s="56"/>
      <c r="BD228" s="27"/>
      <c r="BE228" s="26"/>
      <c r="BF228" s="32"/>
      <c r="BG228" s="33"/>
    </row>
    <row r="229" customFormat="false" ht="15" hidden="false" customHeight="false" outlineLevel="0" collapsed="false">
      <c r="A229" s="21" t="n">
        <f aca="false">B!$E$276</f>
        <v>0</v>
      </c>
      <c r="B229" s="22" t="n">
        <f aca="false">C!G83</f>
        <v>0</v>
      </c>
      <c r="C229" s="22" t="n">
        <f aca="false">D!G83</f>
        <v>0</v>
      </c>
      <c r="D229" s="22" t="n">
        <f aca="false">E!G83</f>
        <v>0</v>
      </c>
      <c r="E229" s="22" t="n">
        <f aca="false">F!G83</f>
        <v>0</v>
      </c>
      <c r="F229" s="22" t="n">
        <f aca="false">G!G83</f>
        <v>0</v>
      </c>
      <c r="G229" s="22" t="n">
        <f aca="false">H!G83</f>
        <v>0</v>
      </c>
      <c r="H229" s="22" t="n">
        <f aca="false">I!G83</f>
        <v>0</v>
      </c>
      <c r="I229" s="22" t="n">
        <f aca="false">J!G83</f>
        <v>0</v>
      </c>
      <c r="J229" s="22" t="n">
        <f aca="false">K!G83</f>
        <v>0</v>
      </c>
      <c r="K229" s="22" t="n">
        <f aca="false">L!G83</f>
        <v>0</v>
      </c>
      <c r="L229" s="22" t="n">
        <f aca="false">M!G83</f>
        <v>0</v>
      </c>
      <c r="M229" s="22" t="n">
        <f aca="false">N!G83</f>
        <v>0</v>
      </c>
      <c r="N229" s="22" t="n">
        <f aca="false">O!G83</f>
        <v>0</v>
      </c>
      <c r="O229" s="22" t="n">
        <f aca="false">P!G83</f>
        <v>0</v>
      </c>
      <c r="P229" s="22" t="n">
        <f aca="false">Q!G83</f>
        <v>0</v>
      </c>
      <c r="Q229" s="22" t="n">
        <f aca="false">R!G83</f>
        <v>0</v>
      </c>
      <c r="R229" s="22" t="n">
        <f aca="false">S!G83</f>
        <v>0</v>
      </c>
      <c r="S229" s="22" t="n">
        <f aca="false">T!G83</f>
        <v>0</v>
      </c>
      <c r="T229" s="22" t="n">
        <f aca="false">U!G83</f>
        <v>0</v>
      </c>
      <c r="U229" s="22" t="n">
        <f aca="false">V!G83</f>
        <v>0</v>
      </c>
      <c r="V229" s="22" t="n">
        <f aca="false">W!G83</f>
        <v>0</v>
      </c>
      <c r="W229" s="22" t="n">
        <f aca="false">X!G83</f>
        <v>0</v>
      </c>
      <c r="X229" s="23" t="n">
        <f aca="false">SUM(B229:W229)</f>
        <v>0</v>
      </c>
      <c r="Y229" s="24" t="n">
        <f aca="false">IF(AW229=0,0,X229/AW229)</f>
        <v>0</v>
      </c>
      <c r="Z229" s="25" t="n">
        <f aca="false">A229</f>
        <v>0</v>
      </c>
      <c r="AA229" s="16" t="n">
        <f aca="false">IF(B229=0,0,1)</f>
        <v>0</v>
      </c>
      <c r="AB229" s="0" t="n">
        <f aca="false">IF(C229=0,0,1)</f>
        <v>0</v>
      </c>
      <c r="AC229" s="0" t="n">
        <f aca="false">IF(D229=0,0,1)</f>
        <v>0</v>
      </c>
      <c r="AD229" s="0" t="n">
        <f aca="false">IF(E229=0,0,1)</f>
        <v>0</v>
      </c>
      <c r="AE229" s="0" t="n">
        <f aca="false">IF(F229=0,0,1)</f>
        <v>0</v>
      </c>
      <c r="AF229" s="0" t="n">
        <f aca="false">IF(G229=0,0,1)</f>
        <v>0</v>
      </c>
      <c r="AG229" s="0" t="n">
        <f aca="false">IF(H229=0,0,1)</f>
        <v>0</v>
      </c>
      <c r="AH229" s="0" t="n">
        <f aca="false">IF(I229=0,0,1)</f>
        <v>0</v>
      </c>
      <c r="AI229" s="0" t="n">
        <f aca="false">IF(J229=0,0,1)</f>
        <v>0</v>
      </c>
      <c r="AJ229" s="0" t="n">
        <f aca="false">IF(K229=0,0,1)</f>
        <v>0</v>
      </c>
      <c r="AK229" s="0" t="n">
        <f aca="false">IF(L229=0,0,1)</f>
        <v>0</v>
      </c>
      <c r="AL229" s="0" t="n">
        <f aca="false">IF(M229=0,0,1)</f>
        <v>0</v>
      </c>
      <c r="AM229" s="0" t="n">
        <f aca="false">IF(N229=0,0,1)</f>
        <v>0</v>
      </c>
      <c r="AN229" s="0" t="n">
        <f aca="false">IF(O229=0,0,1)</f>
        <v>0</v>
      </c>
      <c r="AO229" s="0" t="n">
        <f aca="false">IF(P229=0,0,1)</f>
        <v>0</v>
      </c>
      <c r="AP229" s="0" t="n">
        <f aca="false">IF(Q229=0,0,1)</f>
        <v>0</v>
      </c>
      <c r="AQ229" s="0" t="n">
        <f aca="false">IF(R229=0,0,1)</f>
        <v>0</v>
      </c>
      <c r="AR229" s="0" t="n">
        <f aca="false">IF(S229=0,0,1)</f>
        <v>0</v>
      </c>
      <c r="AS229" s="0" t="n">
        <f aca="false">IF(T229=0,0,1)</f>
        <v>0</v>
      </c>
      <c r="AT229" s="0" t="n">
        <f aca="false">IF(U229=0,0,1)</f>
        <v>0</v>
      </c>
      <c r="AU229" s="0" t="n">
        <f aca="false">IF(V229=0,0,1)</f>
        <v>0</v>
      </c>
      <c r="AV229" s="0" t="n">
        <f aca="false">IF(W229=0,0,1)</f>
        <v>0</v>
      </c>
      <c r="AW229" s="26" t="n">
        <f aca="false">SUM(AA229:AV229)</f>
        <v>0</v>
      </c>
      <c r="AX229" s="27" t="n">
        <f aca="false">IF(X229=0,0,X229)</f>
        <v>0</v>
      </c>
      <c r="AY229" s="1" t="n">
        <f aca="false">IF(X229=0,0,A229)</f>
        <v>0</v>
      </c>
      <c r="AZ229" s="28" t="n">
        <f aca="false">IF(AX229=0,0,A$228)</f>
        <v>0</v>
      </c>
      <c r="BA229" s="55"/>
      <c r="BB229" s="30"/>
      <c r="BC229" s="56"/>
      <c r="BD229" s="27"/>
      <c r="BE229" s="26"/>
      <c r="BF229" s="32"/>
      <c r="BG229" s="33"/>
    </row>
    <row r="230" customFormat="false" ht="15" hidden="false" customHeight="false" outlineLevel="0" collapsed="false">
      <c r="A230" s="21" t="n">
        <f aca="false">B!$E$281</f>
        <v>0</v>
      </c>
      <c r="B230" s="22" t="n">
        <f aca="false">C!G84</f>
        <v>0</v>
      </c>
      <c r="C230" s="22" t="n">
        <f aca="false">D!G84</f>
        <v>0</v>
      </c>
      <c r="D230" s="22" t="n">
        <f aca="false">E!G84</f>
        <v>0</v>
      </c>
      <c r="E230" s="22" t="n">
        <f aca="false">F!G84</f>
        <v>0</v>
      </c>
      <c r="F230" s="22" t="n">
        <f aca="false">G!G84</f>
        <v>0</v>
      </c>
      <c r="G230" s="22" t="n">
        <f aca="false">H!G84</f>
        <v>0</v>
      </c>
      <c r="H230" s="22" t="n">
        <f aca="false">I!G84</f>
        <v>0</v>
      </c>
      <c r="I230" s="22" t="n">
        <f aca="false">J!G84</f>
        <v>0</v>
      </c>
      <c r="J230" s="22" t="n">
        <f aca="false">K!G84</f>
        <v>0</v>
      </c>
      <c r="K230" s="22" t="n">
        <f aca="false">L!G84</f>
        <v>0</v>
      </c>
      <c r="L230" s="22" t="n">
        <f aca="false">M!G84</f>
        <v>0</v>
      </c>
      <c r="M230" s="22" t="n">
        <f aca="false">N!G84</f>
        <v>0</v>
      </c>
      <c r="N230" s="22" t="n">
        <f aca="false">O!G84</f>
        <v>0</v>
      </c>
      <c r="O230" s="22" t="n">
        <f aca="false">P!G84</f>
        <v>0</v>
      </c>
      <c r="P230" s="22" t="n">
        <f aca="false">Q!G84</f>
        <v>0</v>
      </c>
      <c r="Q230" s="22" t="n">
        <f aca="false">R!G84</f>
        <v>0</v>
      </c>
      <c r="R230" s="22" t="n">
        <f aca="false">S!G84</f>
        <v>0</v>
      </c>
      <c r="S230" s="22" t="n">
        <f aca="false">T!G84</f>
        <v>0</v>
      </c>
      <c r="T230" s="22" t="n">
        <f aca="false">U!G84</f>
        <v>0</v>
      </c>
      <c r="U230" s="22" t="n">
        <f aca="false">V!G84</f>
        <v>0</v>
      </c>
      <c r="V230" s="22" t="n">
        <f aca="false">W!G84</f>
        <v>0</v>
      </c>
      <c r="W230" s="22" t="n">
        <f aca="false">X!G84</f>
        <v>0</v>
      </c>
      <c r="X230" s="23" t="n">
        <f aca="false">SUM(B230:W230)</f>
        <v>0</v>
      </c>
      <c r="Y230" s="24" t="n">
        <f aca="false">IF(AW230=0,0,X230/AW230)</f>
        <v>0</v>
      </c>
      <c r="Z230" s="25" t="n">
        <f aca="false">A230</f>
        <v>0</v>
      </c>
      <c r="AA230" s="16" t="n">
        <f aca="false">IF(B230=0,0,1)</f>
        <v>0</v>
      </c>
      <c r="AB230" s="0" t="n">
        <f aca="false">IF(C230=0,0,1)</f>
        <v>0</v>
      </c>
      <c r="AC230" s="0" t="n">
        <f aca="false">IF(D230=0,0,1)</f>
        <v>0</v>
      </c>
      <c r="AD230" s="0" t="n">
        <f aca="false">IF(E230=0,0,1)</f>
        <v>0</v>
      </c>
      <c r="AE230" s="0" t="n">
        <f aca="false">IF(F230=0,0,1)</f>
        <v>0</v>
      </c>
      <c r="AF230" s="0" t="n">
        <f aca="false">IF(G230=0,0,1)</f>
        <v>0</v>
      </c>
      <c r="AG230" s="0" t="n">
        <f aca="false">IF(H230=0,0,1)</f>
        <v>0</v>
      </c>
      <c r="AH230" s="0" t="n">
        <f aca="false">IF(I230=0,0,1)</f>
        <v>0</v>
      </c>
      <c r="AI230" s="0" t="n">
        <f aca="false">IF(J230=0,0,1)</f>
        <v>0</v>
      </c>
      <c r="AJ230" s="0" t="n">
        <f aca="false">IF(K230=0,0,1)</f>
        <v>0</v>
      </c>
      <c r="AK230" s="0" t="n">
        <f aca="false">IF(L230=0,0,1)</f>
        <v>0</v>
      </c>
      <c r="AL230" s="0" t="n">
        <f aca="false">IF(M230=0,0,1)</f>
        <v>0</v>
      </c>
      <c r="AM230" s="0" t="n">
        <f aca="false">IF(N230=0,0,1)</f>
        <v>0</v>
      </c>
      <c r="AN230" s="0" t="n">
        <f aca="false">IF(O230=0,0,1)</f>
        <v>0</v>
      </c>
      <c r="AO230" s="0" t="n">
        <f aca="false">IF(P230=0,0,1)</f>
        <v>0</v>
      </c>
      <c r="AP230" s="0" t="n">
        <f aca="false">IF(Q230=0,0,1)</f>
        <v>0</v>
      </c>
      <c r="AQ230" s="0" t="n">
        <f aca="false">IF(R230=0,0,1)</f>
        <v>0</v>
      </c>
      <c r="AR230" s="0" t="n">
        <f aca="false">IF(S230=0,0,1)</f>
        <v>0</v>
      </c>
      <c r="AS230" s="0" t="n">
        <f aca="false">IF(T230=0,0,1)</f>
        <v>0</v>
      </c>
      <c r="AT230" s="0" t="n">
        <f aca="false">IF(U230=0,0,1)</f>
        <v>0</v>
      </c>
      <c r="AU230" s="0" t="n">
        <f aca="false">IF(V230=0,0,1)</f>
        <v>0</v>
      </c>
      <c r="AV230" s="0" t="n">
        <f aca="false">IF(W230=0,0,1)</f>
        <v>0</v>
      </c>
      <c r="AW230" s="26" t="n">
        <f aca="false">SUM(AA230:AV230)</f>
        <v>0</v>
      </c>
      <c r="AX230" s="27" t="n">
        <f aca="false">IF(X230=0,0,X230)</f>
        <v>0</v>
      </c>
      <c r="AY230" s="1" t="n">
        <f aca="false">IF(X230=0,0,A230)</f>
        <v>0</v>
      </c>
      <c r="AZ230" s="28" t="n">
        <f aca="false">IF(AX230=0,0,A$228)</f>
        <v>0</v>
      </c>
      <c r="BA230" s="55"/>
      <c r="BB230" s="30"/>
      <c r="BC230" s="56"/>
      <c r="BD230" s="27"/>
      <c r="BE230" s="26"/>
      <c r="BF230" s="32"/>
      <c r="BG230" s="33"/>
    </row>
    <row r="231" customFormat="false" ht="15" hidden="false" customHeight="false" outlineLevel="0" collapsed="false">
      <c r="A231" s="21" t="n">
        <f aca="false">B!$E$286</f>
        <v>0</v>
      </c>
      <c r="B231" s="22" t="n">
        <f aca="false">C!G85</f>
        <v>0</v>
      </c>
      <c r="C231" s="22" t="n">
        <f aca="false">D!G85</f>
        <v>0</v>
      </c>
      <c r="D231" s="22" t="n">
        <f aca="false">E!G85</f>
        <v>0</v>
      </c>
      <c r="E231" s="22" t="n">
        <f aca="false">F!G85</f>
        <v>0</v>
      </c>
      <c r="F231" s="22" t="n">
        <f aca="false">G!G85</f>
        <v>0</v>
      </c>
      <c r="G231" s="22" t="n">
        <f aca="false">H!G85</f>
        <v>0</v>
      </c>
      <c r="H231" s="22" t="n">
        <f aca="false">I!G85</f>
        <v>0</v>
      </c>
      <c r="I231" s="22" t="n">
        <f aca="false">J!G85</f>
        <v>0</v>
      </c>
      <c r="J231" s="22" t="n">
        <f aca="false">K!G85</f>
        <v>0</v>
      </c>
      <c r="K231" s="22" t="n">
        <f aca="false">L!G85</f>
        <v>0</v>
      </c>
      <c r="L231" s="22" t="n">
        <f aca="false">M!G85</f>
        <v>0</v>
      </c>
      <c r="M231" s="22" t="n">
        <f aca="false">N!G85</f>
        <v>0</v>
      </c>
      <c r="N231" s="22" t="n">
        <f aca="false">O!G85</f>
        <v>0</v>
      </c>
      <c r="O231" s="22" t="n">
        <f aca="false">P!G85</f>
        <v>0</v>
      </c>
      <c r="P231" s="22" t="n">
        <f aca="false">Q!G85</f>
        <v>0</v>
      </c>
      <c r="Q231" s="22" t="n">
        <f aca="false">R!G85</f>
        <v>0</v>
      </c>
      <c r="R231" s="22" t="n">
        <f aca="false">S!G85</f>
        <v>0</v>
      </c>
      <c r="S231" s="22" t="n">
        <f aca="false">T!G85</f>
        <v>0</v>
      </c>
      <c r="T231" s="22" t="n">
        <f aca="false">U!G85</f>
        <v>0</v>
      </c>
      <c r="U231" s="22" t="n">
        <f aca="false">V!G85</f>
        <v>0</v>
      </c>
      <c r="V231" s="22" t="n">
        <f aca="false">W!G85</f>
        <v>0</v>
      </c>
      <c r="W231" s="22" t="n">
        <f aca="false">X!G85</f>
        <v>0</v>
      </c>
      <c r="X231" s="23" t="n">
        <f aca="false">SUM(B231:W231)</f>
        <v>0</v>
      </c>
      <c r="Y231" s="24" t="n">
        <f aca="false">IF(AW231=0,0,X231/AW231)</f>
        <v>0</v>
      </c>
      <c r="Z231" s="25" t="n">
        <f aca="false">A231</f>
        <v>0</v>
      </c>
      <c r="AA231" s="16" t="n">
        <f aca="false">IF(B231=0,0,1)</f>
        <v>0</v>
      </c>
      <c r="AB231" s="0" t="n">
        <f aca="false">IF(C231=0,0,1)</f>
        <v>0</v>
      </c>
      <c r="AC231" s="0" t="n">
        <f aca="false">IF(D231=0,0,1)</f>
        <v>0</v>
      </c>
      <c r="AD231" s="0" t="n">
        <f aca="false">IF(E231=0,0,1)</f>
        <v>0</v>
      </c>
      <c r="AE231" s="0" t="n">
        <f aca="false">IF(F231=0,0,1)</f>
        <v>0</v>
      </c>
      <c r="AF231" s="0" t="n">
        <f aca="false">IF(G231=0,0,1)</f>
        <v>0</v>
      </c>
      <c r="AG231" s="0" t="n">
        <f aca="false">IF(H231=0,0,1)</f>
        <v>0</v>
      </c>
      <c r="AH231" s="0" t="n">
        <f aca="false">IF(I231=0,0,1)</f>
        <v>0</v>
      </c>
      <c r="AI231" s="0" t="n">
        <f aca="false">IF(J231=0,0,1)</f>
        <v>0</v>
      </c>
      <c r="AJ231" s="0" t="n">
        <f aca="false">IF(K231=0,0,1)</f>
        <v>0</v>
      </c>
      <c r="AK231" s="0" t="n">
        <f aca="false">IF(L231=0,0,1)</f>
        <v>0</v>
      </c>
      <c r="AL231" s="0" t="n">
        <f aca="false">IF(M231=0,0,1)</f>
        <v>0</v>
      </c>
      <c r="AM231" s="0" t="n">
        <f aca="false">IF(N231=0,0,1)</f>
        <v>0</v>
      </c>
      <c r="AN231" s="0" t="n">
        <f aca="false">IF(O231=0,0,1)</f>
        <v>0</v>
      </c>
      <c r="AO231" s="0" t="n">
        <f aca="false">IF(P231=0,0,1)</f>
        <v>0</v>
      </c>
      <c r="AP231" s="0" t="n">
        <f aca="false">IF(Q231=0,0,1)</f>
        <v>0</v>
      </c>
      <c r="AQ231" s="0" t="n">
        <f aca="false">IF(R231=0,0,1)</f>
        <v>0</v>
      </c>
      <c r="AR231" s="0" t="n">
        <f aca="false">IF(S231=0,0,1)</f>
        <v>0</v>
      </c>
      <c r="AS231" s="0" t="n">
        <f aca="false">IF(T231=0,0,1)</f>
        <v>0</v>
      </c>
      <c r="AT231" s="0" t="n">
        <f aca="false">IF(U231=0,0,1)</f>
        <v>0</v>
      </c>
      <c r="AU231" s="0" t="n">
        <f aca="false">IF(V231=0,0,1)</f>
        <v>0</v>
      </c>
      <c r="AV231" s="0" t="n">
        <f aca="false">IF(W231=0,0,1)</f>
        <v>0</v>
      </c>
      <c r="AW231" s="26" t="n">
        <f aca="false">SUM(AA231:AV231)</f>
        <v>0</v>
      </c>
      <c r="AX231" s="27" t="n">
        <f aca="false">IF(X231=0,0,X231)</f>
        <v>0</v>
      </c>
      <c r="AY231" s="1" t="n">
        <f aca="false">IF(X231=0,0,A231)</f>
        <v>0</v>
      </c>
      <c r="AZ231" s="28" t="n">
        <f aca="false">IF(AX231=0,0,A$228)</f>
        <v>0</v>
      </c>
      <c r="BA231" s="55"/>
      <c r="BB231" s="30"/>
      <c r="BC231" s="56"/>
      <c r="BD231" s="27"/>
      <c r="BE231" s="26"/>
      <c r="BF231" s="32"/>
      <c r="BG231" s="33"/>
    </row>
    <row r="232" customFormat="false" ht="15" hidden="false" customHeight="false" outlineLevel="0" collapsed="false">
      <c r="A232" s="21" t="n">
        <f aca="false">B!$E$291</f>
        <v>0</v>
      </c>
      <c r="B232" s="22" t="n">
        <f aca="false">C!G86</f>
        <v>0</v>
      </c>
      <c r="C232" s="22" t="n">
        <f aca="false">D!G86</f>
        <v>0</v>
      </c>
      <c r="D232" s="22" t="n">
        <f aca="false">E!G86</f>
        <v>0</v>
      </c>
      <c r="E232" s="22" t="n">
        <f aca="false">F!G86</f>
        <v>0</v>
      </c>
      <c r="F232" s="22" t="n">
        <f aca="false">G!G86</f>
        <v>0</v>
      </c>
      <c r="G232" s="22" t="n">
        <f aca="false">H!G86</f>
        <v>0</v>
      </c>
      <c r="H232" s="22" t="n">
        <f aca="false">I!G86</f>
        <v>0</v>
      </c>
      <c r="I232" s="22" t="n">
        <f aca="false">J!G86</f>
        <v>0</v>
      </c>
      <c r="J232" s="22" t="n">
        <f aca="false">K!G86</f>
        <v>0</v>
      </c>
      <c r="K232" s="22" t="n">
        <f aca="false">L!G86</f>
        <v>0</v>
      </c>
      <c r="L232" s="22" t="n">
        <f aca="false">M!G86</f>
        <v>0</v>
      </c>
      <c r="M232" s="22" t="n">
        <f aca="false">N!G86</f>
        <v>0</v>
      </c>
      <c r="N232" s="22" t="n">
        <f aca="false">O!G86</f>
        <v>0</v>
      </c>
      <c r="O232" s="22" t="n">
        <f aca="false">P!G86</f>
        <v>0</v>
      </c>
      <c r="P232" s="22" t="n">
        <f aca="false">Q!G86</f>
        <v>0</v>
      </c>
      <c r="Q232" s="22" t="n">
        <f aca="false">R!G86</f>
        <v>0</v>
      </c>
      <c r="R232" s="22" t="n">
        <f aca="false">S!G86</f>
        <v>0</v>
      </c>
      <c r="S232" s="22" t="n">
        <f aca="false">T!G86</f>
        <v>0</v>
      </c>
      <c r="T232" s="22" t="n">
        <f aca="false">U!G86</f>
        <v>0</v>
      </c>
      <c r="U232" s="22" t="n">
        <f aca="false">V!G86</f>
        <v>0</v>
      </c>
      <c r="V232" s="22" t="n">
        <f aca="false">W!G86</f>
        <v>0</v>
      </c>
      <c r="W232" s="22" t="n">
        <f aca="false">X!G86</f>
        <v>0</v>
      </c>
      <c r="X232" s="23" t="n">
        <f aca="false">SUM(B232:W232)</f>
        <v>0</v>
      </c>
      <c r="Y232" s="24" t="n">
        <f aca="false">IF(AW232=0,0,X232/AW232)</f>
        <v>0</v>
      </c>
      <c r="Z232" s="25" t="n">
        <f aca="false">A232</f>
        <v>0</v>
      </c>
      <c r="AA232" s="16" t="n">
        <f aca="false">IF(B232=0,0,1)</f>
        <v>0</v>
      </c>
      <c r="AB232" s="0" t="n">
        <f aca="false">IF(C232=0,0,1)</f>
        <v>0</v>
      </c>
      <c r="AC232" s="0" t="n">
        <f aca="false">IF(D232=0,0,1)</f>
        <v>0</v>
      </c>
      <c r="AD232" s="0" t="n">
        <f aca="false">IF(E232=0,0,1)</f>
        <v>0</v>
      </c>
      <c r="AE232" s="0" t="n">
        <f aca="false">IF(F232=0,0,1)</f>
        <v>0</v>
      </c>
      <c r="AF232" s="0" t="n">
        <f aca="false">IF(G232=0,0,1)</f>
        <v>0</v>
      </c>
      <c r="AG232" s="0" t="n">
        <f aca="false">IF(H232=0,0,1)</f>
        <v>0</v>
      </c>
      <c r="AH232" s="0" t="n">
        <f aca="false">IF(I232=0,0,1)</f>
        <v>0</v>
      </c>
      <c r="AI232" s="0" t="n">
        <f aca="false">IF(J232=0,0,1)</f>
        <v>0</v>
      </c>
      <c r="AJ232" s="0" t="n">
        <f aca="false">IF(K232=0,0,1)</f>
        <v>0</v>
      </c>
      <c r="AK232" s="0" t="n">
        <f aca="false">IF(L232=0,0,1)</f>
        <v>0</v>
      </c>
      <c r="AL232" s="0" t="n">
        <f aca="false">IF(M232=0,0,1)</f>
        <v>0</v>
      </c>
      <c r="AM232" s="0" t="n">
        <f aca="false">IF(N232=0,0,1)</f>
        <v>0</v>
      </c>
      <c r="AN232" s="0" t="n">
        <f aca="false">IF(O232=0,0,1)</f>
        <v>0</v>
      </c>
      <c r="AO232" s="0" t="n">
        <f aca="false">IF(P232=0,0,1)</f>
        <v>0</v>
      </c>
      <c r="AP232" s="0" t="n">
        <f aca="false">IF(Q232=0,0,1)</f>
        <v>0</v>
      </c>
      <c r="AQ232" s="0" t="n">
        <f aca="false">IF(R232=0,0,1)</f>
        <v>0</v>
      </c>
      <c r="AR232" s="0" t="n">
        <f aca="false">IF(S232=0,0,1)</f>
        <v>0</v>
      </c>
      <c r="AS232" s="0" t="n">
        <f aca="false">IF(T232=0,0,1)</f>
        <v>0</v>
      </c>
      <c r="AT232" s="0" t="n">
        <f aca="false">IF(U232=0,0,1)</f>
        <v>0</v>
      </c>
      <c r="AU232" s="0" t="n">
        <f aca="false">IF(V232=0,0,1)</f>
        <v>0</v>
      </c>
      <c r="AV232" s="0" t="n">
        <f aca="false">IF(W232=0,0,1)</f>
        <v>0</v>
      </c>
      <c r="AW232" s="26" t="n">
        <f aca="false">SUM(AA232:AV232)</f>
        <v>0</v>
      </c>
      <c r="AX232" s="27" t="n">
        <f aca="false">IF(X232=0,0,X232)</f>
        <v>0</v>
      </c>
      <c r="AY232" s="1" t="n">
        <f aca="false">IF(X232=0,0,A232)</f>
        <v>0</v>
      </c>
      <c r="AZ232" s="28" t="n">
        <f aca="false">IF(AX232=0,0,A$228)</f>
        <v>0</v>
      </c>
      <c r="BA232" s="55"/>
      <c r="BB232" s="30"/>
      <c r="BC232" s="56"/>
      <c r="BD232" s="27"/>
      <c r="BE232" s="26"/>
      <c r="BF232" s="32"/>
      <c r="BG232" s="33"/>
    </row>
    <row r="233" customFormat="false" ht="15" hidden="false" customHeight="false" outlineLevel="0" collapsed="false">
      <c r="A233" s="21" t="n">
        <f aca="false">B!$E$296</f>
        <v>0</v>
      </c>
      <c r="B233" s="22" t="n">
        <f aca="false">C!G87</f>
        <v>0</v>
      </c>
      <c r="C233" s="22" t="n">
        <f aca="false">D!G87</f>
        <v>0</v>
      </c>
      <c r="D233" s="22" t="n">
        <f aca="false">E!G87</f>
        <v>0</v>
      </c>
      <c r="E233" s="22" t="n">
        <f aca="false">F!G87</f>
        <v>0</v>
      </c>
      <c r="F233" s="22" t="n">
        <f aca="false">G!G87</f>
        <v>0</v>
      </c>
      <c r="G233" s="22" t="n">
        <f aca="false">H!G87</f>
        <v>0</v>
      </c>
      <c r="H233" s="22" t="n">
        <f aca="false">I!G87</f>
        <v>0</v>
      </c>
      <c r="I233" s="22" t="n">
        <f aca="false">J!G87</f>
        <v>0</v>
      </c>
      <c r="J233" s="22" t="n">
        <f aca="false">K!G87</f>
        <v>0</v>
      </c>
      <c r="K233" s="22" t="n">
        <f aca="false">L!G87</f>
        <v>0</v>
      </c>
      <c r="L233" s="22" t="n">
        <f aca="false">M!G87</f>
        <v>0</v>
      </c>
      <c r="M233" s="22" t="n">
        <f aca="false">N!G87</f>
        <v>0</v>
      </c>
      <c r="N233" s="22" t="n">
        <f aca="false">O!G87</f>
        <v>0</v>
      </c>
      <c r="O233" s="22" t="n">
        <f aca="false">P!G87</f>
        <v>0</v>
      </c>
      <c r="P233" s="22" t="n">
        <f aca="false">Q!G87</f>
        <v>0</v>
      </c>
      <c r="Q233" s="22" t="n">
        <f aca="false">R!G87</f>
        <v>0</v>
      </c>
      <c r="R233" s="22" t="n">
        <f aca="false">S!G87</f>
        <v>0</v>
      </c>
      <c r="S233" s="22" t="n">
        <f aca="false">T!G87</f>
        <v>0</v>
      </c>
      <c r="T233" s="22" t="n">
        <f aca="false">U!G87</f>
        <v>0</v>
      </c>
      <c r="U233" s="22" t="n">
        <f aca="false">V!G87</f>
        <v>0</v>
      </c>
      <c r="V233" s="22" t="n">
        <f aca="false">W!G87</f>
        <v>0</v>
      </c>
      <c r="W233" s="22" t="n">
        <f aca="false">X!G87</f>
        <v>0</v>
      </c>
      <c r="X233" s="23" t="n">
        <f aca="false">SUM(B233:W233)</f>
        <v>0</v>
      </c>
      <c r="Y233" s="24" t="n">
        <f aca="false">IF(AW233=0,0,X233/AW233)</f>
        <v>0</v>
      </c>
      <c r="Z233" s="25" t="n">
        <f aca="false">A233</f>
        <v>0</v>
      </c>
      <c r="AA233" s="16" t="n">
        <f aca="false">IF(B233=0,0,1)</f>
        <v>0</v>
      </c>
      <c r="AB233" s="0" t="n">
        <f aca="false">IF(C233=0,0,1)</f>
        <v>0</v>
      </c>
      <c r="AC233" s="0" t="n">
        <f aca="false">IF(D233=0,0,1)</f>
        <v>0</v>
      </c>
      <c r="AD233" s="0" t="n">
        <f aca="false">IF(E233=0,0,1)</f>
        <v>0</v>
      </c>
      <c r="AE233" s="0" t="n">
        <f aca="false">IF(F233=0,0,1)</f>
        <v>0</v>
      </c>
      <c r="AF233" s="0" t="n">
        <f aca="false">IF(G233=0,0,1)</f>
        <v>0</v>
      </c>
      <c r="AG233" s="0" t="n">
        <f aca="false">IF(H233=0,0,1)</f>
        <v>0</v>
      </c>
      <c r="AH233" s="0" t="n">
        <f aca="false">IF(I233=0,0,1)</f>
        <v>0</v>
      </c>
      <c r="AI233" s="0" t="n">
        <f aca="false">IF(J233=0,0,1)</f>
        <v>0</v>
      </c>
      <c r="AJ233" s="0" t="n">
        <f aca="false">IF(K233=0,0,1)</f>
        <v>0</v>
      </c>
      <c r="AK233" s="0" t="n">
        <f aca="false">IF(L233=0,0,1)</f>
        <v>0</v>
      </c>
      <c r="AL233" s="0" t="n">
        <f aca="false">IF(M233=0,0,1)</f>
        <v>0</v>
      </c>
      <c r="AM233" s="0" t="n">
        <f aca="false">IF(N233=0,0,1)</f>
        <v>0</v>
      </c>
      <c r="AN233" s="0" t="n">
        <f aca="false">IF(O233=0,0,1)</f>
        <v>0</v>
      </c>
      <c r="AO233" s="0" t="n">
        <f aca="false">IF(P233=0,0,1)</f>
        <v>0</v>
      </c>
      <c r="AP233" s="0" t="n">
        <f aca="false">IF(Q233=0,0,1)</f>
        <v>0</v>
      </c>
      <c r="AQ233" s="0" t="n">
        <f aca="false">IF(R233=0,0,1)</f>
        <v>0</v>
      </c>
      <c r="AR233" s="0" t="n">
        <f aca="false">IF(S233=0,0,1)</f>
        <v>0</v>
      </c>
      <c r="AS233" s="0" t="n">
        <f aca="false">IF(T233=0,0,1)</f>
        <v>0</v>
      </c>
      <c r="AT233" s="0" t="n">
        <f aca="false">IF(U233=0,0,1)</f>
        <v>0</v>
      </c>
      <c r="AU233" s="0" t="n">
        <f aca="false">IF(V233=0,0,1)</f>
        <v>0</v>
      </c>
      <c r="AV233" s="0" t="n">
        <f aca="false">IF(W233=0,0,1)</f>
        <v>0</v>
      </c>
      <c r="AW233" s="26" t="n">
        <f aca="false">SUM(AA233:AV233)</f>
        <v>0</v>
      </c>
      <c r="AX233" s="27" t="n">
        <f aca="false">IF(X233=0,0,X233)</f>
        <v>0</v>
      </c>
      <c r="AY233" s="1" t="n">
        <f aca="false">IF(X233=0,0,A233)</f>
        <v>0</v>
      </c>
      <c r="AZ233" s="28" t="n">
        <f aca="false">IF(AX233=0,0,A$228)</f>
        <v>0</v>
      </c>
      <c r="BA233" s="55"/>
      <c r="BB233" s="30"/>
      <c r="BC233" s="56"/>
      <c r="BD233" s="27"/>
      <c r="BE233" s="26"/>
      <c r="BF233" s="32"/>
      <c r="BG233" s="33"/>
    </row>
    <row r="234" customFormat="false" ht="15" hidden="false" customHeight="false" outlineLevel="0" collapsed="false">
      <c r="A234" s="21" t="n">
        <f aca="false">B!$E$301</f>
        <v>0</v>
      </c>
      <c r="B234" s="22" t="n">
        <f aca="false">C!G88</f>
        <v>0</v>
      </c>
      <c r="C234" s="22" t="n">
        <f aca="false">D!G88</f>
        <v>0</v>
      </c>
      <c r="D234" s="22" t="n">
        <f aca="false">E!G88</f>
        <v>0</v>
      </c>
      <c r="E234" s="22" t="n">
        <f aca="false">F!G88</f>
        <v>0</v>
      </c>
      <c r="F234" s="22" t="n">
        <f aca="false">G!G88</f>
        <v>0</v>
      </c>
      <c r="G234" s="22" t="n">
        <f aca="false">H!G88</f>
        <v>0</v>
      </c>
      <c r="H234" s="22" t="n">
        <f aca="false">I!G88</f>
        <v>0</v>
      </c>
      <c r="I234" s="22" t="n">
        <f aca="false">J!G88</f>
        <v>0</v>
      </c>
      <c r="J234" s="22" t="n">
        <f aca="false">K!G88</f>
        <v>0</v>
      </c>
      <c r="K234" s="22" t="n">
        <f aca="false">L!G88</f>
        <v>0</v>
      </c>
      <c r="L234" s="22" t="n">
        <f aca="false">M!G88</f>
        <v>0</v>
      </c>
      <c r="M234" s="22" t="n">
        <f aca="false">N!G88</f>
        <v>0</v>
      </c>
      <c r="N234" s="22" t="n">
        <f aca="false">O!G88</f>
        <v>0</v>
      </c>
      <c r="O234" s="22" t="n">
        <f aca="false">P!G88</f>
        <v>0</v>
      </c>
      <c r="P234" s="22" t="n">
        <f aca="false">Q!G88</f>
        <v>0</v>
      </c>
      <c r="Q234" s="22" t="n">
        <f aca="false">R!G88</f>
        <v>0</v>
      </c>
      <c r="R234" s="22" t="n">
        <f aca="false">S!G88</f>
        <v>0</v>
      </c>
      <c r="S234" s="22" t="n">
        <f aca="false">T!G88</f>
        <v>0</v>
      </c>
      <c r="T234" s="22" t="n">
        <f aca="false">U!G88</f>
        <v>0</v>
      </c>
      <c r="U234" s="22" t="n">
        <f aca="false">V!G88</f>
        <v>0</v>
      </c>
      <c r="V234" s="22" t="n">
        <f aca="false">W!G88</f>
        <v>0</v>
      </c>
      <c r="W234" s="22" t="n">
        <f aca="false">X!G88</f>
        <v>0</v>
      </c>
      <c r="X234" s="23" t="n">
        <f aca="false">SUM(B234:W234)</f>
        <v>0</v>
      </c>
      <c r="Y234" s="24" t="n">
        <f aca="false">IF(AW234=0,0,X234/AW234)</f>
        <v>0</v>
      </c>
      <c r="Z234" s="25" t="n">
        <f aca="false">A234</f>
        <v>0</v>
      </c>
      <c r="AA234" s="16" t="n">
        <f aca="false">IF(B234=0,0,1)</f>
        <v>0</v>
      </c>
      <c r="AB234" s="0" t="n">
        <f aca="false">IF(C234=0,0,1)</f>
        <v>0</v>
      </c>
      <c r="AC234" s="0" t="n">
        <f aca="false">IF(D234=0,0,1)</f>
        <v>0</v>
      </c>
      <c r="AD234" s="0" t="n">
        <f aca="false">IF(E234=0,0,1)</f>
        <v>0</v>
      </c>
      <c r="AE234" s="0" t="n">
        <f aca="false">IF(F234=0,0,1)</f>
        <v>0</v>
      </c>
      <c r="AF234" s="0" t="n">
        <f aca="false">IF(G234=0,0,1)</f>
        <v>0</v>
      </c>
      <c r="AG234" s="0" t="n">
        <f aca="false">IF(H234=0,0,1)</f>
        <v>0</v>
      </c>
      <c r="AH234" s="0" t="n">
        <f aca="false">IF(I234=0,0,1)</f>
        <v>0</v>
      </c>
      <c r="AI234" s="0" t="n">
        <f aca="false">IF(J234=0,0,1)</f>
        <v>0</v>
      </c>
      <c r="AJ234" s="0" t="n">
        <f aca="false">IF(K234=0,0,1)</f>
        <v>0</v>
      </c>
      <c r="AK234" s="0" t="n">
        <f aca="false">IF(L234=0,0,1)</f>
        <v>0</v>
      </c>
      <c r="AL234" s="0" t="n">
        <f aca="false">IF(M234=0,0,1)</f>
        <v>0</v>
      </c>
      <c r="AM234" s="0" t="n">
        <f aca="false">IF(N234=0,0,1)</f>
        <v>0</v>
      </c>
      <c r="AN234" s="0" t="n">
        <f aca="false">IF(O234=0,0,1)</f>
        <v>0</v>
      </c>
      <c r="AO234" s="0" t="n">
        <f aca="false">IF(P234=0,0,1)</f>
        <v>0</v>
      </c>
      <c r="AP234" s="0" t="n">
        <f aca="false">IF(Q234=0,0,1)</f>
        <v>0</v>
      </c>
      <c r="AQ234" s="0" t="n">
        <f aca="false">IF(R234=0,0,1)</f>
        <v>0</v>
      </c>
      <c r="AR234" s="0" t="n">
        <f aca="false">IF(S234=0,0,1)</f>
        <v>0</v>
      </c>
      <c r="AS234" s="0" t="n">
        <f aca="false">IF(T234=0,0,1)</f>
        <v>0</v>
      </c>
      <c r="AT234" s="0" t="n">
        <f aca="false">IF(U234=0,0,1)</f>
        <v>0</v>
      </c>
      <c r="AU234" s="0" t="n">
        <f aca="false">IF(V234=0,0,1)</f>
        <v>0</v>
      </c>
      <c r="AV234" s="0" t="n">
        <f aca="false">IF(W234=0,0,1)</f>
        <v>0</v>
      </c>
      <c r="AW234" s="26" t="n">
        <f aca="false">SUM(AA234:AV234)</f>
        <v>0</v>
      </c>
      <c r="AX234" s="27" t="n">
        <f aca="false">IF(X234=0,0,X234)</f>
        <v>0</v>
      </c>
      <c r="AY234" s="1" t="n">
        <f aca="false">IF(X234=0,0,A234)</f>
        <v>0</v>
      </c>
      <c r="AZ234" s="28" t="n">
        <f aca="false">IF(AX234=0,0,A$228)</f>
        <v>0</v>
      </c>
      <c r="BA234" s="55"/>
      <c r="BB234" s="30"/>
      <c r="BC234" s="56"/>
      <c r="BD234" s="27"/>
      <c r="BE234" s="26"/>
      <c r="BF234" s="32"/>
      <c r="BG234" s="33"/>
    </row>
    <row r="235" customFormat="false" ht="15" hidden="false" customHeight="false" outlineLevel="0" collapsed="false">
      <c r="A235" s="21" t="n">
        <f aca="false">B!$E$306</f>
        <v>0</v>
      </c>
      <c r="B235" s="22" t="n">
        <f aca="false">C!G89</f>
        <v>0</v>
      </c>
      <c r="C235" s="22" t="n">
        <f aca="false">D!G89</f>
        <v>0</v>
      </c>
      <c r="D235" s="22" t="n">
        <f aca="false">E!G89</f>
        <v>0</v>
      </c>
      <c r="E235" s="22" t="n">
        <f aca="false">F!G89</f>
        <v>0</v>
      </c>
      <c r="F235" s="22" t="n">
        <f aca="false">G!G89</f>
        <v>0</v>
      </c>
      <c r="G235" s="22" t="n">
        <f aca="false">H!G89</f>
        <v>0</v>
      </c>
      <c r="H235" s="22" t="n">
        <f aca="false">I!G89</f>
        <v>0</v>
      </c>
      <c r="I235" s="22" t="n">
        <f aca="false">J!G89</f>
        <v>0</v>
      </c>
      <c r="J235" s="22" t="n">
        <f aca="false">K!G89</f>
        <v>0</v>
      </c>
      <c r="K235" s="22" t="n">
        <f aca="false">L!G89</f>
        <v>0</v>
      </c>
      <c r="L235" s="22" t="n">
        <f aca="false">M!G89</f>
        <v>0</v>
      </c>
      <c r="M235" s="22" t="n">
        <f aca="false">N!G89</f>
        <v>0</v>
      </c>
      <c r="N235" s="22" t="n">
        <f aca="false">O!G89</f>
        <v>0</v>
      </c>
      <c r="O235" s="22" t="n">
        <f aca="false">P!G89</f>
        <v>0</v>
      </c>
      <c r="P235" s="22" t="n">
        <f aca="false">Q!G89</f>
        <v>0</v>
      </c>
      <c r="Q235" s="22" t="n">
        <f aca="false">R!G89</f>
        <v>0</v>
      </c>
      <c r="R235" s="22" t="n">
        <f aca="false">S!G89</f>
        <v>0</v>
      </c>
      <c r="S235" s="22" t="n">
        <f aca="false">T!G89</f>
        <v>0</v>
      </c>
      <c r="T235" s="22" t="n">
        <f aca="false">U!G89</f>
        <v>0</v>
      </c>
      <c r="U235" s="22" t="n">
        <f aca="false">V!G89</f>
        <v>0</v>
      </c>
      <c r="V235" s="22" t="n">
        <f aca="false">W!G89</f>
        <v>0</v>
      </c>
      <c r="W235" s="22" t="n">
        <f aca="false">X!G89</f>
        <v>0</v>
      </c>
      <c r="X235" s="23" t="n">
        <f aca="false">SUM(B235:W235)</f>
        <v>0</v>
      </c>
      <c r="Y235" s="24" t="n">
        <f aca="false">IF(AW235=0,0,X235/AW235)</f>
        <v>0</v>
      </c>
      <c r="Z235" s="25" t="n">
        <f aca="false">A235</f>
        <v>0</v>
      </c>
      <c r="AA235" s="16" t="n">
        <f aca="false">IF(B235=0,0,1)</f>
        <v>0</v>
      </c>
      <c r="AB235" s="0" t="n">
        <f aca="false">IF(C235=0,0,1)</f>
        <v>0</v>
      </c>
      <c r="AC235" s="0" t="n">
        <f aca="false">IF(D235=0,0,1)</f>
        <v>0</v>
      </c>
      <c r="AD235" s="0" t="n">
        <f aca="false">IF(E235=0,0,1)</f>
        <v>0</v>
      </c>
      <c r="AE235" s="0" t="n">
        <f aca="false">IF(F235=0,0,1)</f>
        <v>0</v>
      </c>
      <c r="AF235" s="0" t="n">
        <f aca="false">IF(G235=0,0,1)</f>
        <v>0</v>
      </c>
      <c r="AG235" s="0" t="n">
        <f aca="false">IF(H235=0,0,1)</f>
        <v>0</v>
      </c>
      <c r="AH235" s="0" t="n">
        <f aca="false">IF(I235=0,0,1)</f>
        <v>0</v>
      </c>
      <c r="AI235" s="0" t="n">
        <f aca="false">IF(J235=0,0,1)</f>
        <v>0</v>
      </c>
      <c r="AJ235" s="0" t="n">
        <f aca="false">IF(K235=0,0,1)</f>
        <v>0</v>
      </c>
      <c r="AK235" s="0" t="n">
        <f aca="false">IF(L235=0,0,1)</f>
        <v>0</v>
      </c>
      <c r="AL235" s="0" t="n">
        <f aca="false">IF(M235=0,0,1)</f>
        <v>0</v>
      </c>
      <c r="AM235" s="0" t="n">
        <f aca="false">IF(N235=0,0,1)</f>
        <v>0</v>
      </c>
      <c r="AN235" s="0" t="n">
        <f aca="false">IF(O235=0,0,1)</f>
        <v>0</v>
      </c>
      <c r="AO235" s="0" t="n">
        <f aca="false">IF(P235=0,0,1)</f>
        <v>0</v>
      </c>
      <c r="AP235" s="0" t="n">
        <f aca="false">IF(Q235=0,0,1)</f>
        <v>0</v>
      </c>
      <c r="AQ235" s="0" t="n">
        <f aca="false">IF(R235=0,0,1)</f>
        <v>0</v>
      </c>
      <c r="AR235" s="0" t="n">
        <f aca="false">IF(S235=0,0,1)</f>
        <v>0</v>
      </c>
      <c r="AS235" s="0" t="n">
        <f aca="false">IF(T235=0,0,1)</f>
        <v>0</v>
      </c>
      <c r="AT235" s="0" t="n">
        <f aca="false">IF(U235=0,0,1)</f>
        <v>0</v>
      </c>
      <c r="AU235" s="0" t="n">
        <f aca="false">IF(V235=0,0,1)</f>
        <v>0</v>
      </c>
      <c r="AV235" s="0" t="n">
        <f aca="false">IF(W235=0,0,1)</f>
        <v>0</v>
      </c>
      <c r="AW235" s="26" t="n">
        <f aca="false">SUM(AA235:AV235)</f>
        <v>0</v>
      </c>
      <c r="AX235" s="27" t="n">
        <f aca="false">IF(X235=0,0,X235)</f>
        <v>0</v>
      </c>
      <c r="AY235" s="1" t="n">
        <f aca="false">IF(X235=0,0,A235)</f>
        <v>0</v>
      </c>
      <c r="AZ235" s="28" t="n">
        <f aca="false">IF(AX235=0,0,A$228)</f>
        <v>0</v>
      </c>
      <c r="BA235" s="55"/>
      <c r="BB235" s="30"/>
      <c r="BC235" s="56"/>
      <c r="BD235" s="27"/>
      <c r="BE235" s="26"/>
      <c r="BF235" s="32"/>
      <c r="BG235" s="33"/>
    </row>
    <row r="236" customFormat="false" ht="15" hidden="false" customHeight="false" outlineLevel="0" collapsed="false">
      <c r="A236" s="21" t="n">
        <f aca="false">B!$E$311</f>
        <v>0</v>
      </c>
      <c r="B236" s="22" t="n">
        <f aca="false">C!G90</f>
        <v>0</v>
      </c>
      <c r="C236" s="22" t="n">
        <f aca="false">D!G90</f>
        <v>0</v>
      </c>
      <c r="D236" s="22" t="n">
        <f aca="false">E!G90</f>
        <v>0</v>
      </c>
      <c r="E236" s="22" t="n">
        <f aca="false">F!G90</f>
        <v>0</v>
      </c>
      <c r="F236" s="22" t="n">
        <f aca="false">G!G90</f>
        <v>0</v>
      </c>
      <c r="G236" s="22" t="n">
        <f aca="false">H!G90</f>
        <v>0</v>
      </c>
      <c r="H236" s="22" t="n">
        <f aca="false">I!G90</f>
        <v>0</v>
      </c>
      <c r="I236" s="22" t="n">
        <f aca="false">J!G90</f>
        <v>0</v>
      </c>
      <c r="J236" s="22" t="n">
        <f aca="false">K!G90</f>
        <v>0</v>
      </c>
      <c r="K236" s="22" t="n">
        <f aca="false">L!G90</f>
        <v>0</v>
      </c>
      <c r="L236" s="22" t="n">
        <f aca="false">M!G90</f>
        <v>0</v>
      </c>
      <c r="M236" s="22" t="n">
        <f aca="false">N!G90</f>
        <v>0</v>
      </c>
      <c r="N236" s="22" t="n">
        <f aca="false">O!G90</f>
        <v>0</v>
      </c>
      <c r="O236" s="22" t="n">
        <f aca="false">P!G90</f>
        <v>0</v>
      </c>
      <c r="P236" s="22" t="n">
        <f aca="false">Q!G90</f>
        <v>0</v>
      </c>
      <c r="Q236" s="22" t="n">
        <f aca="false">R!G90</f>
        <v>0</v>
      </c>
      <c r="R236" s="22" t="n">
        <f aca="false">S!G90</f>
        <v>0</v>
      </c>
      <c r="S236" s="22" t="n">
        <f aca="false">T!G90</f>
        <v>0</v>
      </c>
      <c r="T236" s="22" t="n">
        <f aca="false">U!G90</f>
        <v>0</v>
      </c>
      <c r="U236" s="22" t="n">
        <f aca="false">V!G90</f>
        <v>0</v>
      </c>
      <c r="V236" s="22" t="n">
        <f aca="false">W!G90</f>
        <v>0</v>
      </c>
      <c r="W236" s="22" t="n">
        <f aca="false">X!G90</f>
        <v>0</v>
      </c>
      <c r="X236" s="23" t="n">
        <f aca="false">SUM(B236:W236)</f>
        <v>0</v>
      </c>
      <c r="Y236" s="24" t="n">
        <f aca="false">IF(AW236=0,0,X236/AW236)</f>
        <v>0</v>
      </c>
      <c r="Z236" s="25" t="n">
        <f aca="false">A236</f>
        <v>0</v>
      </c>
      <c r="AA236" s="16" t="n">
        <f aca="false">IF(B236=0,0,1)</f>
        <v>0</v>
      </c>
      <c r="AB236" s="0" t="n">
        <f aca="false">IF(C236=0,0,1)</f>
        <v>0</v>
      </c>
      <c r="AC236" s="0" t="n">
        <f aca="false">IF(D236=0,0,1)</f>
        <v>0</v>
      </c>
      <c r="AD236" s="0" t="n">
        <f aca="false">IF(E236=0,0,1)</f>
        <v>0</v>
      </c>
      <c r="AE236" s="0" t="n">
        <f aca="false">IF(F236=0,0,1)</f>
        <v>0</v>
      </c>
      <c r="AF236" s="0" t="n">
        <f aca="false">IF(G236=0,0,1)</f>
        <v>0</v>
      </c>
      <c r="AG236" s="0" t="n">
        <f aca="false">IF(H236=0,0,1)</f>
        <v>0</v>
      </c>
      <c r="AH236" s="0" t="n">
        <f aca="false">IF(I236=0,0,1)</f>
        <v>0</v>
      </c>
      <c r="AI236" s="0" t="n">
        <f aca="false">IF(J236=0,0,1)</f>
        <v>0</v>
      </c>
      <c r="AJ236" s="0" t="n">
        <f aca="false">IF(K236=0,0,1)</f>
        <v>0</v>
      </c>
      <c r="AK236" s="0" t="n">
        <f aca="false">IF(L236=0,0,1)</f>
        <v>0</v>
      </c>
      <c r="AL236" s="0" t="n">
        <f aca="false">IF(M236=0,0,1)</f>
        <v>0</v>
      </c>
      <c r="AM236" s="0" t="n">
        <f aca="false">IF(N236=0,0,1)</f>
        <v>0</v>
      </c>
      <c r="AN236" s="0" t="n">
        <f aca="false">IF(O236=0,0,1)</f>
        <v>0</v>
      </c>
      <c r="AO236" s="0" t="n">
        <f aca="false">IF(P236=0,0,1)</f>
        <v>0</v>
      </c>
      <c r="AP236" s="0" t="n">
        <f aca="false">IF(Q236=0,0,1)</f>
        <v>0</v>
      </c>
      <c r="AQ236" s="0" t="n">
        <f aca="false">IF(R236=0,0,1)</f>
        <v>0</v>
      </c>
      <c r="AR236" s="0" t="n">
        <f aca="false">IF(S236=0,0,1)</f>
        <v>0</v>
      </c>
      <c r="AS236" s="0" t="n">
        <f aca="false">IF(T236=0,0,1)</f>
        <v>0</v>
      </c>
      <c r="AT236" s="0" t="n">
        <f aca="false">IF(U236=0,0,1)</f>
        <v>0</v>
      </c>
      <c r="AU236" s="0" t="n">
        <f aca="false">IF(V236=0,0,1)</f>
        <v>0</v>
      </c>
      <c r="AV236" s="0" t="n">
        <f aca="false">IF(W236=0,0,1)</f>
        <v>0</v>
      </c>
      <c r="AW236" s="26" t="n">
        <f aca="false">SUM(AA236:AV236)</f>
        <v>0</v>
      </c>
      <c r="AX236" s="27" t="n">
        <f aca="false">IF(X236=0,0,X236)</f>
        <v>0</v>
      </c>
      <c r="AY236" s="1" t="n">
        <f aca="false">IF(X236=0,0,A236)</f>
        <v>0</v>
      </c>
      <c r="AZ236" s="28" t="n">
        <f aca="false">IF(AX236=0,0,A$228)</f>
        <v>0</v>
      </c>
      <c r="BA236" s="55"/>
      <c r="BB236" s="30"/>
      <c r="BC236" s="56"/>
      <c r="BD236" s="27"/>
      <c r="BE236" s="26"/>
      <c r="BF236" s="32"/>
      <c r="BG236" s="33"/>
    </row>
    <row r="237" customFormat="false" ht="15" hidden="false" customHeight="false" outlineLevel="0" collapsed="false">
      <c r="A237" s="38" t="s">
        <v>60</v>
      </c>
      <c r="B237" s="39" t="n">
        <f aca="false">SUM(B229:B236)</f>
        <v>0</v>
      </c>
      <c r="C237" s="39" t="n">
        <f aca="false">SUM(C229:C236)</f>
        <v>0</v>
      </c>
      <c r="D237" s="39" t="n">
        <f aca="false">SUM(D229:D236)</f>
        <v>0</v>
      </c>
      <c r="E237" s="39" t="n">
        <f aca="false">SUM(E229:E236)</f>
        <v>0</v>
      </c>
      <c r="F237" s="39" t="n">
        <f aca="false">SUM(F229:F236)</f>
        <v>0</v>
      </c>
      <c r="G237" s="39" t="n">
        <f aca="false">SUM(G229:G236)</f>
        <v>0</v>
      </c>
      <c r="H237" s="39" t="n">
        <f aca="false">SUM(H229:H236)</f>
        <v>0</v>
      </c>
      <c r="I237" s="39" t="n">
        <f aca="false">SUM(I229:I236)</f>
        <v>0</v>
      </c>
      <c r="J237" s="39" t="n">
        <f aca="false">SUM(J229:J236)</f>
        <v>0</v>
      </c>
      <c r="K237" s="39" t="n">
        <f aca="false">SUM(K229:K236)</f>
        <v>0</v>
      </c>
      <c r="L237" s="39" t="n">
        <f aca="false">SUM(L229:L236)</f>
        <v>0</v>
      </c>
      <c r="M237" s="39" t="n">
        <f aca="false">SUM(M229:M236)</f>
        <v>0</v>
      </c>
      <c r="N237" s="39" t="n">
        <f aca="false">SUM(N229:N236)</f>
        <v>0</v>
      </c>
      <c r="O237" s="39" t="n">
        <f aca="false">SUM(O229:O236)</f>
        <v>0</v>
      </c>
      <c r="P237" s="39" t="n">
        <f aca="false">SUM(P229:P236)</f>
        <v>0</v>
      </c>
      <c r="Q237" s="39" t="n">
        <f aca="false">SUM(Q229:Q236)</f>
        <v>0</v>
      </c>
      <c r="R237" s="39" t="n">
        <f aca="false">SUM(R229:R236)</f>
        <v>0</v>
      </c>
      <c r="S237" s="39" t="n">
        <f aca="false">SUM(S229:S236)</f>
        <v>0</v>
      </c>
      <c r="T237" s="39" t="n">
        <f aca="false">SUM(T229:T236)</f>
        <v>0</v>
      </c>
      <c r="U237" s="39" t="n">
        <f aca="false">SUM(U229:U236)</f>
        <v>0</v>
      </c>
      <c r="V237" s="39" t="n">
        <f aca="false">SUM(V229:V236)</f>
        <v>0</v>
      </c>
      <c r="W237" s="39" t="n">
        <f aca="false">SUM(W229:W236)</f>
        <v>0</v>
      </c>
      <c r="X237" s="40" t="n">
        <f aca="false">SUM(B237:W237)</f>
        <v>0</v>
      </c>
      <c r="Y237" s="41" t="n">
        <f aca="false">IF(X237=0,0,X237/AW237)</f>
        <v>0</v>
      </c>
      <c r="Z237" s="25"/>
      <c r="AA237" s="42" t="n">
        <f aca="false">SUM(AA229:AA236)</f>
        <v>0</v>
      </c>
      <c r="AB237" s="43" t="n">
        <f aca="false">SUM(AB229:AB236)</f>
        <v>0</v>
      </c>
      <c r="AC237" s="43" t="n">
        <f aca="false">SUM(AC229:AC236)</f>
        <v>0</v>
      </c>
      <c r="AD237" s="43" t="n">
        <f aca="false">SUM(AD229:AD236)</f>
        <v>0</v>
      </c>
      <c r="AE237" s="43" t="n">
        <f aca="false">SUM(AE229:AE236)</f>
        <v>0</v>
      </c>
      <c r="AF237" s="43" t="n">
        <f aca="false">SUM(AF229:AF236)</f>
        <v>0</v>
      </c>
      <c r="AG237" s="43" t="n">
        <f aca="false">SUM(AG229:AG236)</f>
        <v>0</v>
      </c>
      <c r="AH237" s="43" t="n">
        <f aca="false">SUM(AH229:AH236)</f>
        <v>0</v>
      </c>
      <c r="AI237" s="43" t="n">
        <f aca="false">SUM(AI229:AI236)</f>
        <v>0</v>
      </c>
      <c r="AJ237" s="43" t="n">
        <f aca="false">SUM(AJ229:AJ236)</f>
        <v>0</v>
      </c>
      <c r="AK237" s="43" t="n">
        <f aca="false">SUM(AK229:AK236)</f>
        <v>0</v>
      </c>
      <c r="AL237" s="43" t="n">
        <f aca="false">SUM(AL229:AL236)</f>
        <v>0</v>
      </c>
      <c r="AM237" s="43" t="n">
        <f aca="false">SUM(AM229:AM236)</f>
        <v>0</v>
      </c>
      <c r="AN237" s="43" t="n">
        <f aca="false">SUM(AN229:AN236)</f>
        <v>0</v>
      </c>
      <c r="AO237" s="43" t="n">
        <f aca="false">SUM(AO229:AO236)</f>
        <v>0</v>
      </c>
      <c r="AP237" s="43" t="n">
        <f aca="false">SUM(AP229:AP236)</f>
        <v>0</v>
      </c>
      <c r="AQ237" s="43" t="n">
        <f aca="false">SUM(AQ229:AQ236)</f>
        <v>0</v>
      </c>
      <c r="AR237" s="43" t="n">
        <f aca="false">SUM(AR229:AR236)</f>
        <v>0</v>
      </c>
      <c r="AS237" s="43" t="n">
        <f aca="false">SUM(AS229:AS236)</f>
        <v>0</v>
      </c>
      <c r="AT237" s="43" t="n">
        <f aca="false">SUM(AT229:AT236)</f>
        <v>0</v>
      </c>
      <c r="AU237" s="43" t="n">
        <f aca="false">SUM(AU229:AU236)</f>
        <v>0</v>
      </c>
      <c r="AV237" s="43" t="n">
        <f aca="false">SUM(AV229:AV236)</f>
        <v>0</v>
      </c>
      <c r="AW237" s="44" t="n">
        <f aca="false">MAXA(AW229:AW236)</f>
        <v>0</v>
      </c>
      <c r="AX237" s="27"/>
      <c r="AZ237" s="28"/>
      <c r="BA237" s="55"/>
      <c r="BB237" s="30"/>
      <c r="BC237" s="56"/>
      <c r="BD237" s="27"/>
      <c r="BE237" s="26"/>
      <c r="BF237" s="32"/>
      <c r="BG237" s="33"/>
    </row>
    <row r="238" customFormat="false" ht="15" hidden="false" customHeight="false" outlineLevel="0" collapsed="false">
      <c r="A238" s="54" t="s">
        <v>64</v>
      </c>
      <c r="B238" s="22" t="n">
        <f aca="false">C!G91</f>
        <v>0</v>
      </c>
      <c r="C238" s="22" t="n">
        <f aca="false">D!G91</f>
        <v>0</v>
      </c>
      <c r="D238" s="22" t="n">
        <f aca="false">E!G91</f>
        <v>0</v>
      </c>
      <c r="E238" s="22" t="n">
        <f aca="false">F!G91</f>
        <v>0</v>
      </c>
      <c r="F238" s="22" t="n">
        <f aca="false">G!G91</f>
        <v>0</v>
      </c>
      <c r="G238" s="22" t="n">
        <f aca="false">H!G91</f>
        <v>0</v>
      </c>
      <c r="H238" s="22" t="n">
        <f aca="false">I!G91</f>
        <v>0</v>
      </c>
      <c r="I238" s="22" t="n">
        <f aca="false">J!G91</f>
        <v>0</v>
      </c>
      <c r="J238" s="22" t="n">
        <f aca="false">K!G91</f>
        <v>0</v>
      </c>
      <c r="K238" s="22" t="n">
        <f aca="false">L!G91</f>
        <v>0</v>
      </c>
      <c r="L238" s="22" t="n">
        <f aca="false">M!G91</f>
        <v>0</v>
      </c>
      <c r="M238" s="22" t="n">
        <f aca="false">N!G91</f>
        <v>0</v>
      </c>
      <c r="N238" s="22" t="n">
        <f aca="false">O!G91</f>
        <v>0</v>
      </c>
      <c r="O238" s="22" t="n">
        <f aca="false">P!G91</f>
        <v>0</v>
      </c>
      <c r="P238" s="22" t="n">
        <f aca="false">Q!G91</f>
        <v>0</v>
      </c>
      <c r="Q238" s="22" t="n">
        <f aca="false">R!G91</f>
        <v>0</v>
      </c>
      <c r="R238" s="22" t="n">
        <f aca="false">S!G91</f>
        <v>0</v>
      </c>
      <c r="S238" s="22" t="n">
        <f aca="false">T!G91</f>
        <v>0</v>
      </c>
      <c r="T238" s="22" t="n">
        <f aca="false">U!G91</f>
        <v>0</v>
      </c>
      <c r="U238" s="22" t="n">
        <f aca="false">V!G91</f>
        <v>0</v>
      </c>
      <c r="V238" s="22" t="n">
        <f aca="false">W!G91</f>
        <v>0</v>
      </c>
      <c r="W238" s="22" t="n">
        <f aca="false">X!G91</f>
        <v>0</v>
      </c>
      <c r="X238" s="23" t="n">
        <f aca="false">SUM(B238:W238)</f>
        <v>0</v>
      </c>
      <c r="Y238" s="47"/>
      <c r="Z238" s="25"/>
      <c r="AA238" s="16"/>
      <c r="AW238" s="26"/>
      <c r="AX238" s="27"/>
      <c r="AZ238" s="28"/>
      <c r="BA238" s="55"/>
      <c r="BB238" s="30"/>
      <c r="BC238" s="56"/>
      <c r="BD238" s="27"/>
      <c r="BE238" s="26"/>
      <c r="BF238" s="32"/>
      <c r="BG238" s="33"/>
    </row>
    <row r="239" customFormat="false" ht="15" hidden="false" customHeight="false" outlineLevel="0" collapsed="false">
      <c r="A239" s="48" t="s">
        <v>68</v>
      </c>
      <c r="B239" s="49" t="n">
        <f aca="false">SUM(B237:B238)</f>
        <v>0</v>
      </c>
      <c r="C239" s="49" t="n">
        <f aca="false">SUM(C237:C238)</f>
        <v>0</v>
      </c>
      <c r="D239" s="49" t="n">
        <f aca="false">SUM(D237:D238)</f>
        <v>0</v>
      </c>
      <c r="E239" s="49" t="n">
        <f aca="false">SUM(E237:E238)</f>
        <v>0</v>
      </c>
      <c r="F239" s="49" t="n">
        <f aca="false">SUM(F237:F238)</f>
        <v>0</v>
      </c>
      <c r="G239" s="49" t="n">
        <f aca="false">SUM(G237:G238)</f>
        <v>0</v>
      </c>
      <c r="H239" s="49" t="n">
        <f aca="false">SUM(H237:H238)</f>
        <v>0</v>
      </c>
      <c r="I239" s="49" t="n">
        <f aca="false">SUM(I237:I238)</f>
        <v>0</v>
      </c>
      <c r="J239" s="49" t="n">
        <f aca="false">SUM(J237:J238)</f>
        <v>0</v>
      </c>
      <c r="K239" s="49" t="n">
        <f aca="false">SUM(K237:K238)</f>
        <v>0</v>
      </c>
      <c r="L239" s="49" t="n">
        <f aca="false">SUM(L237:L238)</f>
        <v>0</v>
      </c>
      <c r="M239" s="49" t="n">
        <f aca="false">SUM(M237:M238)</f>
        <v>0</v>
      </c>
      <c r="N239" s="49" t="n">
        <f aca="false">SUM(N237:N238)</f>
        <v>0</v>
      </c>
      <c r="O239" s="49" t="n">
        <f aca="false">SUM(O237:O238)</f>
        <v>0</v>
      </c>
      <c r="P239" s="49" t="n">
        <f aca="false">SUM(P237:P238)</f>
        <v>0</v>
      </c>
      <c r="Q239" s="49" t="n">
        <f aca="false">SUM(Q237:Q238)</f>
        <v>0</v>
      </c>
      <c r="R239" s="49" t="n">
        <f aca="false">SUM(R237:R238)</f>
        <v>0</v>
      </c>
      <c r="S239" s="49" t="n">
        <f aca="false">SUM(S237:S238)</f>
        <v>0</v>
      </c>
      <c r="T239" s="49" t="n">
        <f aca="false">SUM(T237:T238)</f>
        <v>0</v>
      </c>
      <c r="U239" s="49" t="n">
        <f aca="false">SUM(U237:U238)</f>
        <v>0</v>
      </c>
      <c r="V239" s="49" t="n">
        <f aca="false">SUM(V237:V238)</f>
        <v>0</v>
      </c>
      <c r="W239" s="49" t="n">
        <f aca="false">SUM(W237:W238)</f>
        <v>0</v>
      </c>
      <c r="X239" s="50" t="n">
        <f aca="false">SUM(B239:W239)</f>
        <v>0</v>
      </c>
      <c r="Y239" s="51"/>
      <c r="Z239" s="25"/>
      <c r="AA239" s="16"/>
      <c r="AW239" s="26"/>
      <c r="AX239" s="27"/>
      <c r="AZ239" s="28"/>
      <c r="BA239" s="55"/>
      <c r="BB239" s="30"/>
      <c r="BC239" s="56"/>
      <c r="BD239" s="27" t="n">
        <f aca="false">X239</f>
        <v>0</v>
      </c>
      <c r="BE239" s="26" t="n">
        <f aca="false">A228</f>
        <v>0</v>
      </c>
      <c r="BF239" s="32"/>
      <c r="BG239" s="33"/>
    </row>
    <row r="240" customFormat="false" ht="15" hidden="false" customHeight="false" outlineLevel="0" collapsed="false"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25"/>
      <c r="AA240" s="16"/>
      <c r="AW240" s="26"/>
      <c r="AX240" s="27"/>
      <c r="AZ240" s="28"/>
      <c r="BA240" s="55"/>
      <c r="BB240" s="30"/>
      <c r="BC240" s="56"/>
      <c r="BD240" s="27"/>
      <c r="BE240" s="26"/>
      <c r="BF240" s="32"/>
      <c r="BG240" s="33"/>
    </row>
    <row r="241" customFormat="false" ht="15" hidden="false" customHeight="false" outlineLevel="0" collapsed="false">
      <c r="A241" s="5" t="s">
        <v>140</v>
      </c>
      <c r="B241" s="6" t="s">
        <v>1</v>
      </c>
      <c r="C241" s="6" t="s">
        <v>2</v>
      </c>
      <c r="D241" s="6" t="s">
        <v>3</v>
      </c>
      <c r="E241" s="6" t="s">
        <v>4</v>
      </c>
      <c r="F241" s="6" t="s">
        <v>5</v>
      </c>
      <c r="G241" s="6" t="s">
        <v>6</v>
      </c>
      <c r="H241" s="6" t="s">
        <v>7</v>
      </c>
      <c r="I241" s="6" t="s">
        <v>8</v>
      </c>
      <c r="J241" s="6" t="s">
        <v>9</v>
      </c>
      <c r="K241" s="6" t="s">
        <v>10</v>
      </c>
      <c r="L241" s="6" t="s">
        <v>11</v>
      </c>
      <c r="M241" s="6" t="s">
        <v>12</v>
      </c>
      <c r="N241" s="6" t="s">
        <v>13</v>
      </c>
      <c r="O241" s="6" t="s">
        <v>14</v>
      </c>
      <c r="P241" s="6" t="s">
        <v>15</v>
      </c>
      <c r="Q241" s="6" t="s">
        <v>16</v>
      </c>
      <c r="R241" s="6" t="s">
        <v>17</v>
      </c>
      <c r="S241" s="6" t="s">
        <v>18</v>
      </c>
      <c r="T241" s="6" t="s">
        <v>19</v>
      </c>
      <c r="U241" s="6" t="s">
        <v>20</v>
      </c>
      <c r="V241" s="6" t="s">
        <v>21</v>
      </c>
      <c r="W241" s="6" t="s">
        <v>22</v>
      </c>
      <c r="X241" s="34"/>
      <c r="Y241" s="34"/>
      <c r="Z241" s="4" t="str">
        <f aca="false">A241</f>
        <v>Team #18 Name:</v>
      </c>
      <c r="AA241" s="16"/>
      <c r="AW241" s="26"/>
      <c r="AX241" s="27"/>
      <c r="AZ241" s="28"/>
      <c r="BA241" s="55"/>
      <c r="BB241" s="30"/>
      <c r="BC241" s="56"/>
      <c r="BD241" s="27"/>
      <c r="BE241" s="26"/>
      <c r="BF241" s="32"/>
      <c r="BG241" s="33"/>
    </row>
    <row r="242" customFormat="false" ht="15" hidden="false" customHeight="false" outlineLevel="0" collapsed="false">
      <c r="A242" s="11" t="n">
        <f aca="false">B!$E$317</f>
        <v>0</v>
      </c>
      <c r="B242" s="52" t="s">
        <v>28</v>
      </c>
      <c r="C242" s="52" t="s">
        <v>28</v>
      </c>
      <c r="D242" s="52" t="s">
        <v>28</v>
      </c>
      <c r="E242" s="52" t="s">
        <v>28</v>
      </c>
      <c r="F242" s="52" t="s">
        <v>28</v>
      </c>
      <c r="G242" s="52" t="s">
        <v>28</v>
      </c>
      <c r="H242" s="52" t="s">
        <v>28</v>
      </c>
      <c r="I242" s="52" t="s">
        <v>28</v>
      </c>
      <c r="J242" s="52" t="s">
        <v>28</v>
      </c>
      <c r="K242" s="52" t="s">
        <v>28</v>
      </c>
      <c r="L242" s="52" t="s">
        <v>28</v>
      </c>
      <c r="M242" s="52" t="s">
        <v>28</v>
      </c>
      <c r="N242" s="52" t="s">
        <v>28</v>
      </c>
      <c r="O242" s="52" t="s">
        <v>28</v>
      </c>
      <c r="P242" s="52" t="s">
        <v>28</v>
      </c>
      <c r="Q242" s="52" t="s">
        <v>28</v>
      </c>
      <c r="R242" s="52" t="s">
        <v>28</v>
      </c>
      <c r="S242" s="52" t="s">
        <v>28</v>
      </c>
      <c r="T242" s="52" t="s">
        <v>28</v>
      </c>
      <c r="U242" s="52" t="s">
        <v>28</v>
      </c>
      <c r="V242" s="52" t="s">
        <v>28</v>
      </c>
      <c r="W242" s="52" t="s">
        <v>28</v>
      </c>
      <c r="X242" s="13" t="s">
        <v>29</v>
      </c>
      <c r="Y242" s="14" t="s">
        <v>30</v>
      </c>
      <c r="Z242" s="15" t="n">
        <f aca="false">A242</f>
        <v>0</v>
      </c>
      <c r="AA242" s="16"/>
      <c r="AW242" s="17" t="s">
        <v>31</v>
      </c>
      <c r="AX242" s="27"/>
      <c r="AZ242" s="28"/>
      <c r="BA242" s="55"/>
      <c r="BB242" s="30"/>
      <c r="BC242" s="56"/>
      <c r="BD242" s="27"/>
      <c r="BE242" s="26"/>
      <c r="BF242" s="32"/>
      <c r="BG242" s="33"/>
    </row>
    <row r="243" customFormat="false" ht="15" hidden="false" customHeight="false" outlineLevel="0" collapsed="false">
      <c r="A243" s="21" t="n">
        <f aca="false">B!$E$319</f>
        <v>0</v>
      </c>
      <c r="B243" s="22" t="n">
        <f aca="false">C!G96</f>
        <v>0</v>
      </c>
      <c r="C243" s="22" t="n">
        <f aca="false">D!G96</f>
        <v>0</v>
      </c>
      <c r="D243" s="22" t="n">
        <f aca="false">E!G96</f>
        <v>0</v>
      </c>
      <c r="E243" s="22" t="n">
        <f aca="false">F!G96</f>
        <v>0</v>
      </c>
      <c r="F243" s="22" t="n">
        <f aca="false">G!G96</f>
        <v>0</v>
      </c>
      <c r="G243" s="22" t="n">
        <f aca="false">H!G96</f>
        <v>0</v>
      </c>
      <c r="H243" s="22" t="n">
        <f aca="false">I!G96</f>
        <v>0</v>
      </c>
      <c r="I243" s="22" t="n">
        <f aca="false">J!G96</f>
        <v>0</v>
      </c>
      <c r="J243" s="22" t="n">
        <f aca="false">K!G96</f>
        <v>0</v>
      </c>
      <c r="K243" s="22" t="n">
        <f aca="false">L!G96</f>
        <v>0</v>
      </c>
      <c r="L243" s="22" t="n">
        <f aca="false">M!G96</f>
        <v>0</v>
      </c>
      <c r="M243" s="22" t="n">
        <f aca="false">N!G96</f>
        <v>0</v>
      </c>
      <c r="N243" s="22" t="n">
        <f aca="false">O!G96</f>
        <v>0</v>
      </c>
      <c r="O243" s="22" t="n">
        <f aca="false">P!G96</f>
        <v>0</v>
      </c>
      <c r="P243" s="22" t="n">
        <f aca="false">Q!G96</f>
        <v>0</v>
      </c>
      <c r="Q243" s="22" t="n">
        <f aca="false">R!G96</f>
        <v>0</v>
      </c>
      <c r="R243" s="22" t="n">
        <f aca="false">S!G96</f>
        <v>0</v>
      </c>
      <c r="S243" s="22" t="n">
        <f aca="false">T!G96</f>
        <v>0</v>
      </c>
      <c r="T243" s="22" t="n">
        <f aca="false">U!G96</f>
        <v>0</v>
      </c>
      <c r="U243" s="22" t="n">
        <f aca="false">V!G96</f>
        <v>0</v>
      </c>
      <c r="V243" s="22" t="n">
        <f aca="false">W!G96</f>
        <v>0</v>
      </c>
      <c r="W243" s="22" t="n">
        <f aca="false">X!G96</f>
        <v>0</v>
      </c>
      <c r="X243" s="23" t="n">
        <f aca="false">SUM(B243:W243)</f>
        <v>0</v>
      </c>
      <c r="Y243" s="24" t="n">
        <f aca="false">IF(AW243=0,0,X243/AW243)</f>
        <v>0</v>
      </c>
      <c r="Z243" s="25" t="n">
        <f aca="false">A243</f>
        <v>0</v>
      </c>
      <c r="AA243" s="16" t="n">
        <f aca="false">IF(B243=0,0,1)</f>
        <v>0</v>
      </c>
      <c r="AB243" s="0" t="n">
        <f aca="false">IF(C243=0,0,1)</f>
        <v>0</v>
      </c>
      <c r="AC243" s="0" t="n">
        <f aca="false">IF(D243=0,0,1)</f>
        <v>0</v>
      </c>
      <c r="AD243" s="0" t="n">
        <f aca="false">IF(E243=0,0,1)</f>
        <v>0</v>
      </c>
      <c r="AE243" s="0" t="n">
        <f aca="false">IF(F243=0,0,1)</f>
        <v>0</v>
      </c>
      <c r="AF243" s="0" t="n">
        <f aca="false">IF(G243=0,0,1)</f>
        <v>0</v>
      </c>
      <c r="AG243" s="0" t="n">
        <f aca="false">IF(H243=0,0,1)</f>
        <v>0</v>
      </c>
      <c r="AH243" s="0" t="n">
        <f aca="false">IF(I243=0,0,1)</f>
        <v>0</v>
      </c>
      <c r="AI243" s="0" t="n">
        <f aca="false">IF(J243=0,0,1)</f>
        <v>0</v>
      </c>
      <c r="AJ243" s="0" t="n">
        <f aca="false">IF(K243=0,0,1)</f>
        <v>0</v>
      </c>
      <c r="AK243" s="0" t="n">
        <f aca="false">IF(L243=0,0,1)</f>
        <v>0</v>
      </c>
      <c r="AL243" s="0" t="n">
        <f aca="false">IF(M243=0,0,1)</f>
        <v>0</v>
      </c>
      <c r="AM243" s="0" t="n">
        <f aca="false">IF(N243=0,0,1)</f>
        <v>0</v>
      </c>
      <c r="AN243" s="0" t="n">
        <f aca="false">IF(O243=0,0,1)</f>
        <v>0</v>
      </c>
      <c r="AO243" s="0" t="n">
        <f aca="false">IF(P243=0,0,1)</f>
        <v>0</v>
      </c>
      <c r="AP243" s="0" t="n">
        <f aca="false">IF(Q243=0,0,1)</f>
        <v>0</v>
      </c>
      <c r="AQ243" s="0" t="n">
        <f aca="false">IF(R243=0,0,1)</f>
        <v>0</v>
      </c>
      <c r="AR243" s="0" t="n">
        <f aca="false">IF(S243=0,0,1)</f>
        <v>0</v>
      </c>
      <c r="AS243" s="0" t="n">
        <f aca="false">IF(T243=0,0,1)</f>
        <v>0</v>
      </c>
      <c r="AT243" s="0" t="n">
        <f aca="false">IF(U243=0,0,1)</f>
        <v>0</v>
      </c>
      <c r="AU243" s="0" t="n">
        <f aca="false">IF(V243=0,0,1)</f>
        <v>0</v>
      </c>
      <c r="AV243" s="0" t="n">
        <f aca="false">IF(W243=0,0,1)</f>
        <v>0</v>
      </c>
      <c r="AW243" s="26" t="n">
        <f aca="false">SUM(AA243:AV243)</f>
        <v>0</v>
      </c>
      <c r="AX243" s="27" t="n">
        <f aca="false">IF(X243=0,0,X243)</f>
        <v>0</v>
      </c>
      <c r="AY243" s="1" t="n">
        <f aca="false">IF(X243=0,0,A243)</f>
        <v>0</v>
      </c>
      <c r="AZ243" s="28" t="n">
        <f aca="false">IF(AX243=0,0,A$242)</f>
        <v>0</v>
      </c>
      <c r="BA243" s="55"/>
      <c r="BB243" s="30"/>
      <c r="BC243" s="56"/>
      <c r="BD243" s="27"/>
      <c r="BE243" s="26"/>
      <c r="BF243" s="32"/>
      <c r="BG243" s="33"/>
    </row>
    <row r="244" customFormat="false" ht="15" hidden="false" customHeight="false" outlineLevel="0" collapsed="false">
      <c r="A244" s="21" t="n">
        <f aca="false">B!$E$324</f>
        <v>0</v>
      </c>
      <c r="B244" s="22" t="n">
        <f aca="false">C!G97</f>
        <v>0</v>
      </c>
      <c r="C244" s="22" t="n">
        <f aca="false">D!G97</f>
        <v>0</v>
      </c>
      <c r="D244" s="22" t="n">
        <f aca="false">E!G97</f>
        <v>0</v>
      </c>
      <c r="E244" s="22" t="n">
        <f aca="false">F!G97</f>
        <v>0</v>
      </c>
      <c r="F244" s="22" t="n">
        <f aca="false">G!G97</f>
        <v>0</v>
      </c>
      <c r="G244" s="22" t="n">
        <f aca="false">H!G97</f>
        <v>0</v>
      </c>
      <c r="H244" s="22" t="n">
        <f aca="false">I!G97</f>
        <v>0</v>
      </c>
      <c r="I244" s="22" t="n">
        <f aca="false">J!G97</f>
        <v>0</v>
      </c>
      <c r="J244" s="22" t="n">
        <f aca="false">K!G97</f>
        <v>0</v>
      </c>
      <c r="K244" s="22" t="n">
        <f aca="false">L!G97</f>
        <v>0</v>
      </c>
      <c r="L244" s="22" t="n">
        <f aca="false">M!G97</f>
        <v>0</v>
      </c>
      <c r="M244" s="22" t="n">
        <f aca="false">N!G97</f>
        <v>0</v>
      </c>
      <c r="N244" s="22" t="n">
        <f aca="false">O!G97</f>
        <v>0</v>
      </c>
      <c r="O244" s="22" t="n">
        <f aca="false">P!G97</f>
        <v>0</v>
      </c>
      <c r="P244" s="22" t="n">
        <f aca="false">Q!G97</f>
        <v>0</v>
      </c>
      <c r="Q244" s="22" t="n">
        <f aca="false">R!G97</f>
        <v>0</v>
      </c>
      <c r="R244" s="22" t="n">
        <f aca="false">S!G97</f>
        <v>0</v>
      </c>
      <c r="S244" s="22" t="n">
        <f aca="false">T!G97</f>
        <v>0</v>
      </c>
      <c r="T244" s="22" t="n">
        <f aca="false">U!G97</f>
        <v>0</v>
      </c>
      <c r="U244" s="22" t="n">
        <f aca="false">V!G97</f>
        <v>0</v>
      </c>
      <c r="V244" s="22" t="n">
        <f aca="false">W!G97</f>
        <v>0</v>
      </c>
      <c r="W244" s="22" t="n">
        <f aca="false">X!G97</f>
        <v>0</v>
      </c>
      <c r="X244" s="23" t="n">
        <f aca="false">SUM(B244:W244)</f>
        <v>0</v>
      </c>
      <c r="Y244" s="24" t="n">
        <f aca="false">IF(AW244=0,0,X244/AW244)</f>
        <v>0</v>
      </c>
      <c r="Z244" s="25" t="n">
        <f aca="false">A244</f>
        <v>0</v>
      </c>
      <c r="AA244" s="16" t="n">
        <f aca="false">IF(B244=0,0,1)</f>
        <v>0</v>
      </c>
      <c r="AB244" s="0" t="n">
        <f aca="false">IF(C244=0,0,1)</f>
        <v>0</v>
      </c>
      <c r="AC244" s="0" t="n">
        <f aca="false">IF(D244=0,0,1)</f>
        <v>0</v>
      </c>
      <c r="AD244" s="0" t="n">
        <f aca="false">IF(E244=0,0,1)</f>
        <v>0</v>
      </c>
      <c r="AE244" s="0" t="n">
        <f aca="false">IF(F244=0,0,1)</f>
        <v>0</v>
      </c>
      <c r="AF244" s="0" t="n">
        <f aca="false">IF(G244=0,0,1)</f>
        <v>0</v>
      </c>
      <c r="AG244" s="0" t="n">
        <f aca="false">IF(H244=0,0,1)</f>
        <v>0</v>
      </c>
      <c r="AH244" s="0" t="n">
        <f aca="false">IF(I244=0,0,1)</f>
        <v>0</v>
      </c>
      <c r="AI244" s="0" t="n">
        <f aca="false">IF(J244=0,0,1)</f>
        <v>0</v>
      </c>
      <c r="AJ244" s="0" t="n">
        <f aca="false">IF(K244=0,0,1)</f>
        <v>0</v>
      </c>
      <c r="AK244" s="0" t="n">
        <f aca="false">IF(L244=0,0,1)</f>
        <v>0</v>
      </c>
      <c r="AL244" s="0" t="n">
        <f aca="false">IF(M244=0,0,1)</f>
        <v>0</v>
      </c>
      <c r="AM244" s="0" t="n">
        <f aca="false">IF(N244=0,0,1)</f>
        <v>0</v>
      </c>
      <c r="AN244" s="0" t="n">
        <f aca="false">IF(O244=0,0,1)</f>
        <v>0</v>
      </c>
      <c r="AO244" s="0" t="n">
        <f aca="false">IF(P244=0,0,1)</f>
        <v>0</v>
      </c>
      <c r="AP244" s="0" t="n">
        <f aca="false">IF(Q244=0,0,1)</f>
        <v>0</v>
      </c>
      <c r="AQ244" s="0" t="n">
        <f aca="false">IF(R244=0,0,1)</f>
        <v>0</v>
      </c>
      <c r="AR244" s="0" t="n">
        <f aca="false">IF(S244=0,0,1)</f>
        <v>0</v>
      </c>
      <c r="AS244" s="0" t="n">
        <f aca="false">IF(T244=0,0,1)</f>
        <v>0</v>
      </c>
      <c r="AT244" s="0" t="n">
        <f aca="false">IF(U244=0,0,1)</f>
        <v>0</v>
      </c>
      <c r="AU244" s="0" t="n">
        <f aca="false">IF(V244=0,0,1)</f>
        <v>0</v>
      </c>
      <c r="AV244" s="0" t="n">
        <f aca="false">IF(W244=0,0,1)</f>
        <v>0</v>
      </c>
      <c r="AW244" s="26" t="n">
        <f aca="false">SUM(AA244:AV244)</f>
        <v>0</v>
      </c>
      <c r="AX244" s="27" t="n">
        <f aca="false">IF(X244=0,0,X244)</f>
        <v>0</v>
      </c>
      <c r="AY244" s="1" t="n">
        <f aca="false">IF(X244=0,0,A244)</f>
        <v>0</v>
      </c>
      <c r="AZ244" s="28" t="n">
        <f aca="false">IF(AX244=0,0,A$242)</f>
        <v>0</v>
      </c>
      <c r="BA244" s="55"/>
      <c r="BB244" s="30"/>
      <c r="BC244" s="56"/>
      <c r="BD244" s="27"/>
      <c r="BE244" s="26"/>
      <c r="BF244" s="32"/>
      <c r="BG244" s="33"/>
    </row>
    <row r="245" customFormat="false" ht="15" hidden="false" customHeight="false" outlineLevel="0" collapsed="false">
      <c r="A245" s="21" t="n">
        <f aca="false">B!$E$329</f>
        <v>0</v>
      </c>
      <c r="B245" s="22" t="n">
        <f aca="false">C!G98</f>
        <v>0</v>
      </c>
      <c r="C245" s="22" t="n">
        <f aca="false">D!G98</f>
        <v>0</v>
      </c>
      <c r="D245" s="22" t="n">
        <f aca="false">E!G98</f>
        <v>0</v>
      </c>
      <c r="E245" s="22" t="n">
        <f aca="false">F!G98</f>
        <v>0</v>
      </c>
      <c r="F245" s="22" t="n">
        <f aca="false">G!G98</f>
        <v>0</v>
      </c>
      <c r="G245" s="22" t="n">
        <f aca="false">H!G98</f>
        <v>0</v>
      </c>
      <c r="H245" s="22" t="n">
        <f aca="false">I!G98</f>
        <v>0</v>
      </c>
      <c r="I245" s="22" t="n">
        <f aca="false">J!G98</f>
        <v>0</v>
      </c>
      <c r="J245" s="22" t="n">
        <f aca="false">K!G98</f>
        <v>0</v>
      </c>
      <c r="K245" s="22" t="n">
        <f aca="false">L!G98</f>
        <v>0</v>
      </c>
      <c r="L245" s="22" t="n">
        <f aca="false">M!G98</f>
        <v>0</v>
      </c>
      <c r="M245" s="22" t="n">
        <f aca="false">N!G98</f>
        <v>0</v>
      </c>
      <c r="N245" s="22" t="n">
        <f aca="false">O!G98</f>
        <v>0</v>
      </c>
      <c r="O245" s="22" t="n">
        <f aca="false">P!G98</f>
        <v>0</v>
      </c>
      <c r="P245" s="22" t="n">
        <f aca="false">Q!G98</f>
        <v>0</v>
      </c>
      <c r="Q245" s="22" t="n">
        <f aca="false">R!G98</f>
        <v>0</v>
      </c>
      <c r="R245" s="22" t="n">
        <f aca="false">S!G98</f>
        <v>0</v>
      </c>
      <c r="S245" s="22" t="n">
        <f aca="false">T!G98</f>
        <v>0</v>
      </c>
      <c r="T245" s="22" t="n">
        <f aca="false">U!G98</f>
        <v>0</v>
      </c>
      <c r="U245" s="22" t="n">
        <f aca="false">V!G98</f>
        <v>0</v>
      </c>
      <c r="V245" s="22" t="n">
        <f aca="false">W!G98</f>
        <v>0</v>
      </c>
      <c r="W245" s="22" t="n">
        <f aca="false">X!G98</f>
        <v>0</v>
      </c>
      <c r="X245" s="23" t="n">
        <f aca="false">SUM(B245:W245)</f>
        <v>0</v>
      </c>
      <c r="Y245" s="24" t="n">
        <f aca="false">IF(AW245=0,0,X245/AW245)</f>
        <v>0</v>
      </c>
      <c r="Z245" s="25" t="n">
        <f aca="false">A245</f>
        <v>0</v>
      </c>
      <c r="AA245" s="16" t="n">
        <f aca="false">IF(B245=0,0,1)</f>
        <v>0</v>
      </c>
      <c r="AB245" s="0" t="n">
        <f aca="false">IF(C245=0,0,1)</f>
        <v>0</v>
      </c>
      <c r="AC245" s="0" t="n">
        <f aca="false">IF(D245=0,0,1)</f>
        <v>0</v>
      </c>
      <c r="AD245" s="0" t="n">
        <f aca="false">IF(E245=0,0,1)</f>
        <v>0</v>
      </c>
      <c r="AE245" s="0" t="n">
        <f aca="false">IF(F245=0,0,1)</f>
        <v>0</v>
      </c>
      <c r="AF245" s="0" t="n">
        <f aca="false">IF(G245=0,0,1)</f>
        <v>0</v>
      </c>
      <c r="AG245" s="0" t="n">
        <f aca="false">IF(H245=0,0,1)</f>
        <v>0</v>
      </c>
      <c r="AH245" s="0" t="n">
        <f aca="false">IF(I245=0,0,1)</f>
        <v>0</v>
      </c>
      <c r="AI245" s="0" t="n">
        <f aca="false">IF(J245=0,0,1)</f>
        <v>0</v>
      </c>
      <c r="AJ245" s="0" t="n">
        <f aca="false">IF(K245=0,0,1)</f>
        <v>0</v>
      </c>
      <c r="AK245" s="0" t="n">
        <f aca="false">IF(L245=0,0,1)</f>
        <v>0</v>
      </c>
      <c r="AL245" s="0" t="n">
        <f aca="false">IF(M245=0,0,1)</f>
        <v>0</v>
      </c>
      <c r="AM245" s="0" t="n">
        <f aca="false">IF(N245=0,0,1)</f>
        <v>0</v>
      </c>
      <c r="AN245" s="0" t="n">
        <f aca="false">IF(O245=0,0,1)</f>
        <v>0</v>
      </c>
      <c r="AO245" s="0" t="n">
        <f aca="false">IF(P245=0,0,1)</f>
        <v>0</v>
      </c>
      <c r="AP245" s="0" t="n">
        <f aca="false">IF(Q245=0,0,1)</f>
        <v>0</v>
      </c>
      <c r="AQ245" s="0" t="n">
        <f aca="false">IF(R245=0,0,1)</f>
        <v>0</v>
      </c>
      <c r="AR245" s="0" t="n">
        <f aca="false">IF(S245=0,0,1)</f>
        <v>0</v>
      </c>
      <c r="AS245" s="0" t="n">
        <f aca="false">IF(T245=0,0,1)</f>
        <v>0</v>
      </c>
      <c r="AT245" s="0" t="n">
        <f aca="false">IF(U245=0,0,1)</f>
        <v>0</v>
      </c>
      <c r="AU245" s="0" t="n">
        <f aca="false">IF(V245=0,0,1)</f>
        <v>0</v>
      </c>
      <c r="AV245" s="0" t="n">
        <f aca="false">IF(W245=0,0,1)</f>
        <v>0</v>
      </c>
      <c r="AW245" s="26" t="n">
        <f aca="false">SUM(AA245:AV245)</f>
        <v>0</v>
      </c>
      <c r="AX245" s="27" t="n">
        <f aca="false">IF(X245=0,0,X245)</f>
        <v>0</v>
      </c>
      <c r="AY245" s="1" t="n">
        <f aca="false">IF(X245=0,0,A245)</f>
        <v>0</v>
      </c>
      <c r="AZ245" s="28" t="n">
        <f aca="false">IF(AX245=0,0,A$242)</f>
        <v>0</v>
      </c>
      <c r="BA245" s="55"/>
      <c r="BB245" s="30"/>
      <c r="BC245" s="56"/>
      <c r="BD245" s="27"/>
      <c r="BE245" s="26"/>
      <c r="BF245" s="32"/>
      <c r="BG245" s="33"/>
    </row>
    <row r="246" customFormat="false" ht="15" hidden="false" customHeight="false" outlineLevel="0" collapsed="false">
      <c r="A246" s="21" t="n">
        <f aca="false">B!$E$334</f>
        <v>0</v>
      </c>
      <c r="B246" s="22" t="n">
        <f aca="false">C!G99</f>
        <v>0</v>
      </c>
      <c r="C246" s="22" t="n">
        <f aca="false">D!G99</f>
        <v>0</v>
      </c>
      <c r="D246" s="22" t="n">
        <f aca="false">E!G99</f>
        <v>0</v>
      </c>
      <c r="E246" s="22" t="n">
        <f aca="false">F!G99</f>
        <v>0</v>
      </c>
      <c r="F246" s="22" t="n">
        <f aca="false">G!G99</f>
        <v>0</v>
      </c>
      <c r="G246" s="22" t="n">
        <f aca="false">H!G99</f>
        <v>0</v>
      </c>
      <c r="H246" s="22" t="n">
        <f aca="false">I!G99</f>
        <v>0</v>
      </c>
      <c r="I246" s="22" t="n">
        <f aca="false">J!G99</f>
        <v>0</v>
      </c>
      <c r="J246" s="22" t="n">
        <f aca="false">K!G99</f>
        <v>0</v>
      </c>
      <c r="K246" s="22" t="n">
        <f aca="false">L!G99</f>
        <v>0</v>
      </c>
      <c r="L246" s="22" t="n">
        <f aca="false">M!G99</f>
        <v>0</v>
      </c>
      <c r="M246" s="22" t="n">
        <f aca="false">N!G99</f>
        <v>0</v>
      </c>
      <c r="N246" s="22" t="n">
        <f aca="false">O!G99</f>
        <v>0</v>
      </c>
      <c r="O246" s="22" t="n">
        <f aca="false">P!G99</f>
        <v>0</v>
      </c>
      <c r="P246" s="22" t="n">
        <f aca="false">Q!G99</f>
        <v>0</v>
      </c>
      <c r="Q246" s="22" t="n">
        <f aca="false">R!G99</f>
        <v>0</v>
      </c>
      <c r="R246" s="22" t="n">
        <f aca="false">S!G99</f>
        <v>0</v>
      </c>
      <c r="S246" s="22" t="n">
        <f aca="false">T!G99</f>
        <v>0</v>
      </c>
      <c r="T246" s="22" t="n">
        <f aca="false">U!G99</f>
        <v>0</v>
      </c>
      <c r="U246" s="22" t="n">
        <f aca="false">V!G99</f>
        <v>0</v>
      </c>
      <c r="V246" s="22" t="n">
        <f aca="false">W!G99</f>
        <v>0</v>
      </c>
      <c r="W246" s="22" t="n">
        <f aca="false">X!G99</f>
        <v>0</v>
      </c>
      <c r="X246" s="23" t="n">
        <f aca="false">SUM(B246:W246)</f>
        <v>0</v>
      </c>
      <c r="Y246" s="24" t="n">
        <f aca="false">IF(AW246=0,0,X246/AW246)</f>
        <v>0</v>
      </c>
      <c r="Z246" s="25" t="n">
        <f aca="false">A246</f>
        <v>0</v>
      </c>
      <c r="AA246" s="16" t="n">
        <f aca="false">IF(B246=0,0,1)</f>
        <v>0</v>
      </c>
      <c r="AB246" s="0" t="n">
        <f aca="false">IF(C246=0,0,1)</f>
        <v>0</v>
      </c>
      <c r="AC246" s="0" t="n">
        <f aca="false">IF(D246=0,0,1)</f>
        <v>0</v>
      </c>
      <c r="AD246" s="0" t="n">
        <f aca="false">IF(E246=0,0,1)</f>
        <v>0</v>
      </c>
      <c r="AE246" s="0" t="n">
        <f aca="false">IF(F246=0,0,1)</f>
        <v>0</v>
      </c>
      <c r="AF246" s="0" t="n">
        <f aca="false">IF(G246=0,0,1)</f>
        <v>0</v>
      </c>
      <c r="AG246" s="0" t="n">
        <f aca="false">IF(H246=0,0,1)</f>
        <v>0</v>
      </c>
      <c r="AH246" s="0" t="n">
        <f aca="false">IF(I246=0,0,1)</f>
        <v>0</v>
      </c>
      <c r="AI246" s="0" t="n">
        <f aca="false">IF(J246=0,0,1)</f>
        <v>0</v>
      </c>
      <c r="AJ246" s="0" t="n">
        <f aca="false">IF(K246=0,0,1)</f>
        <v>0</v>
      </c>
      <c r="AK246" s="0" t="n">
        <f aca="false">IF(L246=0,0,1)</f>
        <v>0</v>
      </c>
      <c r="AL246" s="0" t="n">
        <f aca="false">IF(M246=0,0,1)</f>
        <v>0</v>
      </c>
      <c r="AM246" s="0" t="n">
        <f aca="false">IF(N246=0,0,1)</f>
        <v>0</v>
      </c>
      <c r="AN246" s="0" t="n">
        <f aca="false">IF(O246=0,0,1)</f>
        <v>0</v>
      </c>
      <c r="AO246" s="0" t="n">
        <f aca="false">IF(P246=0,0,1)</f>
        <v>0</v>
      </c>
      <c r="AP246" s="0" t="n">
        <f aca="false">IF(Q246=0,0,1)</f>
        <v>0</v>
      </c>
      <c r="AQ246" s="0" t="n">
        <f aca="false">IF(R246=0,0,1)</f>
        <v>0</v>
      </c>
      <c r="AR246" s="0" t="n">
        <f aca="false">IF(S246=0,0,1)</f>
        <v>0</v>
      </c>
      <c r="AS246" s="0" t="n">
        <f aca="false">IF(T246=0,0,1)</f>
        <v>0</v>
      </c>
      <c r="AT246" s="0" t="n">
        <f aca="false">IF(U246=0,0,1)</f>
        <v>0</v>
      </c>
      <c r="AU246" s="0" t="n">
        <f aca="false">IF(V246=0,0,1)</f>
        <v>0</v>
      </c>
      <c r="AV246" s="0" t="n">
        <f aca="false">IF(W246=0,0,1)</f>
        <v>0</v>
      </c>
      <c r="AW246" s="26" t="n">
        <f aca="false">SUM(AA246:AV246)</f>
        <v>0</v>
      </c>
      <c r="AX246" s="27" t="n">
        <f aca="false">IF(X246=0,0,X246)</f>
        <v>0</v>
      </c>
      <c r="AY246" s="1" t="n">
        <f aca="false">IF(X246=0,0,A246)</f>
        <v>0</v>
      </c>
      <c r="AZ246" s="28" t="n">
        <f aca="false">IF(AX246=0,0,A$242)</f>
        <v>0</v>
      </c>
      <c r="BA246" s="55"/>
      <c r="BB246" s="30"/>
      <c r="BC246" s="56"/>
      <c r="BD246" s="27"/>
      <c r="BE246" s="26"/>
      <c r="BF246" s="32"/>
      <c r="BG246" s="33"/>
    </row>
    <row r="247" customFormat="false" ht="15" hidden="false" customHeight="false" outlineLevel="0" collapsed="false">
      <c r="A247" s="21" t="n">
        <f aca="false">B!$E$339</f>
        <v>0</v>
      </c>
      <c r="B247" s="22" t="n">
        <f aca="false">C!G100</f>
        <v>0</v>
      </c>
      <c r="C247" s="22" t="n">
        <f aca="false">D!G100</f>
        <v>0</v>
      </c>
      <c r="D247" s="22" t="n">
        <f aca="false">E!G100</f>
        <v>0</v>
      </c>
      <c r="E247" s="22" t="n">
        <f aca="false">F!G100</f>
        <v>0</v>
      </c>
      <c r="F247" s="22" t="n">
        <f aca="false">G!G100</f>
        <v>0</v>
      </c>
      <c r="G247" s="22" t="n">
        <f aca="false">H!G100</f>
        <v>0</v>
      </c>
      <c r="H247" s="22" t="n">
        <f aca="false">I!G100</f>
        <v>0</v>
      </c>
      <c r="I247" s="22" t="n">
        <f aca="false">J!G100</f>
        <v>0</v>
      </c>
      <c r="J247" s="22" t="n">
        <f aca="false">K!G100</f>
        <v>0</v>
      </c>
      <c r="K247" s="22" t="n">
        <f aca="false">L!G100</f>
        <v>0</v>
      </c>
      <c r="L247" s="22" t="n">
        <f aca="false">M!G100</f>
        <v>0</v>
      </c>
      <c r="M247" s="22" t="n">
        <f aca="false">N!G100</f>
        <v>0</v>
      </c>
      <c r="N247" s="22" t="n">
        <f aca="false">O!G100</f>
        <v>0</v>
      </c>
      <c r="O247" s="22" t="n">
        <f aca="false">P!G100</f>
        <v>0</v>
      </c>
      <c r="P247" s="22" t="n">
        <f aca="false">Q!G100</f>
        <v>0</v>
      </c>
      <c r="Q247" s="22" t="n">
        <f aca="false">R!G100</f>
        <v>0</v>
      </c>
      <c r="R247" s="22" t="n">
        <f aca="false">S!G100</f>
        <v>0</v>
      </c>
      <c r="S247" s="22" t="n">
        <f aca="false">T!G100</f>
        <v>0</v>
      </c>
      <c r="T247" s="22" t="n">
        <f aca="false">U!G100</f>
        <v>0</v>
      </c>
      <c r="U247" s="22" t="n">
        <f aca="false">V!G100</f>
        <v>0</v>
      </c>
      <c r="V247" s="22" t="n">
        <f aca="false">W!G100</f>
        <v>0</v>
      </c>
      <c r="W247" s="22" t="n">
        <f aca="false">X!G100</f>
        <v>0</v>
      </c>
      <c r="X247" s="23" t="n">
        <f aca="false">SUM(B247:W247)</f>
        <v>0</v>
      </c>
      <c r="Y247" s="24" t="n">
        <f aca="false">IF(AW247=0,0,X247/AW247)</f>
        <v>0</v>
      </c>
      <c r="Z247" s="25" t="n">
        <f aca="false">A247</f>
        <v>0</v>
      </c>
      <c r="AA247" s="16" t="n">
        <f aca="false">IF(B247=0,0,1)</f>
        <v>0</v>
      </c>
      <c r="AB247" s="0" t="n">
        <f aca="false">IF(C247=0,0,1)</f>
        <v>0</v>
      </c>
      <c r="AC247" s="0" t="n">
        <f aca="false">IF(D247=0,0,1)</f>
        <v>0</v>
      </c>
      <c r="AD247" s="0" t="n">
        <f aca="false">IF(E247=0,0,1)</f>
        <v>0</v>
      </c>
      <c r="AE247" s="0" t="n">
        <f aca="false">IF(F247=0,0,1)</f>
        <v>0</v>
      </c>
      <c r="AF247" s="0" t="n">
        <f aca="false">IF(G247=0,0,1)</f>
        <v>0</v>
      </c>
      <c r="AG247" s="0" t="n">
        <f aca="false">IF(H247=0,0,1)</f>
        <v>0</v>
      </c>
      <c r="AH247" s="0" t="n">
        <f aca="false">IF(I247=0,0,1)</f>
        <v>0</v>
      </c>
      <c r="AI247" s="0" t="n">
        <f aca="false">IF(J247=0,0,1)</f>
        <v>0</v>
      </c>
      <c r="AJ247" s="0" t="n">
        <f aca="false">IF(K247=0,0,1)</f>
        <v>0</v>
      </c>
      <c r="AK247" s="0" t="n">
        <f aca="false">IF(L247=0,0,1)</f>
        <v>0</v>
      </c>
      <c r="AL247" s="0" t="n">
        <f aca="false">IF(M247=0,0,1)</f>
        <v>0</v>
      </c>
      <c r="AM247" s="0" t="n">
        <f aca="false">IF(N247=0,0,1)</f>
        <v>0</v>
      </c>
      <c r="AN247" s="0" t="n">
        <f aca="false">IF(O247=0,0,1)</f>
        <v>0</v>
      </c>
      <c r="AO247" s="0" t="n">
        <f aca="false">IF(P247=0,0,1)</f>
        <v>0</v>
      </c>
      <c r="AP247" s="0" t="n">
        <f aca="false">IF(Q247=0,0,1)</f>
        <v>0</v>
      </c>
      <c r="AQ247" s="0" t="n">
        <f aca="false">IF(R247=0,0,1)</f>
        <v>0</v>
      </c>
      <c r="AR247" s="0" t="n">
        <f aca="false">IF(S247=0,0,1)</f>
        <v>0</v>
      </c>
      <c r="AS247" s="0" t="n">
        <f aca="false">IF(T247=0,0,1)</f>
        <v>0</v>
      </c>
      <c r="AT247" s="0" t="n">
        <f aca="false">IF(U247=0,0,1)</f>
        <v>0</v>
      </c>
      <c r="AU247" s="0" t="n">
        <f aca="false">IF(V247=0,0,1)</f>
        <v>0</v>
      </c>
      <c r="AV247" s="0" t="n">
        <f aca="false">IF(W247=0,0,1)</f>
        <v>0</v>
      </c>
      <c r="AW247" s="26" t="n">
        <f aca="false">SUM(AA247:AV247)</f>
        <v>0</v>
      </c>
      <c r="AX247" s="27" t="n">
        <f aca="false">IF(X247=0,0,X247)</f>
        <v>0</v>
      </c>
      <c r="AY247" s="1" t="n">
        <f aca="false">IF(X247=0,0,A247)</f>
        <v>0</v>
      </c>
      <c r="AZ247" s="28" t="n">
        <f aca="false">IF(AX247=0,0,A$242)</f>
        <v>0</v>
      </c>
      <c r="BA247" s="55"/>
      <c r="BB247" s="30"/>
      <c r="BC247" s="56"/>
      <c r="BD247" s="27"/>
      <c r="BE247" s="26"/>
      <c r="BF247" s="32"/>
      <c r="BG247" s="33"/>
    </row>
    <row r="248" customFormat="false" ht="15" hidden="false" customHeight="false" outlineLevel="0" collapsed="false">
      <c r="A248" s="21" t="n">
        <f aca="false">B!$E$344</f>
        <v>0</v>
      </c>
      <c r="B248" s="22" t="n">
        <f aca="false">C!G101</f>
        <v>0</v>
      </c>
      <c r="C248" s="22" t="n">
        <f aca="false">D!G101</f>
        <v>0</v>
      </c>
      <c r="D248" s="22" t="n">
        <f aca="false">E!G101</f>
        <v>0</v>
      </c>
      <c r="E248" s="22" t="n">
        <f aca="false">F!G101</f>
        <v>0</v>
      </c>
      <c r="F248" s="22" t="n">
        <f aca="false">G!G101</f>
        <v>0</v>
      </c>
      <c r="G248" s="22" t="n">
        <f aca="false">H!G101</f>
        <v>0</v>
      </c>
      <c r="H248" s="22" t="n">
        <f aca="false">I!G101</f>
        <v>0</v>
      </c>
      <c r="I248" s="22" t="n">
        <f aca="false">J!G101</f>
        <v>0</v>
      </c>
      <c r="J248" s="22" t="n">
        <f aca="false">K!G101</f>
        <v>0</v>
      </c>
      <c r="K248" s="22" t="n">
        <f aca="false">L!G101</f>
        <v>0</v>
      </c>
      <c r="L248" s="22" t="n">
        <f aca="false">M!G101</f>
        <v>0</v>
      </c>
      <c r="M248" s="22" t="n">
        <f aca="false">N!G101</f>
        <v>0</v>
      </c>
      <c r="N248" s="22" t="n">
        <f aca="false">O!G101</f>
        <v>0</v>
      </c>
      <c r="O248" s="22" t="n">
        <f aca="false">P!G101</f>
        <v>0</v>
      </c>
      <c r="P248" s="22" t="n">
        <f aca="false">Q!G101</f>
        <v>0</v>
      </c>
      <c r="Q248" s="22" t="n">
        <f aca="false">R!G101</f>
        <v>0</v>
      </c>
      <c r="R248" s="22" t="n">
        <f aca="false">S!G101</f>
        <v>0</v>
      </c>
      <c r="S248" s="22" t="n">
        <f aca="false">T!G101</f>
        <v>0</v>
      </c>
      <c r="T248" s="22" t="n">
        <f aca="false">U!G101</f>
        <v>0</v>
      </c>
      <c r="U248" s="22" t="n">
        <f aca="false">V!G101</f>
        <v>0</v>
      </c>
      <c r="V248" s="22" t="n">
        <f aca="false">W!G101</f>
        <v>0</v>
      </c>
      <c r="W248" s="22" t="n">
        <f aca="false">X!G101</f>
        <v>0</v>
      </c>
      <c r="X248" s="23" t="n">
        <f aca="false">SUM(B248:W248)</f>
        <v>0</v>
      </c>
      <c r="Y248" s="24" t="n">
        <f aca="false">IF(AW248=0,0,X248/AW248)</f>
        <v>0</v>
      </c>
      <c r="Z248" s="25" t="n">
        <f aca="false">A248</f>
        <v>0</v>
      </c>
      <c r="AA248" s="16" t="n">
        <f aca="false">IF(B248=0,0,1)</f>
        <v>0</v>
      </c>
      <c r="AB248" s="0" t="n">
        <f aca="false">IF(C248=0,0,1)</f>
        <v>0</v>
      </c>
      <c r="AC248" s="0" t="n">
        <f aca="false">IF(D248=0,0,1)</f>
        <v>0</v>
      </c>
      <c r="AD248" s="0" t="n">
        <f aca="false">IF(E248=0,0,1)</f>
        <v>0</v>
      </c>
      <c r="AE248" s="0" t="n">
        <f aca="false">IF(F248=0,0,1)</f>
        <v>0</v>
      </c>
      <c r="AF248" s="0" t="n">
        <f aca="false">IF(G248=0,0,1)</f>
        <v>0</v>
      </c>
      <c r="AG248" s="0" t="n">
        <f aca="false">IF(H248=0,0,1)</f>
        <v>0</v>
      </c>
      <c r="AH248" s="0" t="n">
        <f aca="false">IF(I248=0,0,1)</f>
        <v>0</v>
      </c>
      <c r="AI248" s="0" t="n">
        <f aca="false">IF(J248=0,0,1)</f>
        <v>0</v>
      </c>
      <c r="AJ248" s="0" t="n">
        <f aca="false">IF(K248=0,0,1)</f>
        <v>0</v>
      </c>
      <c r="AK248" s="0" t="n">
        <f aca="false">IF(L248=0,0,1)</f>
        <v>0</v>
      </c>
      <c r="AL248" s="0" t="n">
        <f aca="false">IF(M248=0,0,1)</f>
        <v>0</v>
      </c>
      <c r="AM248" s="0" t="n">
        <f aca="false">IF(N248=0,0,1)</f>
        <v>0</v>
      </c>
      <c r="AN248" s="0" t="n">
        <f aca="false">IF(O248=0,0,1)</f>
        <v>0</v>
      </c>
      <c r="AO248" s="0" t="n">
        <f aca="false">IF(P248=0,0,1)</f>
        <v>0</v>
      </c>
      <c r="AP248" s="0" t="n">
        <f aca="false">IF(Q248=0,0,1)</f>
        <v>0</v>
      </c>
      <c r="AQ248" s="0" t="n">
        <f aca="false">IF(R248=0,0,1)</f>
        <v>0</v>
      </c>
      <c r="AR248" s="0" t="n">
        <f aca="false">IF(S248=0,0,1)</f>
        <v>0</v>
      </c>
      <c r="AS248" s="0" t="n">
        <f aca="false">IF(T248=0,0,1)</f>
        <v>0</v>
      </c>
      <c r="AT248" s="0" t="n">
        <f aca="false">IF(U248=0,0,1)</f>
        <v>0</v>
      </c>
      <c r="AU248" s="0" t="n">
        <f aca="false">IF(V248=0,0,1)</f>
        <v>0</v>
      </c>
      <c r="AV248" s="0" t="n">
        <f aca="false">IF(W248=0,0,1)</f>
        <v>0</v>
      </c>
      <c r="AW248" s="26" t="n">
        <f aca="false">SUM(AA248:AV248)</f>
        <v>0</v>
      </c>
      <c r="AX248" s="27" t="n">
        <f aca="false">IF(X248=0,0,X248)</f>
        <v>0</v>
      </c>
      <c r="AY248" s="1" t="n">
        <f aca="false">IF(X248=0,0,A248)</f>
        <v>0</v>
      </c>
      <c r="AZ248" s="28" t="n">
        <f aca="false">IF(AX248=0,0,A$242)</f>
        <v>0</v>
      </c>
      <c r="BA248" s="55"/>
      <c r="BB248" s="30"/>
      <c r="BC248" s="56"/>
      <c r="BD248" s="27"/>
      <c r="BE248" s="26"/>
      <c r="BF248" s="32"/>
      <c r="BG248" s="33"/>
    </row>
    <row r="249" customFormat="false" ht="15" hidden="false" customHeight="false" outlineLevel="0" collapsed="false">
      <c r="A249" s="21" t="n">
        <f aca="false">B!$E$349</f>
        <v>0</v>
      </c>
      <c r="B249" s="22" t="n">
        <f aca="false">C!G102</f>
        <v>0</v>
      </c>
      <c r="C249" s="22" t="n">
        <f aca="false">D!G102</f>
        <v>0</v>
      </c>
      <c r="D249" s="22" t="n">
        <f aca="false">E!G102</f>
        <v>0</v>
      </c>
      <c r="E249" s="22" t="n">
        <f aca="false">F!G102</f>
        <v>0</v>
      </c>
      <c r="F249" s="22" t="n">
        <f aca="false">G!G102</f>
        <v>0</v>
      </c>
      <c r="G249" s="22" t="n">
        <f aca="false">H!G102</f>
        <v>0</v>
      </c>
      <c r="H249" s="22" t="n">
        <f aca="false">I!G102</f>
        <v>0</v>
      </c>
      <c r="I249" s="22" t="n">
        <f aca="false">J!G102</f>
        <v>0</v>
      </c>
      <c r="J249" s="22" t="n">
        <f aca="false">K!G102</f>
        <v>0</v>
      </c>
      <c r="K249" s="22" t="n">
        <f aca="false">L!G102</f>
        <v>0</v>
      </c>
      <c r="L249" s="22" t="n">
        <f aca="false">M!G102</f>
        <v>0</v>
      </c>
      <c r="M249" s="22" t="n">
        <f aca="false">N!G102</f>
        <v>0</v>
      </c>
      <c r="N249" s="22" t="n">
        <f aca="false">O!G102</f>
        <v>0</v>
      </c>
      <c r="O249" s="22" t="n">
        <f aca="false">P!G102</f>
        <v>0</v>
      </c>
      <c r="P249" s="22" t="n">
        <f aca="false">Q!G102</f>
        <v>0</v>
      </c>
      <c r="Q249" s="22" t="n">
        <f aca="false">R!G102</f>
        <v>0</v>
      </c>
      <c r="R249" s="22" t="n">
        <f aca="false">S!G102</f>
        <v>0</v>
      </c>
      <c r="S249" s="22" t="n">
        <f aca="false">T!G102</f>
        <v>0</v>
      </c>
      <c r="T249" s="22" t="n">
        <f aca="false">U!G102</f>
        <v>0</v>
      </c>
      <c r="U249" s="22" t="n">
        <f aca="false">V!G102</f>
        <v>0</v>
      </c>
      <c r="V249" s="22" t="n">
        <f aca="false">W!G102</f>
        <v>0</v>
      </c>
      <c r="W249" s="22" t="n">
        <f aca="false">X!G102</f>
        <v>0</v>
      </c>
      <c r="X249" s="23" t="n">
        <f aca="false">SUM(B249:W249)</f>
        <v>0</v>
      </c>
      <c r="Y249" s="24" t="n">
        <f aca="false">IF(AW249=0,0,X249/AW249)</f>
        <v>0</v>
      </c>
      <c r="Z249" s="25" t="n">
        <f aca="false">A249</f>
        <v>0</v>
      </c>
      <c r="AA249" s="16" t="n">
        <f aca="false">IF(B249=0,0,1)</f>
        <v>0</v>
      </c>
      <c r="AB249" s="0" t="n">
        <f aca="false">IF(C249=0,0,1)</f>
        <v>0</v>
      </c>
      <c r="AC249" s="0" t="n">
        <f aca="false">IF(D249=0,0,1)</f>
        <v>0</v>
      </c>
      <c r="AD249" s="0" t="n">
        <f aca="false">IF(E249=0,0,1)</f>
        <v>0</v>
      </c>
      <c r="AE249" s="0" t="n">
        <f aca="false">IF(F249=0,0,1)</f>
        <v>0</v>
      </c>
      <c r="AF249" s="0" t="n">
        <f aca="false">IF(G249=0,0,1)</f>
        <v>0</v>
      </c>
      <c r="AG249" s="0" t="n">
        <f aca="false">IF(H249=0,0,1)</f>
        <v>0</v>
      </c>
      <c r="AH249" s="0" t="n">
        <f aca="false">IF(I249=0,0,1)</f>
        <v>0</v>
      </c>
      <c r="AI249" s="0" t="n">
        <f aca="false">IF(J249=0,0,1)</f>
        <v>0</v>
      </c>
      <c r="AJ249" s="0" t="n">
        <f aca="false">IF(K249=0,0,1)</f>
        <v>0</v>
      </c>
      <c r="AK249" s="0" t="n">
        <f aca="false">IF(L249=0,0,1)</f>
        <v>0</v>
      </c>
      <c r="AL249" s="0" t="n">
        <f aca="false">IF(M249=0,0,1)</f>
        <v>0</v>
      </c>
      <c r="AM249" s="0" t="n">
        <f aca="false">IF(N249=0,0,1)</f>
        <v>0</v>
      </c>
      <c r="AN249" s="0" t="n">
        <f aca="false">IF(O249=0,0,1)</f>
        <v>0</v>
      </c>
      <c r="AO249" s="0" t="n">
        <f aca="false">IF(P249=0,0,1)</f>
        <v>0</v>
      </c>
      <c r="AP249" s="0" t="n">
        <f aca="false">IF(Q249=0,0,1)</f>
        <v>0</v>
      </c>
      <c r="AQ249" s="0" t="n">
        <f aca="false">IF(R249=0,0,1)</f>
        <v>0</v>
      </c>
      <c r="AR249" s="0" t="n">
        <f aca="false">IF(S249=0,0,1)</f>
        <v>0</v>
      </c>
      <c r="AS249" s="0" t="n">
        <f aca="false">IF(T249=0,0,1)</f>
        <v>0</v>
      </c>
      <c r="AT249" s="0" t="n">
        <f aca="false">IF(U249=0,0,1)</f>
        <v>0</v>
      </c>
      <c r="AU249" s="0" t="n">
        <f aca="false">IF(V249=0,0,1)</f>
        <v>0</v>
      </c>
      <c r="AV249" s="0" t="n">
        <f aca="false">IF(W249=0,0,1)</f>
        <v>0</v>
      </c>
      <c r="AW249" s="26" t="n">
        <f aca="false">SUM(AA249:AV249)</f>
        <v>0</v>
      </c>
      <c r="AX249" s="27" t="n">
        <f aca="false">IF(X249=0,0,X249)</f>
        <v>0</v>
      </c>
      <c r="AY249" s="1" t="n">
        <f aca="false">IF(X249=0,0,A249)</f>
        <v>0</v>
      </c>
      <c r="AZ249" s="28" t="n">
        <f aca="false">IF(AX249=0,0,A$242)</f>
        <v>0</v>
      </c>
      <c r="BA249" s="55"/>
      <c r="BB249" s="30"/>
      <c r="BC249" s="56"/>
      <c r="BD249" s="27"/>
      <c r="BE249" s="26"/>
      <c r="BF249" s="32"/>
      <c r="BG249" s="33"/>
    </row>
    <row r="250" customFormat="false" ht="15" hidden="false" customHeight="false" outlineLevel="0" collapsed="false">
      <c r="A250" s="21" t="n">
        <f aca="false">B!$E$354</f>
        <v>0</v>
      </c>
      <c r="B250" s="22" t="n">
        <f aca="false">C!G103</f>
        <v>0</v>
      </c>
      <c r="C250" s="22" t="n">
        <f aca="false">D!G103</f>
        <v>0</v>
      </c>
      <c r="D250" s="22" t="n">
        <f aca="false">E!G103</f>
        <v>0</v>
      </c>
      <c r="E250" s="22" t="n">
        <f aca="false">F!G103</f>
        <v>0</v>
      </c>
      <c r="F250" s="22" t="n">
        <f aca="false">G!G103</f>
        <v>0</v>
      </c>
      <c r="G250" s="22" t="n">
        <f aca="false">H!G103</f>
        <v>0</v>
      </c>
      <c r="H250" s="22" t="n">
        <f aca="false">I!G103</f>
        <v>0</v>
      </c>
      <c r="I250" s="22" t="n">
        <f aca="false">J!G103</f>
        <v>0</v>
      </c>
      <c r="J250" s="22" t="n">
        <f aca="false">K!G103</f>
        <v>0</v>
      </c>
      <c r="K250" s="22" t="n">
        <f aca="false">L!G103</f>
        <v>0</v>
      </c>
      <c r="L250" s="22" t="n">
        <f aca="false">M!G103</f>
        <v>0</v>
      </c>
      <c r="M250" s="22" t="n">
        <f aca="false">N!G103</f>
        <v>0</v>
      </c>
      <c r="N250" s="22" t="n">
        <f aca="false">O!G103</f>
        <v>0</v>
      </c>
      <c r="O250" s="22" t="n">
        <f aca="false">P!G103</f>
        <v>0</v>
      </c>
      <c r="P250" s="22" t="n">
        <f aca="false">Q!G103</f>
        <v>0</v>
      </c>
      <c r="Q250" s="22" t="n">
        <f aca="false">R!G103</f>
        <v>0</v>
      </c>
      <c r="R250" s="22" t="n">
        <f aca="false">S!G103</f>
        <v>0</v>
      </c>
      <c r="S250" s="22" t="n">
        <f aca="false">T!G103</f>
        <v>0</v>
      </c>
      <c r="T250" s="22" t="n">
        <f aca="false">U!G103</f>
        <v>0</v>
      </c>
      <c r="U250" s="22" t="n">
        <f aca="false">V!G103</f>
        <v>0</v>
      </c>
      <c r="V250" s="22" t="n">
        <f aca="false">W!G103</f>
        <v>0</v>
      </c>
      <c r="W250" s="22" t="n">
        <f aca="false">X!G103</f>
        <v>0</v>
      </c>
      <c r="X250" s="23" t="n">
        <f aca="false">SUM(B250:W250)</f>
        <v>0</v>
      </c>
      <c r="Y250" s="24" t="n">
        <f aca="false">IF(AW250=0,0,X250/AW250)</f>
        <v>0</v>
      </c>
      <c r="Z250" s="25" t="n">
        <f aca="false">A250</f>
        <v>0</v>
      </c>
      <c r="AA250" s="16" t="n">
        <f aca="false">IF(B250=0,0,1)</f>
        <v>0</v>
      </c>
      <c r="AB250" s="0" t="n">
        <f aca="false">IF(C250=0,0,1)</f>
        <v>0</v>
      </c>
      <c r="AC250" s="0" t="n">
        <f aca="false">IF(D250=0,0,1)</f>
        <v>0</v>
      </c>
      <c r="AD250" s="0" t="n">
        <f aca="false">IF(E250=0,0,1)</f>
        <v>0</v>
      </c>
      <c r="AE250" s="0" t="n">
        <f aca="false">IF(F250=0,0,1)</f>
        <v>0</v>
      </c>
      <c r="AF250" s="0" t="n">
        <f aca="false">IF(G250=0,0,1)</f>
        <v>0</v>
      </c>
      <c r="AG250" s="0" t="n">
        <f aca="false">IF(H250=0,0,1)</f>
        <v>0</v>
      </c>
      <c r="AH250" s="0" t="n">
        <f aca="false">IF(I250=0,0,1)</f>
        <v>0</v>
      </c>
      <c r="AI250" s="0" t="n">
        <f aca="false">IF(J250=0,0,1)</f>
        <v>0</v>
      </c>
      <c r="AJ250" s="0" t="n">
        <f aca="false">IF(K250=0,0,1)</f>
        <v>0</v>
      </c>
      <c r="AK250" s="0" t="n">
        <f aca="false">IF(L250=0,0,1)</f>
        <v>0</v>
      </c>
      <c r="AL250" s="0" t="n">
        <f aca="false">IF(M250=0,0,1)</f>
        <v>0</v>
      </c>
      <c r="AM250" s="0" t="n">
        <f aca="false">IF(N250=0,0,1)</f>
        <v>0</v>
      </c>
      <c r="AN250" s="0" t="n">
        <f aca="false">IF(O250=0,0,1)</f>
        <v>0</v>
      </c>
      <c r="AO250" s="0" t="n">
        <f aca="false">IF(P250=0,0,1)</f>
        <v>0</v>
      </c>
      <c r="AP250" s="0" t="n">
        <f aca="false">IF(Q250=0,0,1)</f>
        <v>0</v>
      </c>
      <c r="AQ250" s="0" t="n">
        <f aca="false">IF(R250=0,0,1)</f>
        <v>0</v>
      </c>
      <c r="AR250" s="0" t="n">
        <f aca="false">IF(S250=0,0,1)</f>
        <v>0</v>
      </c>
      <c r="AS250" s="0" t="n">
        <f aca="false">IF(T250=0,0,1)</f>
        <v>0</v>
      </c>
      <c r="AT250" s="0" t="n">
        <f aca="false">IF(U250=0,0,1)</f>
        <v>0</v>
      </c>
      <c r="AU250" s="0" t="n">
        <f aca="false">IF(V250=0,0,1)</f>
        <v>0</v>
      </c>
      <c r="AV250" s="0" t="n">
        <f aca="false">IF(W250=0,0,1)</f>
        <v>0</v>
      </c>
      <c r="AW250" s="26" t="n">
        <f aca="false">SUM(AA250:AV250)</f>
        <v>0</v>
      </c>
      <c r="AX250" s="27" t="n">
        <f aca="false">IF(X250=0,0,X250)</f>
        <v>0</v>
      </c>
      <c r="AY250" s="1" t="n">
        <f aca="false">IF(X250=0,0,A250)</f>
        <v>0</v>
      </c>
      <c r="AZ250" s="28" t="n">
        <f aca="false">IF(AX250=0,0,A$242)</f>
        <v>0</v>
      </c>
      <c r="BA250" s="55"/>
      <c r="BB250" s="30"/>
      <c r="BC250" s="56"/>
      <c r="BD250" s="27"/>
      <c r="BE250" s="26"/>
      <c r="BF250" s="32"/>
      <c r="BG250" s="33"/>
    </row>
    <row r="251" customFormat="false" ht="15" hidden="false" customHeight="false" outlineLevel="0" collapsed="false">
      <c r="A251" s="38" t="s">
        <v>60</v>
      </c>
      <c r="B251" s="39" t="n">
        <f aca="false">SUM(B243:B250)</f>
        <v>0</v>
      </c>
      <c r="C251" s="39" t="n">
        <f aca="false">SUM(C243:C250)</f>
        <v>0</v>
      </c>
      <c r="D251" s="39" t="n">
        <f aca="false">SUM(D243:D250)</f>
        <v>0</v>
      </c>
      <c r="E251" s="39" t="n">
        <f aca="false">SUM(E243:E250)</f>
        <v>0</v>
      </c>
      <c r="F251" s="39" t="n">
        <f aca="false">SUM(F243:F250)</f>
        <v>0</v>
      </c>
      <c r="G251" s="39" t="n">
        <f aca="false">SUM(G243:G250)</f>
        <v>0</v>
      </c>
      <c r="H251" s="39" t="n">
        <f aca="false">SUM(H243:H250)</f>
        <v>0</v>
      </c>
      <c r="I251" s="39" t="n">
        <f aca="false">SUM(I243:I250)</f>
        <v>0</v>
      </c>
      <c r="J251" s="39" t="n">
        <f aca="false">SUM(J243:J250)</f>
        <v>0</v>
      </c>
      <c r="K251" s="39" t="n">
        <f aca="false">SUM(K243:K250)</f>
        <v>0</v>
      </c>
      <c r="L251" s="39" t="n">
        <f aca="false">SUM(L243:L250)</f>
        <v>0</v>
      </c>
      <c r="M251" s="39" t="n">
        <f aca="false">SUM(M243:M250)</f>
        <v>0</v>
      </c>
      <c r="N251" s="39" t="n">
        <f aca="false">SUM(N243:N250)</f>
        <v>0</v>
      </c>
      <c r="O251" s="39" t="n">
        <f aca="false">SUM(O243:O250)</f>
        <v>0</v>
      </c>
      <c r="P251" s="39" t="n">
        <f aca="false">SUM(P243:P250)</f>
        <v>0</v>
      </c>
      <c r="Q251" s="39" t="n">
        <f aca="false">SUM(Q243:Q250)</f>
        <v>0</v>
      </c>
      <c r="R251" s="39" t="n">
        <f aca="false">SUM(R243:R250)</f>
        <v>0</v>
      </c>
      <c r="S251" s="39" t="n">
        <f aca="false">SUM(S243:S250)</f>
        <v>0</v>
      </c>
      <c r="T251" s="39" t="n">
        <f aca="false">SUM(T243:T250)</f>
        <v>0</v>
      </c>
      <c r="U251" s="39" t="n">
        <f aca="false">SUM(U243:U250)</f>
        <v>0</v>
      </c>
      <c r="V251" s="39" t="n">
        <f aca="false">SUM(V243:V250)</f>
        <v>0</v>
      </c>
      <c r="W251" s="39" t="n">
        <f aca="false">SUM(W243:W250)</f>
        <v>0</v>
      </c>
      <c r="X251" s="40" t="n">
        <f aca="false">SUM(B251:W251)</f>
        <v>0</v>
      </c>
      <c r="Y251" s="41" t="n">
        <f aca="false">IF(X251=0,0,X251/AW251)</f>
        <v>0</v>
      </c>
      <c r="Z251" s="25"/>
      <c r="AA251" s="42" t="n">
        <f aca="false">SUM(AA243:AA250)</f>
        <v>0</v>
      </c>
      <c r="AB251" s="43" t="n">
        <f aca="false">SUM(AB243:AB250)</f>
        <v>0</v>
      </c>
      <c r="AC251" s="43" t="n">
        <f aca="false">SUM(AC243:AC250)</f>
        <v>0</v>
      </c>
      <c r="AD251" s="43" t="n">
        <f aca="false">SUM(AD243:AD250)</f>
        <v>0</v>
      </c>
      <c r="AE251" s="43" t="n">
        <f aca="false">SUM(AE243:AE250)</f>
        <v>0</v>
      </c>
      <c r="AF251" s="43" t="n">
        <f aca="false">SUM(AF243:AF250)</f>
        <v>0</v>
      </c>
      <c r="AG251" s="43" t="n">
        <f aca="false">SUM(AG243:AG250)</f>
        <v>0</v>
      </c>
      <c r="AH251" s="43" t="n">
        <f aca="false">SUM(AH243:AH250)</f>
        <v>0</v>
      </c>
      <c r="AI251" s="43" t="n">
        <f aca="false">SUM(AI243:AI250)</f>
        <v>0</v>
      </c>
      <c r="AJ251" s="43" t="n">
        <f aca="false">SUM(AJ243:AJ250)</f>
        <v>0</v>
      </c>
      <c r="AK251" s="43" t="n">
        <f aca="false">SUM(AK243:AK250)</f>
        <v>0</v>
      </c>
      <c r="AL251" s="43" t="n">
        <f aca="false">SUM(AL243:AL250)</f>
        <v>0</v>
      </c>
      <c r="AM251" s="43" t="n">
        <f aca="false">SUM(AM243:AM250)</f>
        <v>0</v>
      </c>
      <c r="AN251" s="43" t="n">
        <f aca="false">SUM(AN243:AN250)</f>
        <v>0</v>
      </c>
      <c r="AO251" s="43" t="n">
        <f aca="false">SUM(AO243:AO250)</f>
        <v>0</v>
      </c>
      <c r="AP251" s="43" t="n">
        <f aca="false">SUM(AP243:AP250)</f>
        <v>0</v>
      </c>
      <c r="AQ251" s="43" t="n">
        <f aca="false">SUM(AQ243:AQ250)</f>
        <v>0</v>
      </c>
      <c r="AR251" s="43" t="n">
        <f aca="false">SUM(AR243:AR250)</f>
        <v>0</v>
      </c>
      <c r="AS251" s="43" t="n">
        <f aca="false">SUM(AS243:AS250)</f>
        <v>0</v>
      </c>
      <c r="AT251" s="43" t="n">
        <f aca="false">SUM(AT243:AT250)</f>
        <v>0</v>
      </c>
      <c r="AU251" s="43" t="n">
        <f aca="false">SUM(AU243:AU250)</f>
        <v>0</v>
      </c>
      <c r="AV251" s="43" t="n">
        <f aca="false">SUM(AV243:AV250)</f>
        <v>0</v>
      </c>
      <c r="AW251" s="44" t="n">
        <f aca="false">MAXA(AW243:AW250)</f>
        <v>0</v>
      </c>
      <c r="AX251" s="27"/>
      <c r="AZ251" s="28"/>
      <c r="BA251" s="55"/>
      <c r="BB251" s="30"/>
      <c r="BC251" s="56"/>
      <c r="BD251" s="27"/>
      <c r="BE251" s="26"/>
      <c r="BF251" s="32"/>
      <c r="BG251" s="33"/>
    </row>
    <row r="252" customFormat="false" ht="15" hidden="false" customHeight="false" outlineLevel="0" collapsed="false">
      <c r="A252" s="54" t="s">
        <v>64</v>
      </c>
      <c r="B252" s="22" t="n">
        <f aca="false">C!G104</f>
        <v>0</v>
      </c>
      <c r="C252" s="22" t="n">
        <f aca="false">D!G104</f>
        <v>0</v>
      </c>
      <c r="D252" s="22" t="n">
        <f aca="false">E!G104</f>
        <v>0</v>
      </c>
      <c r="E252" s="22" t="n">
        <f aca="false">F!G104</f>
        <v>0</v>
      </c>
      <c r="F252" s="22" t="n">
        <f aca="false">G!G104</f>
        <v>0</v>
      </c>
      <c r="G252" s="22" t="n">
        <f aca="false">H!G104</f>
        <v>0</v>
      </c>
      <c r="H252" s="22" t="n">
        <f aca="false">I!G104</f>
        <v>0</v>
      </c>
      <c r="I252" s="22" t="n">
        <f aca="false">J!G104</f>
        <v>0</v>
      </c>
      <c r="J252" s="22" t="n">
        <f aca="false">K!G104</f>
        <v>0</v>
      </c>
      <c r="K252" s="22" t="n">
        <f aca="false">L!G104</f>
        <v>0</v>
      </c>
      <c r="L252" s="22" t="n">
        <f aca="false">M!G104</f>
        <v>0</v>
      </c>
      <c r="M252" s="22" t="n">
        <f aca="false">N!G104</f>
        <v>0</v>
      </c>
      <c r="N252" s="22" t="n">
        <f aca="false">O!G104</f>
        <v>0</v>
      </c>
      <c r="O252" s="22" t="n">
        <f aca="false">P!G104</f>
        <v>0</v>
      </c>
      <c r="P252" s="22" t="n">
        <f aca="false">Q!G104</f>
        <v>0</v>
      </c>
      <c r="Q252" s="22" t="n">
        <f aca="false">R!G104</f>
        <v>0</v>
      </c>
      <c r="R252" s="22" t="n">
        <f aca="false">S!G104</f>
        <v>0</v>
      </c>
      <c r="S252" s="22" t="n">
        <f aca="false">T!G104</f>
        <v>0</v>
      </c>
      <c r="T252" s="22" t="n">
        <f aca="false">U!G104</f>
        <v>0</v>
      </c>
      <c r="U252" s="22" t="n">
        <f aca="false">V!G104</f>
        <v>0</v>
      </c>
      <c r="V252" s="22" t="n">
        <f aca="false">W!G104</f>
        <v>0</v>
      </c>
      <c r="W252" s="22" t="n">
        <f aca="false">X!G104</f>
        <v>0</v>
      </c>
      <c r="X252" s="23" t="n">
        <f aca="false">SUM(B252:W252)</f>
        <v>0</v>
      </c>
      <c r="Y252" s="47"/>
      <c r="Z252" s="25"/>
      <c r="AA252" s="16"/>
      <c r="AW252" s="26"/>
      <c r="AX252" s="27"/>
      <c r="AZ252" s="28"/>
      <c r="BA252" s="55"/>
      <c r="BB252" s="30"/>
      <c r="BC252" s="56"/>
      <c r="BD252" s="27"/>
      <c r="BE252" s="26"/>
      <c r="BF252" s="32"/>
      <c r="BG252" s="33"/>
    </row>
    <row r="253" customFormat="false" ht="15" hidden="false" customHeight="false" outlineLevel="0" collapsed="false">
      <c r="A253" s="48" t="s">
        <v>68</v>
      </c>
      <c r="B253" s="49" t="n">
        <f aca="false">SUM(B251:B252)</f>
        <v>0</v>
      </c>
      <c r="C253" s="49" t="n">
        <f aca="false">SUM(C251:C252)</f>
        <v>0</v>
      </c>
      <c r="D253" s="49" t="n">
        <f aca="false">SUM(D251:D252)</f>
        <v>0</v>
      </c>
      <c r="E253" s="49" t="n">
        <f aca="false">SUM(E251:E252)</f>
        <v>0</v>
      </c>
      <c r="F253" s="49" t="n">
        <f aca="false">SUM(F251:F252)</f>
        <v>0</v>
      </c>
      <c r="G253" s="49" t="n">
        <f aca="false">SUM(G251:G252)</f>
        <v>0</v>
      </c>
      <c r="H253" s="49" t="n">
        <f aca="false">SUM(H251:H252)</f>
        <v>0</v>
      </c>
      <c r="I253" s="49" t="n">
        <f aca="false">SUM(I251:I252)</f>
        <v>0</v>
      </c>
      <c r="J253" s="49" t="n">
        <f aca="false">SUM(J251:J252)</f>
        <v>0</v>
      </c>
      <c r="K253" s="49" t="n">
        <f aca="false">SUM(K251:K252)</f>
        <v>0</v>
      </c>
      <c r="L253" s="49" t="n">
        <f aca="false">SUM(L251:L252)</f>
        <v>0</v>
      </c>
      <c r="M253" s="49" t="n">
        <f aca="false">SUM(M251:M252)</f>
        <v>0</v>
      </c>
      <c r="N253" s="49" t="n">
        <f aca="false">SUM(N251:N252)</f>
        <v>0</v>
      </c>
      <c r="O253" s="49" t="n">
        <f aca="false">SUM(O251:O252)</f>
        <v>0</v>
      </c>
      <c r="P253" s="49" t="n">
        <f aca="false">SUM(P251:P252)</f>
        <v>0</v>
      </c>
      <c r="Q253" s="49" t="n">
        <f aca="false">SUM(Q251:Q252)</f>
        <v>0</v>
      </c>
      <c r="R253" s="49" t="n">
        <f aca="false">SUM(R251:R252)</f>
        <v>0</v>
      </c>
      <c r="S253" s="49" t="n">
        <f aca="false">SUM(S251:S252)</f>
        <v>0</v>
      </c>
      <c r="T253" s="49" t="n">
        <f aca="false">SUM(T251:T252)</f>
        <v>0</v>
      </c>
      <c r="U253" s="49" t="n">
        <f aca="false">SUM(U251:U252)</f>
        <v>0</v>
      </c>
      <c r="V253" s="49" t="n">
        <f aca="false">SUM(V251:V252)</f>
        <v>0</v>
      </c>
      <c r="W253" s="49" t="n">
        <f aca="false">SUM(W251:W252)</f>
        <v>0</v>
      </c>
      <c r="X253" s="50" t="n">
        <f aca="false">SUM(B253:W253)</f>
        <v>0</v>
      </c>
      <c r="Y253" s="51"/>
      <c r="Z253" s="25"/>
      <c r="AA253" s="16"/>
      <c r="AW253" s="26"/>
      <c r="AX253" s="27"/>
      <c r="AZ253" s="28"/>
      <c r="BA253" s="55"/>
      <c r="BB253" s="30"/>
      <c r="BC253" s="56"/>
      <c r="BD253" s="27" t="n">
        <f aca="false">X253</f>
        <v>0</v>
      </c>
      <c r="BE253" s="26" t="n">
        <f aca="false">A242</f>
        <v>0</v>
      </c>
      <c r="BF253" s="32"/>
      <c r="BG253" s="33"/>
    </row>
    <row r="254" customFormat="false" ht="15" hidden="false" customHeight="false" outlineLevel="0" collapsed="false"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25"/>
      <c r="AA254" s="16"/>
      <c r="AW254" s="26"/>
      <c r="AX254" s="27"/>
      <c r="AZ254" s="28"/>
      <c r="BA254" s="55"/>
      <c r="BB254" s="30"/>
      <c r="BC254" s="56"/>
      <c r="BD254" s="27"/>
      <c r="BE254" s="26"/>
      <c r="BF254" s="32"/>
      <c r="BG254" s="33"/>
    </row>
    <row r="255" customFormat="false" ht="15" hidden="false" customHeight="false" outlineLevel="0" collapsed="false">
      <c r="A255" s="5" t="s">
        <v>141</v>
      </c>
      <c r="B255" s="6" t="s">
        <v>1</v>
      </c>
      <c r="C255" s="6" t="s">
        <v>2</v>
      </c>
      <c r="D255" s="6" t="s">
        <v>3</v>
      </c>
      <c r="E255" s="6" t="s">
        <v>4</v>
      </c>
      <c r="F255" s="6" t="s">
        <v>5</v>
      </c>
      <c r="G255" s="6" t="s">
        <v>6</v>
      </c>
      <c r="H255" s="6" t="s">
        <v>7</v>
      </c>
      <c r="I255" s="6" t="s">
        <v>8</v>
      </c>
      <c r="J255" s="6" t="s">
        <v>9</v>
      </c>
      <c r="K255" s="6" t="s">
        <v>10</v>
      </c>
      <c r="L255" s="6" t="s">
        <v>11</v>
      </c>
      <c r="M255" s="6" t="s">
        <v>12</v>
      </c>
      <c r="N255" s="6" t="s">
        <v>13</v>
      </c>
      <c r="O255" s="6" t="s">
        <v>14</v>
      </c>
      <c r="P255" s="6" t="s">
        <v>15</v>
      </c>
      <c r="Q255" s="6" t="s">
        <v>16</v>
      </c>
      <c r="R255" s="6" t="s">
        <v>17</v>
      </c>
      <c r="S255" s="6" t="s">
        <v>18</v>
      </c>
      <c r="T255" s="6" t="s">
        <v>19</v>
      </c>
      <c r="U255" s="6" t="s">
        <v>20</v>
      </c>
      <c r="V255" s="6" t="s">
        <v>21</v>
      </c>
      <c r="W255" s="6" t="s">
        <v>22</v>
      </c>
      <c r="X255" s="34"/>
      <c r="Y255" s="34"/>
      <c r="Z255" s="4" t="str">
        <f aca="false">A255</f>
        <v>Team #19 Name:</v>
      </c>
      <c r="AA255" s="16"/>
      <c r="AW255" s="26"/>
      <c r="AX255" s="27"/>
      <c r="AZ255" s="28"/>
      <c r="BA255" s="55"/>
      <c r="BB255" s="30"/>
      <c r="BC255" s="56"/>
      <c r="BD255" s="27"/>
      <c r="BE255" s="26"/>
      <c r="BF255" s="32"/>
      <c r="BG255" s="33"/>
    </row>
    <row r="256" customFormat="false" ht="15" hidden="false" customHeight="false" outlineLevel="0" collapsed="false">
      <c r="A256" s="11" t="n">
        <f aca="false">B!$E$360</f>
        <v>0</v>
      </c>
      <c r="B256" s="52" t="s">
        <v>28</v>
      </c>
      <c r="C256" s="52" t="s">
        <v>28</v>
      </c>
      <c r="D256" s="52" t="s">
        <v>28</v>
      </c>
      <c r="E256" s="52" t="s">
        <v>28</v>
      </c>
      <c r="F256" s="52" t="s">
        <v>28</v>
      </c>
      <c r="G256" s="52" t="s">
        <v>28</v>
      </c>
      <c r="H256" s="52" t="s">
        <v>28</v>
      </c>
      <c r="I256" s="52" t="s">
        <v>28</v>
      </c>
      <c r="J256" s="52" t="s">
        <v>28</v>
      </c>
      <c r="K256" s="52" t="s">
        <v>28</v>
      </c>
      <c r="L256" s="52" t="s">
        <v>28</v>
      </c>
      <c r="M256" s="52" t="s">
        <v>28</v>
      </c>
      <c r="N256" s="52" t="s">
        <v>28</v>
      </c>
      <c r="O256" s="52" t="s">
        <v>28</v>
      </c>
      <c r="P256" s="52" t="s">
        <v>28</v>
      </c>
      <c r="Q256" s="52" t="s">
        <v>28</v>
      </c>
      <c r="R256" s="52" t="s">
        <v>28</v>
      </c>
      <c r="S256" s="52" t="s">
        <v>28</v>
      </c>
      <c r="T256" s="52" t="s">
        <v>28</v>
      </c>
      <c r="U256" s="52" t="s">
        <v>28</v>
      </c>
      <c r="V256" s="52" t="s">
        <v>28</v>
      </c>
      <c r="W256" s="52" t="s">
        <v>28</v>
      </c>
      <c r="X256" s="13" t="s">
        <v>29</v>
      </c>
      <c r="Y256" s="14" t="s">
        <v>30</v>
      </c>
      <c r="Z256" s="15" t="n">
        <f aca="false">A256</f>
        <v>0</v>
      </c>
      <c r="AA256" s="16"/>
      <c r="AW256" s="17" t="s">
        <v>31</v>
      </c>
      <c r="AX256" s="27"/>
      <c r="AZ256" s="28"/>
      <c r="BA256" s="55"/>
      <c r="BB256" s="30"/>
      <c r="BC256" s="56"/>
      <c r="BD256" s="27"/>
      <c r="BE256" s="26"/>
      <c r="BF256" s="32"/>
      <c r="BG256" s="33"/>
    </row>
    <row r="257" customFormat="false" ht="15" hidden="false" customHeight="false" outlineLevel="0" collapsed="false">
      <c r="A257" s="21" t="n">
        <f aca="false">B!$E$362</f>
        <v>0</v>
      </c>
      <c r="B257" s="22" t="n">
        <f aca="false">C!G109</f>
        <v>0</v>
      </c>
      <c r="C257" s="22" t="n">
        <f aca="false">D!G109</f>
        <v>0</v>
      </c>
      <c r="D257" s="22" t="n">
        <f aca="false">E!G109</f>
        <v>0</v>
      </c>
      <c r="E257" s="22" t="n">
        <f aca="false">F!G109</f>
        <v>0</v>
      </c>
      <c r="F257" s="22" t="n">
        <f aca="false">G!G109</f>
        <v>0</v>
      </c>
      <c r="G257" s="22" t="n">
        <f aca="false">H!G109</f>
        <v>0</v>
      </c>
      <c r="H257" s="22" t="n">
        <f aca="false">I!G109</f>
        <v>0</v>
      </c>
      <c r="I257" s="22" t="n">
        <f aca="false">J!G109</f>
        <v>0</v>
      </c>
      <c r="J257" s="22" t="n">
        <f aca="false">K!G109</f>
        <v>0</v>
      </c>
      <c r="K257" s="22" t="n">
        <f aca="false">L!G109</f>
        <v>0</v>
      </c>
      <c r="L257" s="22" t="n">
        <f aca="false">M!G109</f>
        <v>0</v>
      </c>
      <c r="M257" s="22" t="n">
        <f aca="false">N!G109</f>
        <v>0</v>
      </c>
      <c r="N257" s="22" t="n">
        <f aca="false">O!G109</f>
        <v>0</v>
      </c>
      <c r="O257" s="22" t="n">
        <f aca="false">P!G109</f>
        <v>0</v>
      </c>
      <c r="P257" s="22" t="n">
        <f aca="false">Q!G109</f>
        <v>0</v>
      </c>
      <c r="Q257" s="22" t="n">
        <f aca="false">R!G109</f>
        <v>0</v>
      </c>
      <c r="R257" s="22" t="n">
        <f aca="false">S!G109</f>
        <v>0</v>
      </c>
      <c r="S257" s="22" t="n">
        <f aca="false">T!G109</f>
        <v>0</v>
      </c>
      <c r="T257" s="22" t="n">
        <f aca="false">U!G109</f>
        <v>0</v>
      </c>
      <c r="U257" s="22" t="n">
        <f aca="false">V!G109</f>
        <v>0</v>
      </c>
      <c r="V257" s="22" t="n">
        <f aca="false">W!G109</f>
        <v>0</v>
      </c>
      <c r="W257" s="22" t="n">
        <f aca="false">X!G109</f>
        <v>0</v>
      </c>
      <c r="X257" s="23" t="n">
        <f aca="false">SUM(B257:W257)</f>
        <v>0</v>
      </c>
      <c r="Y257" s="24" t="n">
        <f aca="false">IF(AW257=0,0,X257/AW257)</f>
        <v>0</v>
      </c>
      <c r="Z257" s="25" t="n">
        <f aca="false">A257</f>
        <v>0</v>
      </c>
      <c r="AA257" s="16" t="n">
        <f aca="false">IF(B257=0,0,1)</f>
        <v>0</v>
      </c>
      <c r="AB257" s="0" t="n">
        <f aca="false">IF(C257=0,0,1)</f>
        <v>0</v>
      </c>
      <c r="AC257" s="0" t="n">
        <f aca="false">IF(D257=0,0,1)</f>
        <v>0</v>
      </c>
      <c r="AD257" s="0" t="n">
        <f aca="false">IF(E257=0,0,1)</f>
        <v>0</v>
      </c>
      <c r="AE257" s="0" t="n">
        <f aca="false">IF(F257=0,0,1)</f>
        <v>0</v>
      </c>
      <c r="AF257" s="0" t="n">
        <f aca="false">IF(G257=0,0,1)</f>
        <v>0</v>
      </c>
      <c r="AG257" s="0" t="n">
        <f aca="false">IF(H257=0,0,1)</f>
        <v>0</v>
      </c>
      <c r="AH257" s="0" t="n">
        <f aca="false">IF(I257=0,0,1)</f>
        <v>0</v>
      </c>
      <c r="AI257" s="0" t="n">
        <f aca="false">IF(J257=0,0,1)</f>
        <v>0</v>
      </c>
      <c r="AJ257" s="0" t="n">
        <f aca="false">IF(K257=0,0,1)</f>
        <v>0</v>
      </c>
      <c r="AK257" s="0" t="n">
        <f aca="false">IF(L257=0,0,1)</f>
        <v>0</v>
      </c>
      <c r="AL257" s="0" t="n">
        <f aca="false">IF(M257=0,0,1)</f>
        <v>0</v>
      </c>
      <c r="AM257" s="0" t="n">
        <f aca="false">IF(N257=0,0,1)</f>
        <v>0</v>
      </c>
      <c r="AN257" s="0" t="n">
        <f aca="false">IF(O257=0,0,1)</f>
        <v>0</v>
      </c>
      <c r="AO257" s="0" t="n">
        <f aca="false">IF(P257=0,0,1)</f>
        <v>0</v>
      </c>
      <c r="AP257" s="0" t="n">
        <f aca="false">IF(Q257=0,0,1)</f>
        <v>0</v>
      </c>
      <c r="AQ257" s="0" t="n">
        <f aca="false">IF(R257=0,0,1)</f>
        <v>0</v>
      </c>
      <c r="AR257" s="0" t="n">
        <f aca="false">IF(S257=0,0,1)</f>
        <v>0</v>
      </c>
      <c r="AS257" s="0" t="n">
        <f aca="false">IF(T257=0,0,1)</f>
        <v>0</v>
      </c>
      <c r="AT257" s="0" t="n">
        <f aca="false">IF(U257=0,0,1)</f>
        <v>0</v>
      </c>
      <c r="AU257" s="0" t="n">
        <f aca="false">IF(V257=0,0,1)</f>
        <v>0</v>
      </c>
      <c r="AV257" s="0" t="n">
        <f aca="false">IF(W257=0,0,1)</f>
        <v>0</v>
      </c>
      <c r="AW257" s="26" t="n">
        <f aca="false">SUM(AA257:AV257)</f>
        <v>0</v>
      </c>
      <c r="AX257" s="27" t="n">
        <f aca="false">IF(X257=0,0,X257)</f>
        <v>0</v>
      </c>
      <c r="AY257" s="1" t="n">
        <f aca="false">IF(X257=0,0,A257)</f>
        <v>0</v>
      </c>
      <c r="AZ257" s="28" t="n">
        <f aca="false">IF(AX257=0,0,A$256)</f>
        <v>0</v>
      </c>
      <c r="BA257" s="55"/>
      <c r="BB257" s="30"/>
      <c r="BC257" s="56"/>
      <c r="BD257" s="27"/>
      <c r="BE257" s="26"/>
      <c r="BF257" s="32"/>
      <c r="BG257" s="33"/>
    </row>
    <row r="258" customFormat="false" ht="15" hidden="false" customHeight="false" outlineLevel="0" collapsed="false">
      <c r="A258" s="21" t="n">
        <f aca="false">B!$E$367</f>
        <v>0</v>
      </c>
      <c r="B258" s="22" t="n">
        <f aca="false">C!G110</f>
        <v>0</v>
      </c>
      <c r="C258" s="22" t="n">
        <f aca="false">D!G110</f>
        <v>0</v>
      </c>
      <c r="D258" s="22" t="n">
        <f aca="false">E!G110</f>
        <v>0</v>
      </c>
      <c r="E258" s="22" t="n">
        <f aca="false">F!G110</f>
        <v>0</v>
      </c>
      <c r="F258" s="22" t="n">
        <f aca="false">G!G110</f>
        <v>0</v>
      </c>
      <c r="G258" s="22" t="n">
        <f aca="false">H!G110</f>
        <v>0</v>
      </c>
      <c r="H258" s="22" t="n">
        <f aca="false">I!G110</f>
        <v>0</v>
      </c>
      <c r="I258" s="22" t="n">
        <f aca="false">J!G110</f>
        <v>0</v>
      </c>
      <c r="J258" s="22" t="n">
        <f aca="false">K!G110</f>
        <v>0</v>
      </c>
      <c r="K258" s="22" t="n">
        <f aca="false">L!G110</f>
        <v>0</v>
      </c>
      <c r="L258" s="22" t="n">
        <f aca="false">M!G110</f>
        <v>0</v>
      </c>
      <c r="M258" s="22" t="n">
        <f aca="false">N!G110</f>
        <v>0</v>
      </c>
      <c r="N258" s="22" t="n">
        <f aca="false">O!G110</f>
        <v>0</v>
      </c>
      <c r="O258" s="22" t="n">
        <f aca="false">P!G110</f>
        <v>0</v>
      </c>
      <c r="P258" s="22" t="n">
        <f aca="false">Q!G110</f>
        <v>0</v>
      </c>
      <c r="Q258" s="22" t="n">
        <f aca="false">R!G110</f>
        <v>0</v>
      </c>
      <c r="R258" s="22" t="n">
        <f aca="false">S!G110</f>
        <v>0</v>
      </c>
      <c r="S258" s="22" t="n">
        <f aca="false">T!G110</f>
        <v>0</v>
      </c>
      <c r="T258" s="22" t="n">
        <f aca="false">U!G110</f>
        <v>0</v>
      </c>
      <c r="U258" s="22" t="n">
        <f aca="false">V!G110</f>
        <v>0</v>
      </c>
      <c r="V258" s="22" t="n">
        <f aca="false">W!G110</f>
        <v>0</v>
      </c>
      <c r="W258" s="22" t="n">
        <f aca="false">X!G110</f>
        <v>0</v>
      </c>
      <c r="X258" s="23" t="n">
        <f aca="false">SUM(B258:W258)</f>
        <v>0</v>
      </c>
      <c r="Y258" s="24" t="n">
        <f aca="false">IF(AW258=0,0,X258/AW258)</f>
        <v>0</v>
      </c>
      <c r="Z258" s="25" t="n">
        <f aca="false">A258</f>
        <v>0</v>
      </c>
      <c r="AA258" s="16" t="n">
        <f aca="false">IF(B258=0,0,1)</f>
        <v>0</v>
      </c>
      <c r="AB258" s="0" t="n">
        <f aca="false">IF(C258=0,0,1)</f>
        <v>0</v>
      </c>
      <c r="AC258" s="0" t="n">
        <f aca="false">IF(D258=0,0,1)</f>
        <v>0</v>
      </c>
      <c r="AD258" s="0" t="n">
        <f aca="false">IF(E258=0,0,1)</f>
        <v>0</v>
      </c>
      <c r="AE258" s="0" t="n">
        <f aca="false">IF(F258=0,0,1)</f>
        <v>0</v>
      </c>
      <c r="AF258" s="0" t="n">
        <f aca="false">IF(G258=0,0,1)</f>
        <v>0</v>
      </c>
      <c r="AG258" s="0" t="n">
        <f aca="false">IF(H258=0,0,1)</f>
        <v>0</v>
      </c>
      <c r="AH258" s="0" t="n">
        <f aca="false">IF(I258=0,0,1)</f>
        <v>0</v>
      </c>
      <c r="AI258" s="0" t="n">
        <f aca="false">IF(J258=0,0,1)</f>
        <v>0</v>
      </c>
      <c r="AJ258" s="0" t="n">
        <f aca="false">IF(K258=0,0,1)</f>
        <v>0</v>
      </c>
      <c r="AK258" s="0" t="n">
        <f aca="false">IF(L258=0,0,1)</f>
        <v>0</v>
      </c>
      <c r="AL258" s="0" t="n">
        <f aca="false">IF(M258=0,0,1)</f>
        <v>0</v>
      </c>
      <c r="AM258" s="0" t="n">
        <f aca="false">IF(N258=0,0,1)</f>
        <v>0</v>
      </c>
      <c r="AN258" s="0" t="n">
        <f aca="false">IF(O258=0,0,1)</f>
        <v>0</v>
      </c>
      <c r="AO258" s="0" t="n">
        <f aca="false">IF(P258=0,0,1)</f>
        <v>0</v>
      </c>
      <c r="AP258" s="0" t="n">
        <f aca="false">IF(Q258=0,0,1)</f>
        <v>0</v>
      </c>
      <c r="AQ258" s="0" t="n">
        <f aca="false">IF(R258=0,0,1)</f>
        <v>0</v>
      </c>
      <c r="AR258" s="0" t="n">
        <f aca="false">IF(S258=0,0,1)</f>
        <v>0</v>
      </c>
      <c r="AS258" s="0" t="n">
        <f aca="false">IF(T258=0,0,1)</f>
        <v>0</v>
      </c>
      <c r="AT258" s="0" t="n">
        <f aca="false">IF(U258=0,0,1)</f>
        <v>0</v>
      </c>
      <c r="AU258" s="0" t="n">
        <f aca="false">IF(V258=0,0,1)</f>
        <v>0</v>
      </c>
      <c r="AV258" s="0" t="n">
        <f aca="false">IF(W258=0,0,1)</f>
        <v>0</v>
      </c>
      <c r="AW258" s="26" t="n">
        <f aca="false">SUM(AA258:AV258)</f>
        <v>0</v>
      </c>
      <c r="AX258" s="27" t="n">
        <f aca="false">IF(X258=0,0,X258)</f>
        <v>0</v>
      </c>
      <c r="AY258" s="1" t="n">
        <f aca="false">IF(X258=0,0,A258)</f>
        <v>0</v>
      </c>
      <c r="AZ258" s="28" t="n">
        <f aca="false">IF(AX258=0,0,A$256)</f>
        <v>0</v>
      </c>
      <c r="BA258" s="55"/>
      <c r="BB258" s="30"/>
      <c r="BC258" s="56"/>
      <c r="BD258" s="27"/>
      <c r="BE258" s="26"/>
      <c r="BF258" s="32"/>
      <c r="BG258" s="33"/>
    </row>
    <row r="259" customFormat="false" ht="15" hidden="false" customHeight="false" outlineLevel="0" collapsed="false">
      <c r="A259" s="21" t="n">
        <f aca="false">B!$E$372</f>
        <v>0</v>
      </c>
      <c r="B259" s="22" t="n">
        <f aca="false">C!G111</f>
        <v>0</v>
      </c>
      <c r="C259" s="22" t="n">
        <f aca="false">D!G111</f>
        <v>0</v>
      </c>
      <c r="D259" s="22" t="n">
        <f aca="false">E!G111</f>
        <v>0</v>
      </c>
      <c r="E259" s="22" t="n">
        <f aca="false">F!G111</f>
        <v>0</v>
      </c>
      <c r="F259" s="22" t="n">
        <f aca="false">G!G111</f>
        <v>0</v>
      </c>
      <c r="G259" s="22" t="n">
        <f aca="false">H!G111</f>
        <v>0</v>
      </c>
      <c r="H259" s="22" t="n">
        <f aca="false">I!G111</f>
        <v>0</v>
      </c>
      <c r="I259" s="22" t="n">
        <f aca="false">J!G111</f>
        <v>0</v>
      </c>
      <c r="J259" s="22" t="n">
        <f aca="false">K!G111</f>
        <v>0</v>
      </c>
      <c r="K259" s="22" t="n">
        <f aca="false">L!G111</f>
        <v>0</v>
      </c>
      <c r="L259" s="22" t="n">
        <f aca="false">M!G111</f>
        <v>0</v>
      </c>
      <c r="M259" s="22" t="n">
        <f aca="false">N!G111</f>
        <v>0</v>
      </c>
      <c r="N259" s="22" t="n">
        <f aca="false">O!G111</f>
        <v>0</v>
      </c>
      <c r="O259" s="22" t="n">
        <f aca="false">P!G111</f>
        <v>0</v>
      </c>
      <c r="P259" s="22" t="n">
        <f aca="false">Q!G111</f>
        <v>0</v>
      </c>
      <c r="Q259" s="22" t="n">
        <f aca="false">R!G111</f>
        <v>0</v>
      </c>
      <c r="R259" s="22" t="n">
        <f aca="false">S!G111</f>
        <v>0</v>
      </c>
      <c r="S259" s="22" t="n">
        <f aca="false">T!G111</f>
        <v>0</v>
      </c>
      <c r="T259" s="22" t="n">
        <f aca="false">U!G111</f>
        <v>0</v>
      </c>
      <c r="U259" s="22" t="n">
        <f aca="false">V!G111</f>
        <v>0</v>
      </c>
      <c r="V259" s="22" t="n">
        <f aca="false">W!G111</f>
        <v>0</v>
      </c>
      <c r="W259" s="22" t="n">
        <f aca="false">X!G111</f>
        <v>0</v>
      </c>
      <c r="X259" s="23" t="n">
        <f aca="false">SUM(B259:W259)</f>
        <v>0</v>
      </c>
      <c r="Y259" s="24" t="n">
        <f aca="false">IF(AW259=0,0,X259/AW259)</f>
        <v>0</v>
      </c>
      <c r="Z259" s="25" t="n">
        <f aca="false">A259</f>
        <v>0</v>
      </c>
      <c r="AA259" s="16" t="n">
        <f aca="false">IF(B259=0,0,1)</f>
        <v>0</v>
      </c>
      <c r="AB259" s="0" t="n">
        <f aca="false">IF(C259=0,0,1)</f>
        <v>0</v>
      </c>
      <c r="AC259" s="0" t="n">
        <f aca="false">IF(D259=0,0,1)</f>
        <v>0</v>
      </c>
      <c r="AD259" s="0" t="n">
        <f aca="false">IF(E259=0,0,1)</f>
        <v>0</v>
      </c>
      <c r="AE259" s="0" t="n">
        <f aca="false">IF(F259=0,0,1)</f>
        <v>0</v>
      </c>
      <c r="AF259" s="0" t="n">
        <f aca="false">IF(G259=0,0,1)</f>
        <v>0</v>
      </c>
      <c r="AG259" s="0" t="n">
        <f aca="false">IF(H259=0,0,1)</f>
        <v>0</v>
      </c>
      <c r="AH259" s="0" t="n">
        <f aca="false">IF(I259=0,0,1)</f>
        <v>0</v>
      </c>
      <c r="AI259" s="0" t="n">
        <f aca="false">IF(J259=0,0,1)</f>
        <v>0</v>
      </c>
      <c r="AJ259" s="0" t="n">
        <f aca="false">IF(K259=0,0,1)</f>
        <v>0</v>
      </c>
      <c r="AK259" s="0" t="n">
        <f aca="false">IF(L259=0,0,1)</f>
        <v>0</v>
      </c>
      <c r="AL259" s="0" t="n">
        <f aca="false">IF(M259=0,0,1)</f>
        <v>0</v>
      </c>
      <c r="AM259" s="0" t="n">
        <f aca="false">IF(N259=0,0,1)</f>
        <v>0</v>
      </c>
      <c r="AN259" s="0" t="n">
        <f aca="false">IF(O259=0,0,1)</f>
        <v>0</v>
      </c>
      <c r="AO259" s="0" t="n">
        <f aca="false">IF(P259=0,0,1)</f>
        <v>0</v>
      </c>
      <c r="AP259" s="0" t="n">
        <f aca="false">IF(Q259=0,0,1)</f>
        <v>0</v>
      </c>
      <c r="AQ259" s="0" t="n">
        <f aca="false">IF(R259=0,0,1)</f>
        <v>0</v>
      </c>
      <c r="AR259" s="0" t="n">
        <f aca="false">IF(S259=0,0,1)</f>
        <v>0</v>
      </c>
      <c r="AS259" s="0" t="n">
        <f aca="false">IF(T259=0,0,1)</f>
        <v>0</v>
      </c>
      <c r="AT259" s="0" t="n">
        <f aca="false">IF(U259=0,0,1)</f>
        <v>0</v>
      </c>
      <c r="AU259" s="0" t="n">
        <f aca="false">IF(V259=0,0,1)</f>
        <v>0</v>
      </c>
      <c r="AV259" s="0" t="n">
        <f aca="false">IF(W259=0,0,1)</f>
        <v>0</v>
      </c>
      <c r="AW259" s="26" t="n">
        <f aca="false">SUM(AA259:AV259)</f>
        <v>0</v>
      </c>
      <c r="AX259" s="27" t="n">
        <f aca="false">IF(X259=0,0,X259)</f>
        <v>0</v>
      </c>
      <c r="AY259" s="1" t="n">
        <f aca="false">IF(X259=0,0,A259)</f>
        <v>0</v>
      </c>
      <c r="AZ259" s="28" t="n">
        <f aca="false">IF(AX259=0,0,A$256)</f>
        <v>0</v>
      </c>
      <c r="BA259" s="55"/>
      <c r="BB259" s="30"/>
      <c r="BC259" s="56"/>
      <c r="BD259" s="27"/>
      <c r="BE259" s="26"/>
      <c r="BF259" s="32"/>
      <c r="BG259" s="33"/>
    </row>
    <row r="260" customFormat="false" ht="15" hidden="false" customHeight="false" outlineLevel="0" collapsed="false">
      <c r="A260" s="21" t="n">
        <f aca="false">B!$E$377</f>
        <v>0</v>
      </c>
      <c r="B260" s="22" t="n">
        <f aca="false">C!G112</f>
        <v>0</v>
      </c>
      <c r="C260" s="22" t="n">
        <f aca="false">D!G112</f>
        <v>0</v>
      </c>
      <c r="D260" s="22" t="n">
        <f aca="false">E!G112</f>
        <v>0</v>
      </c>
      <c r="E260" s="22" t="n">
        <f aca="false">F!G112</f>
        <v>0</v>
      </c>
      <c r="F260" s="22" t="n">
        <f aca="false">G!G112</f>
        <v>0</v>
      </c>
      <c r="G260" s="22" t="n">
        <f aca="false">H!G112</f>
        <v>0</v>
      </c>
      <c r="H260" s="22" t="n">
        <f aca="false">I!G112</f>
        <v>0</v>
      </c>
      <c r="I260" s="22" t="n">
        <f aca="false">J!G112</f>
        <v>0</v>
      </c>
      <c r="J260" s="22" t="n">
        <f aca="false">K!G112</f>
        <v>0</v>
      </c>
      <c r="K260" s="22" t="n">
        <f aca="false">L!G112</f>
        <v>0</v>
      </c>
      <c r="L260" s="22" t="n">
        <f aca="false">M!G112</f>
        <v>0</v>
      </c>
      <c r="M260" s="22" t="n">
        <f aca="false">N!G112</f>
        <v>0</v>
      </c>
      <c r="N260" s="22" t="n">
        <f aca="false">O!G112</f>
        <v>0</v>
      </c>
      <c r="O260" s="22" t="n">
        <f aca="false">P!G112</f>
        <v>0</v>
      </c>
      <c r="P260" s="22" t="n">
        <f aca="false">Q!G112</f>
        <v>0</v>
      </c>
      <c r="Q260" s="22" t="n">
        <f aca="false">R!G112</f>
        <v>0</v>
      </c>
      <c r="R260" s="22" t="n">
        <f aca="false">S!G112</f>
        <v>0</v>
      </c>
      <c r="S260" s="22" t="n">
        <f aca="false">T!G112</f>
        <v>0</v>
      </c>
      <c r="T260" s="22" t="n">
        <f aca="false">U!G112</f>
        <v>0</v>
      </c>
      <c r="U260" s="22" t="n">
        <f aca="false">V!G112</f>
        <v>0</v>
      </c>
      <c r="V260" s="22" t="n">
        <f aca="false">W!G112</f>
        <v>0</v>
      </c>
      <c r="W260" s="22" t="n">
        <f aca="false">X!G112</f>
        <v>0</v>
      </c>
      <c r="X260" s="23" t="n">
        <f aca="false">SUM(B260:W260)</f>
        <v>0</v>
      </c>
      <c r="Y260" s="24" t="n">
        <f aca="false">IF(AW260=0,0,X260/AW260)</f>
        <v>0</v>
      </c>
      <c r="Z260" s="25" t="n">
        <f aca="false">A260</f>
        <v>0</v>
      </c>
      <c r="AA260" s="16" t="n">
        <f aca="false">IF(B260=0,0,1)</f>
        <v>0</v>
      </c>
      <c r="AB260" s="0" t="n">
        <f aca="false">IF(C260=0,0,1)</f>
        <v>0</v>
      </c>
      <c r="AC260" s="0" t="n">
        <f aca="false">IF(D260=0,0,1)</f>
        <v>0</v>
      </c>
      <c r="AD260" s="0" t="n">
        <f aca="false">IF(E260=0,0,1)</f>
        <v>0</v>
      </c>
      <c r="AE260" s="0" t="n">
        <f aca="false">IF(F260=0,0,1)</f>
        <v>0</v>
      </c>
      <c r="AF260" s="0" t="n">
        <f aca="false">IF(G260=0,0,1)</f>
        <v>0</v>
      </c>
      <c r="AG260" s="0" t="n">
        <f aca="false">IF(H260=0,0,1)</f>
        <v>0</v>
      </c>
      <c r="AH260" s="0" t="n">
        <f aca="false">IF(I260=0,0,1)</f>
        <v>0</v>
      </c>
      <c r="AI260" s="0" t="n">
        <f aca="false">IF(J260=0,0,1)</f>
        <v>0</v>
      </c>
      <c r="AJ260" s="0" t="n">
        <f aca="false">IF(K260=0,0,1)</f>
        <v>0</v>
      </c>
      <c r="AK260" s="0" t="n">
        <f aca="false">IF(L260=0,0,1)</f>
        <v>0</v>
      </c>
      <c r="AL260" s="0" t="n">
        <f aca="false">IF(M260=0,0,1)</f>
        <v>0</v>
      </c>
      <c r="AM260" s="0" t="n">
        <f aca="false">IF(N260=0,0,1)</f>
        <v>0</v>
      </c>
      <c r="AN260" s="0" t="n">
        <f aca="false">IF(O260=0,0,1)</f>
        <v>0</v>
      </c>
      <c r="AO260" s="0" t="n">
        <f aca="false">IF(P260=0,0,1)</f>
        <v>0</v>
      </c>
      <c r="AP260" s="0" t="n">
        <f aca="false">IF(Q260=0,0,1)</f>
        <v>0</v>
      </c>
      <c r="AQ260" s="0" t="n">
        <f aca="false">IF(R260=0,0,1)</f>
        <v>0</v>
      </c>
      <c r="AR260" s="0" t="n">
        <f aca="false">IF(S260=0,0,1)</f>
        <v>0</v>
      </c>
      <c r="AS260" s="0" t="n">
        <f aca="false">IF(T260=0,0,1)</f>
        <v>0</v>
      </c>
      <c r="AT260" s="0" t="n">
        <f aca="false">IF(U260=0,0,1)</f>
        <v>0</v>
      </c>
      <c r="AU260" s="0" t="n">
        <f aca="false">IF(V260=0,0,1)</f>
        <v>0</v>
      </c>
      <c r="AV260" s="0" t="n">
        <f aca="false">IF(W260=0,0,1)</f>
        <v>0</v>
      </c>
      <c r="AW260" s="26" t="n">
        <f aca="false">SUM(AA260:AV260)</f>
        <v>0</v>
      </c>
      <c r="AX260" s="27" t="n">
        <f aca="false">IF(X260=0,0,X260)</f>
        <v>0</v>
      </c>
      <c r="AY260" s="1" t="n">
        <f aca="false">IF(X260=0,0,A260)</f>
        <v>0</v>
      </c>
      <c r="AZ260" s="28" t="n">
        <f aca="false">IF(AX260=0,0,A$256)</f>
        <v>0</v>
      </c>
      <c r="BA260" s="55"/>
      <c r="BB260" s="30"/>
      <c r="BC260" s="56"/>
      <c r="BD260" s="27"/>
      <c r="BE260" s="26"/>
      <c r="BF260" s="32"/>
      <c r="BG260" s="33"/>
    </row>
    <row r="261" customFormat="false" ht="15" hidden="false" customHeight="false" outlineLevel="0" collapsed="false">
      <c r="A261" s="21" t="n">
        <f aca="false">B!$E$382</f>
        <v>0</v>
      </c>
      <c r="B261" s="22" t="n">
        <f aca="false">C!G113</f>
        <v>0</v>
      </c>
      <c r="C261" s="22" t="n">
        <f aca="false">D!G113</f>
        <v>0</v>
      </c>
      <c r="D261" s="22" t="n">
        <f aca="false">E!G113</f>
        <v>0</v>
      </c>
      <c r="E261" s="22" t="n">
        <f aca="false">F!G113</f>
        <v>0</v>
      </c>
      <c r="F261" s="22" t="n">
        <f aca="false">G!G113</f>
        <v>0</v>
      </c>
      <c r="G261" s="22" t="n">
        <f aca="false">H!G113</f>
        <v>0</v>
      </c>
      <c r="H261" s="22" t="n">
        <f aca="false">I!G113</f>
        <v>0</v>
      </c>
      <c r="I261" s="22" t="n">
        <f aca="false">J!G113</f>
        <v>0</v>
      </c>
      <c r="J261" s="22" t="n">
        <f aca="false">K!G113</f>
        <v>0</v>
      </c>
      <c r="K261" s="22" t="n">
        <f aca="false">L!G113</f>
        <v>0</v>
      </c>
      <c r="L261" s="22" t="n">
        <f aca="false">M!G113</f>
        <v>0</v>
      </c>
      <c r="M261" s="22" t="n">
        <f aca="false">N!G113</f>
        <v>0</v>
      </c>
      <c r="N261" s="22" t="n">
        <f aca="false">O!G113</f>
        <v>0</v>
      </c>
      <c r="O261" s="22" t="n">
        <f aca="false">P!G113</f>
        <v>0</v>
      </c>
      <c r="P261" s="22" t="n">
        <f aca="false">Q!G113</f>
        <v>0</v>
      </c>
      <c r="Q261" s="22" t="n">
        <f aca="false">R!G113</f>
        <v>0</v>
      </c>
      <c r="R261" s="22" t="n">
        <f aca="false">S!G113</f>
        <v>0</v>
      </c>
      <c r="S261" s="22" t="n">
        <f aca="false">T!G113</f>
        <v>0</v>
      </c>
      <c r="T261" s="22" t="n">
        <f aca="false">U!G113</f>
        <v>0</v>
      </c>
      <c r="U261" s="22" t="n">
        <f aca="false">V!G113</f>
        <v>0</v>
      </c>
      <c r="V261" s="22" t="n">
        <f aca="false">W!G113</f>
        <v>0</v>
      </c>
      <c r="W261" s="22" t="n">
        <f aca="false">X!G113</f>
        <v>0</v>
      </c>
      <c r="X261" s="23" t="n">
        <f aca="false">SUM(B261:W261)</f>
        <v>0</v>
      </c>
      <c r="Y261" s="24" t="n">
        <f aca="false">IF(AW261=0,0,X261/AW261)</f>
        <v>0</v>
      </c>
      <c r="Z261" s="25" t="n">
        <f aca="false">A261</f>
        <v>0</v>
      </c>
      <c r="AA261" s="16" t="n">
        <f aca="false">IF(B261=0,0,1)</f>
        <v>0</v>
      </c>
      <c r="AB261" s="0" t="n">
        <f aca="false">IF(C261=0,0,1)</f>
        <v>0</v>
      </c>
      <c r="AC261" s="0" t="n">
        <f aca="false">IF(D261=0,0,1)</f>
        <v>0</v>
      </c>
      <c r="AD261" s="0" t="n">
        <f aca="false">IF(E261=0,0,1)</f>
        <v>0</v>
      </c>
      <c r="AE261" s="0" t="n">
        <f aca="false">IF(F261=0,0,1)</f>
        <v>0</v>
      </c>
      <c r="AF261" s="0" t="n">
        <f aca="false">IF(G261=0,0,1)</f>
        <v>0</v>
      </c>
      <c r="AG261" s="0" t="n">
        <f aca="false">IF(H261=0,0,1)</f>
        <v>0</v>
      </c>
      <c r="AH261" s="0" t="n">
        <f aca="false">IF(I261=0,0,1)</f>
        <v>0</v>
      </c>
      <c r="AI261" s="0" t="n">
        <f aca="false">IF(J261=0,0,1)</f>
        <v>0</v>
      </c>
      <c r="AJ261" s="0" t="n">
        <f aca="false">IF(K261=0,0,1)</f>
        <v>0</v>
      </c>
      <c r="AK261" s="0" t="n">
        <f aca="false">IF(L261=0,0,1)</f>
        <v>0</v>
      </c>
      <c r="AL261" s="0" t="n">
        <f aca="false">IF(M261=0,0,1)</f>
        <v>0</v>
      </c>
      <c r="AM261" s="0" t="n">
        <f aca="false">IF(N261=0,0,1)</f>
        <v>0</v>
      </c>
      <c r="AN261" s="0" t="n">
        <f aca="false">IF(O261=0,0,1)</f>
        <v>0</v>
      </c>
      <c r="AO261" s="0" t="n">
        <f aca="false">IF(P261=0,0,1)</f>
        <v>0</v>
      </c>
      <c r="AP261" s="0" t="n">
        <f aca="false">IF(Q261=0,0,1)</f>
        <v>0</v>
      </c>
      <c r="AQ261" s="0" t="n">
        <f aca="false">IF(R261=0,0,1)</f>
        <v>0</v>
      </c>
      <c r="AR261" s="0" t="n">
        <f aca="false">IF(S261=0,0,1)</f>
        <v>0</v>
      </c>
      <c r="AS261" s="0" t="n">
        <f aca="false">IF(T261=0,0,1)</f>
        <v>0</v>
      </c>
      <c r="AT261" s="0" t="n">
        <f aca="false">IF(U261=0,0,1)</f>
        <v>0</v>
      </c>
      <c r="AU261" s="0" t="n">
        <f aca="false">IF(V261=0,0,1)</f>
        <v>0</v>
      </c>
      <c r="AV261" s="0" t="n">
        <f aca="false">IF(W261=0,0,1)</f>
        <v>0</v>
      </c>
      <c r="AW261" s="26" t="n">
        <f aca="false">SUM(AA261:AV261)</f>
        <v>0</v>
      </c>
      <c r="AX261" s="27" t="n">
        <f aca="false">IF(X261=0,0,X261)</f>
        <v>0</v>
      </c>
      <c r="AY261" s="1" t="n">
        <f aca="false">IF(X261=0,0,A261)</f>
        <v>0</v>
      </c>
      <c r="AZ261" s="28" t="n">
        <f aca="false">IF(AX261=0,0,A$256)</f>
        <v>0</v>
      </c>
      <c r="BA261" s="55"/>
      <c r="BB261" s="30"/>
      <c r="BC261" s="56"/>
      <c r="BD261" s="27"/>
      <c r="BE261" s="26"/>
      <c r="BF261" s="32"/>
      <c r="BG261" s="33"/>
    </row>
    <row r="262" customFormat="false" ht="15" hidden="false" customHeight="false" outlineLevel="0" collapsed="false">
      <c r="A262" s="21" t="n">
        <f aca="false">B!$E$387</f>
        <v>0</v>
      </c>
      <c r="B262" s="22" t="n">
        <f aca="false">C!G114</f>
        <v>0</v>
      </c>
      <c r="C262" s="22" t="n">
        <f aca="false">D!G114</f>
        <v>0</v>
      </c>
      <c r="D262" s="22" t="n">
        <f aca="false">E!G114</f>
        <v>0</v>
      </c>
      <c r="E262" s="22" t="n">
        <f aca="false">F!G114</f>
        <v>0</v>
      </c>
      <c r="F262" s="22" t="n">
        <f aca="false">G!G114</f>
        <v>0</v>
      </c>
      <c r="G262" s="22" t="n">
        <f aca="false">H!G114</f>
        <v>0</v>
      </c>
      <c r="H262" s="22" t="n">
        <f aca="false">I!G114</f>
        <v>0</v>
      </c>
      <c r="I262" s="22" t="n">
        <f aca="false">J!G114</f>
        <v>0</v>
      </c>
      <c r="J262" s="22" t="n">
        <f aca="false">K!G114</f>
        <v>0</v>
      </c>
      <c r="K262" s="22" t="n">
        <f aca="false">L!G114</f>
        <v>0</v>
      </c>
      <c r="L262" s="22" t="n">
        <f aca="false">M!G114</f>
        <v>0</v>
      </c>
      <c r="M262" s="22" t="n">
        <f aca="false">N!G114</f>
        <v>0</v>
      </c>
      <c r="N262" s="22" t="n">
        <f aca="false">O!G114</f>
        <v>0</v>
      </c>
      <c r="O262" s="22" t="n">
        <f aca="false">P!G114</f>
        <v>0</v>
      </c>
      <c r="P262" s="22" t="n">
        <f aca="false">Q!G114</f>
        <v>0</v>
      </c>
      <c r="Q262" s="22" t="n">
        <f aca="false">R!G114</f>
        <v>0</v>
      </c>
      <c r="R262" s="22" t="n">
        <f aca="false">S!G114</f>
        <v>0</v>
      </c>
      <c r="S262" s="22" t="n">
        <f aca="false">T!G114</f>
        <v>0</v>
      </c>
      <c r="T262" s="22" t="n">
        <f aca="false">U!G114</f>
        <v>0</v>
      </c>
      <c r="U262" s="22" t="n">
        <f aca="false">V!G114</f>
        <v>0</v>
      </c>
      <c r="V262" s="22" t="n">
        <f aca="false">W!G114</f>
        <v>0</v>
      </c>
      <c r="W262" s="22" t="n">
        <f aca="false">X!G114</f>
        <v>0</v>
      </c>
      <c r="X262" s="23" t="n">
        <f aca="false">SUM(B262:W262)</f>
        <v>0</v>
      </c>
      <c r="Y262" s="24" t="n">
        <f aca="false">IF(AW262=0,0,X262/AW262)</f>
        <v>0</v>
      </c>
      <c r="Z262" s="25" t="n">
        <f aca="false">A262</f>
        <v>0</v>
      </c>
      <c r="AA262" s="16" t="n">
        <f aca="false">IF(B262=0,0,1)</f>
        <v>0</v>
      </c>
      <c r="AB262" s="0" t="n">
        <f aca="false">IF(C262=0,0,1)</f>
        <v>0</v>
      </c>
      <c r="AC262" s="0" t="n">
        <f aca="false">IF(D262=0,0,1)</f>
        <v>0</v>
      </c>
      <c r="AD262" s="0" t="n">
        <f aca="false">IF(E262=0,0,1)</f>
        <v>0</v>
      </c>
      <c r="AE262" s="0" t="n">
        <f aca="false">IF(F262=0,0,1)</f>
        <v>0</v>
      </c>
      <c r="AF262" s="0" t="n">
        <f aca="false">IF(G262=0,0,1)</f>
        <v>0</v>
      </c>
      <c r="AG262" s="0" t="n">
        <f aca="false">IF(H262=0,0,1)</f>
        <v>0</v>
      </c>
      <c r="AH262" s="0" t="n">
        <f aca="false">IF(I262=0,0,1)</f>
        <v>0</v>
      </c>
      <c r="AI262" s="0" t="n">
        <f aca="false">IF(J262=0,0,1)</f>
        <v>0</v>
      </c>
      <c r="AJ262" s="0" t="n">
        <f aca="false">IF(K262=0,0,1)</f>
        <v>0</v>
      </c>
      <c r="AK262" s="0" t="n">
        <f aca="false">IF(L262=0,0,1)</f>
        <v>0</v>
      </c>
      <c r="AL262" s="0" t="n">
        <f aca="false">IF(M262=0,0,1)</f>
        <v>0</v>
      </c>
      <c r="AM262" s="0" t="n">
        <f aca="false">IF(N262=0,0,1)</f>
        <v>0</v>
      </c>
      <c r="AN262" s="0" t="n">
        <f aca="false">IF(O262=0,0,1)</f>
        <v>0</v>
      </c>
      <c r="AO262" s="0" t="n">
        <f aca="false">IF(P262=0,0,1)</f>
        <v>0</v>
      </c>
      <c r="AP262" s="0" t="n">
        <f aca="false">IF(Q262=0,0,1)</f>
        <v>0</v>
      </c>
      <c r="AQ262" s="0" t="n">
        <f aca="false">IF(R262=0,0,1)</f>
        <v>0</v>
      </c>
      <c r="AR262" s="0" t="n">
        <f aca="false">IF(S262=0,0,1)</f>
        <v>0</v>
      </c>
      <c r="AS262" s="0" t="n">
        <f aca="false">IF(T262=0,0,1)</f>
        <v>0</v>
      </c>
      <c r="AT262" s="0" t="n">
        <f aca="false">IF(U262=0,0,1)</f>
        <v>0</v>
      </c>
      <c r="AU262" s="0" t="n">
        <f aca="false">IF(V262=0,0,1)</f>
        <v>0</v>
      </c>
      <c r="AV262" s="0" t="n">
        <f aca="false">IF(W262=0,0,1)</f>
        <v>0</v>
      </c>
      <c r="AW262" s="26" t="n">
        <f aca="false">SUM(AA262:AV262)</f>
        <v>0</v>
      </c>
      <c r="AX262" s="27" t="n">
        <f aca="false">IF(X262=0,0,X262)</f>
        <v>0</v>
      </c>
      <c r="AY262" s="1" t="n">
        <f aca="false">IF(X262=0,0,A262)</f>
        <v>0</v>
      </c>
      <c r="AZ262" s="28" t="n">
        <f aca="false">IF(AX262=0,0,A$256)</f>
        <v>0</v>
      </c>
      <c r="BA262" s="55"/>
      <c r="BB262" s="30"/>
      <c r="BC262" s="56"/>
      <c r="BD262" s="27"/>
      <c r="BE262" s="26"/>
      <c r="BF262" s="32"/>
      <c r="BG262" s="33"/>
    </row>
    <row r="263" customFormat="false" ht="15" hidden="false" customHeight="false" outlineLevel="0" collapsed="false">
      <c r="A263" s="21" t="n">
        <f aca="false">B!$E$392</f>
        <v>0</v>
      </c>
      <c r="B263" s="22" t="n">
        <f aca="false">C!G115</f>
        <v>0</v>
      </c>
      <c r="C263" s="22" t="n">
        <f aca="false">D!G115</f>
        <v>0</v>
      </c>
      <c r="D263" s="22" t="n">
        <f aca="false">E!G115</f>
        <v>0</v>
      </c>
      <c r="E263" s="22" t="n">
        <f aca="false">F!G115</f>
        <v>0</v>
      </c>
      <c r="F263" s="22" t="n">
        <f aca="false">G!G115</f>
        <v>0</v>
      </c>
      <c r="G263" s="22" t="n">
        <f aca="false">H!G115</f>
        <v>0</v>
      </c>
      <c r="H263" s="22" t="n">
        <f aca="false">I!G115</f>
        <v>0</v>
      </c>
      <c r="I263" s="22" t="n">
        <f aca="false">J!G115</f>
        <v>0</v>
      </c>
      <c r="J263" s="22" t="n">
        <f aca="false">K!G115</f>
        <v>0</v>
      </c>
      <c r="K263" s="22" t="n">
        <f aca="false">L!G115</f>
        <v>0</v>
      </c>
      <c r="L263" s="22" t="n">
        <f aca="false">M!G115</f>
        <v>0</v>
      </c>
      <c r="M263" s="22" t="n">
        <f aca="false">N!G115</f>
        <v>0</v>
      </c>
      <c r="N263" s="22" t="n">
        <f aca="false">O!G115</f>
        <v>0</v>
      </c>
      <c r="O263" s="22" t="n">
        <f aca="false">P!G115</f>
        <v>0</v>
      </c>
      <c r="P263" s="22" t="n">
        <f aca="false">Q!G115</f>
        <v>0</v>
      </c>
      <c r="Q263" s="22" t="n">
        <f aca="false">R!G115</f>
        <v>0</v>
      </c>
      <c r="R263" s="22" t="n">
        <f aca="false">S!G115</f>
        <v>0</v>
      </c>
      <c r="S263" s="22" t="n">
        <f aca="false">T!G115</f>
        <v>0</v>
      </c>
      <c r="T263" s="22" t="n">
        <f aca="false">U!G115</f>
        <v>0</v>
      </c>
      <c r="U263" s="22" t="n">
        <f aca="false">V!G115</f>
        <v>0</v>
      </c>
      <c r="V263" s="22" t="n">
        <f aca="false">W!G115</f>
        <v>0</v>
      </c>
      <c r="W263" s="22" t="n">
        <f aca="false">X!G115</f>
        <v>0</v>
      </c>
      <c r="X263" s="23" t="n">
        <f aca="false">SUM(B263:W263)</f>
        <v>0</v>
      </c>
      <c r="Y263" s="24" t="n">
        <f aca="false">IF(AW263=0,0,X263/AW263)</f>
        <v>0</v>
      </c>
      <c r="Z263" s="25" t="n">
        <f aca="false">A263</f>
        <v>0</v>
      </c>
      <c r="AA263" s="16" t="n">
        <f aca="false">IF(B263=0,0,1)</f>
        <v>0</v>
      </c>
      <c r="AB263" s="0" t="n">
        <f aca="false">IF(C263=0,0,1)</f>
        <v>0</v>
      </c>
      <c r="AC263" s="0" t="n">
        <f aca="false">IF(D263=0,0,1)</f>
        <v>0</v>
      </c>
      <c r="AD263" s="0" t="n">
        <f aca="false">IF(E263=0,0,1)</f>
        <v>0</v>
      </c>
      <c r="AE263" s="0" t="n">
        <f aca="false">IF(F263=0,0,1)</f>
        <v>0</v>
      </c>
      <c r="AF263" s="0" t="n">
        <f aca="false">IF(G263=0,0,1)</f>
        <v>0</v>
      </c>
      <c r="AG263" s="0" t="n">
        <f aca="false">IF(H263=0,0,1)</f>
        <v>0</v>
      </c>
      <c r="AH263" s="0" t="n">
        <f aca="false">IF(I263=0,0,1)</f>
        <v>0</v>
      </c>
      <c r="AI263" s="0" t="n">
        <f aca="false">IF(J263=0,0,1)</f>
        <v>0</v>
      </c>
      <c r="AJ263" s="0" t="n">
        <f aca="false">IF(K263=0,0,1)</f>
        <v>0</v>
      </c>
      <c r="AK263" s="0" t="n">
        <f aca="false">IF(L263=0,0,1)</f>
        <v>0</v>
      </c>
      <c r="AL263" s="0" t="n">
        <f aca="false">IF(M263=0,0,1)</f>
        <v>0</v>
      </c>
      <c r="AM263" s="0" t="n">
        <f aca="false">IF(N263=0,0,1)</f>
        <v>0</v>
      </c>
      <c r="AN263" s="0" t="n">
        <f aca="false">IF(O263=0,0,1)</f>
        <v>0</v>
      </c>
      <c r="AO263" s="0" t="n">
        <f aca="false">IF(P263=0,0,1)</f>
        <v>0</v>
      </c>
      <c r="AP263" s="0" t="n">
        <f aca="false">IF(Q263=0,0,1)</f>
        <v>0</v>
      </c>
      <c r="AQ263" s="0" t="n">
        <f aca="false">IF(R263=0,0,1)</f>
        <v>0</v>
      </c>
      <c r="AR263" s="0" t="n">
        <f aca="false">IF(S263=0,0,1)</f>
        <v>0</v>
      </c>
      <c r="AS263" s="0" t="n">
        <f aca="false">IF(T263=0,0,1)</f>
        <v>0</v>
      </c>
      <c r="AT263" s="0" t="n">
        <f aca="false">IF(U263=0,0,1)</f>
        <v>0</v>
      </c>
      <c r="AU263" s="0" t="n">
        <f aca="false">IF(V263=0,0,1)</f>
        <v>0</v>
      </c>
      <c r="AV263" s="0" t="n">
        <f aca="false">IF(W263=0,0,1)</f>
        <v>0</v>
      </c>
      <c r="AW263" s="26" t="n">
        <f aca="false">SUM(AA263:AV263)</f>
        <v>0</v>
      </c>
      <c r="AX263" s="27" t="n">
        <f aca="false">IF(X263=0,0,X263)</f>
        <v>0</v>
      </c>
      <c r="AY263" s="1" t="n">
        <f aca="false">IF(X263=0,0,A263)</f>
        <v>0</v>
      </c>
      <c r="AZ263" s="28" t="n">
        <f aca="false">IF(AX263=0,0,A$256)</f>
        <v>0</v>
      </c>
      <c r="BA263" s="55"/>
      <c r="BB263" s="30"/>
      <c r="BC263" s="56"/>
      <c r="BD263" s="27"/>
      <c r="BE263" s="26"/>
      <c r="BF263" s="32"/>
      <c r="BG263" s="33"/>
    </row>
    <row r="264" customFormat="false" ht="15" hidden="false" customHeight="false" outlineLevel="0" collapsed="false">
      <c r="A264" s="21" t="n">
        <f aca="false">B!$E$397</f>
        <v>0</v>
      </c>
      <c r="B264" s="22" t="n">
        <f aca="false">C!G116</f>
        <v>0</v>
      </c>
      <c r="C264" s="22" t="n">
        <f aca="false">D!G116</f>
        <v>0</v>
      </c>
      <c r="D264" s="22" t="n">
        <f aca="false">E!G116</f>
        <v>0</v>
      </c>
      <c r="E264" s="22" t="n">
        <f aca="false">F!G116</f>
        <v>0</v>
      </c>
      <c r="F264" s="22" t="n">
        <f aca="false">G!G116</f>
        <v>0</v>
      </c>
      <c r="G264" s="22" t="n">
        <f aca="false">H!G116</f>
        <v>0</v>
      </c>
      <c r="H264" s="22" t="n">
        <f aca="false">I!G116</f>
        <v>0</v>
      </c>
      <c r="I264" s="22" t="n">
        <f aca="false">J!G116</f>
        <v>0</v>
      </c>
      <c r="J264" s="22" t="n">
        <f aca="false">K!G116</f>
        <v>0</v>
      </c>
      <c r="K264" s="22" t="n">
        <f aca="false">L!G116</f>
        <v>0</v>
      </c>
      <c r="L264" s="22" t="n">
        <f aca="false">M!G116</f>
        <v>0</v>
      </c>
      <c r="M264" s="22" t="n">
        <f aca="false">N!G116</f>
        <v>0</v>
      </c>
      <c r="N264" s="22" t="n">
        <f aca="false">O!G116</f>
        <v>0</v>
      </c>
      <c r="O264" s="22" t="n">
        <f aca="false">P!G116</f>
        <v>0</v>
      </c>
      <c r="P264" s="22" t="n">
        <f aca="false">Q!G116</f>
        <v>0</v>
      </c>
      <c r="Q264" s="22" t="n">
        <f aca="false">R!G116</f>
        <v>0</v>
      </c>
      <c r="R264" s="22" t="n">
        <f aca="false">S!G116</f>
        <v>0</v>
      </c>
      <c r="S264" s="22" t="n">
        <f aca="false">T!G116</f>
        <v>0</v>
      </c>
      <c r="T264" s="22" t="n">
        <f aca="false">U!G116</f>
        <v>0</v>
      </c>
      <c r="U264" s="22" t="n">
        <f aca="false">V!G116</f>
        <v>0</v>
      </c>
      <c r="V264" s="22" t="n">
        <f aca="false">W!G116</f>
        <v>0</v>
      </c>
      <c r="W264" s="22" t="n">
        <f aca="false">X!G116</f>
        <v>0</v>
      </c>
      <c r="X264" s="23" t="n">
        <f aca="false">SUM(B264:W264)</f>
        <v>0</v>
      </c>
      <c r="Y264" s="24" t="n">
        <f aca="false">IF(AW264=0,0,X264/AW264)</f>
        <v>0</v>
      </c>
      <c r="Z264" s="25" t="n">
        <f aca="false">A264</f>
        <v>0</v>
      </c>
      <c r="AA264" s="16" t="n">
        <f aca="false">IF(B264=0,0,1)</f>
        <v>0</v>
      </c>
      <c r="AB264" s="0" t="n">
        <f aca="false">IF(C264=0,0,1)</f>
        <v>0</v>
      </c>
      <c r="AC264" s="0" t="n">
        <f aca="false">IF(D264=0,0,1)</f>
        <v>0</v>
      </c>
      <c r="AD264" s="0" t="n">
        <f aca="false">IF(E264=0,0,1)</f>
        <v>0</v>
      </c>
      <c r="AE264" s="0" t="n">
        <f aca="false">IF(F264=0,0,1)</f>
        <v>0</v>
      </c>
      <c r="AF264" s="0" t="n">
        <f aca="false">IF(G264=0,0,1)</f>
        <v>0</v>
      </c>
      <c r="AG264" s="0" t="n">
        <f aca="false">IF(H264=0,0,1)</f>
        <v>0</v>
      </c>
      <c r="AH264" s="0" t="n">
        <f aca="false">IF(I264=0,0,1)</f>
        <v>0</v>
      </c>
      <c r="AI264" s="0" t="n">
        <f aca="false">IF(J264=0,0,1)</f>
        <v>0</v>
      </c>
      <c r="AJ264" s="0" t="n">
        <f aca="false">IF(K264=0,0,1)</f>
        <v>0</v>
      </c>
      <c r="AK264" s="0" t="n">
        <f aca="false">IF(L264=0,0,1)</f>
        <v>0</v>
      </c>
      <c r="AL264" s="0" t="n">
        <f aca="false">IF(M264=0,0,1)</f>
        <v>0</v>
      </c>
      <c r="AM264" s="0" t="n">
        <f aca="false">IF(N264=0,0,1)</f>
        <v>0</v>
      </c>
      <c r="AN264" s="0" t="n">
        <f aca="false">IF(O264=0,0,1)</f>
        <v>0</v>
      </c>
      <c r="AO264" s="0" t="n">
        <f aca="false">IF(P264=0,0,1)</f>
        <v>0</v>
      </c>
      <c r="AP264" s="0" t="n">
        <f aca="false">IF(Q264=0,0,1)</f>
        <v>0</v>
      </c>
      <c r="AQ264" s="0" t="n">
        <f aca="false">IF(R264=0,0,1)</f>
        <v>0</v>
      </c>
      <c r="AR264" s="0" t="n">
        <f aca="false">IF(S264=0,0,1)</f>
        <v>0</v>
      </c>
      <c r="AS264" s="0" t="n">
        <f aca="false">IF(T264=0,0,1)</f>
        <v>0</v>
      </c>
      <c r="AT264" s="0" t="n">
        <f aca="false">IF(U264=0,0,1)</f>
        <v>0</v>
      </c>
      <c r="AU264" s="0" t="n">
        <f aca="false">IF(V264=0,0,1)</f>
        <v>0</v>
      </c>
      <c r="AV264" s="0" t="n">
        <f aca="false">IF(W264=0,0,1)</f>
        <v>0</v>
      </c>
      <c r="AW264" s="26" t="n">
        <f aca="false">SUM(AA264:AV264)</f>
        <v>0</v>
      </c>
      <c r="AX264" s="27" t="n">
        <f aca="false">IF(X264=0,0,X264)</f>
        <v>0</v>
      </c>
      <c r="AY264" s="1" t="n">
        <f aca="false">IF(X264=0,0,A264)</f>
        <v>0</v>
      </c>
      <c r="AZ264" s="28" t="n">
        <f aca="false">IF(AX264=0,0,A$256)</f>
        <v>0</v>
      </c>
      <c r="BA264" s="55"/>
      <c r="BB264" s="30"/>
      <c r="BC264" s="56"/>
      <c r="BD264" s="27"/>
      <c r="BE264" s="26"/>
      <c r="BF264" s="32"/>
      <c r="BG264" s="33"/>
    </row>
    <row r="265" customFormat="false" ht="15" hidden="false" customHeight="false" outlineLevel="0" collapsed="false">
      <c r="A265" s="38" t="s">
        <v>60</v>
      </c>
      <c r="B265" s="39" t="n">
        <f aca="false">SUM(B257:B264)</f>
        <v>0</v>
      </c>
      <c r="C265" s="39" t="n">
        <f aca="false">SUM(C257:C264)</f>
        <v>0</v>
      </c>
      <c r="D265" s="39" t="n">
        <f aca="false">SUM(D257:D264)</f>
        <v>0</v>
      </c>
      <c r="E265" s="39" t="n">
        <f aca="false">SUM(E257:E264)</f>
        <v>0</v>
      </c>
      <c r="F265" s="39" t="n">
        <f aca="false">SUM(F257:F264)</f>
        <v>0</v>
      </c>
      <c r="G265" s="39" t="n">
        <f aca="false">SUM(G257:G264)</f>
        <v>0</v>
      </c>
      <c r="H265" s="39" t="n">
        <f aca="false">SUM(H257:H264)</f>
        <v>0</v>
      </c>
      <c r="I265" s="39" t="n">
        <f aca="false">SUM(I257:I264)</f>
        <v>0</v>
      </c>
      <c r="J265" s="39" t="n">
        <f aca="false">SUM(J257:J264)</f>
        <v>0</v>
      </c>
      <c r="K265" s="39" t="n">
        <f aca="false">SUM(K257:K264)</f>
        <v>0</v>
      </c>
      <c r="L265" s="39" t="n">
        <f aca="false">SUM(L257:L264)</f>
        <v>0</v>
      </c>
      <c r="M265" s="39" t="n">
        <f aca="false">SUM(M257:M264)</f>
        <v>0</v>
      </c>
      <c r="N265" s="39" t="n">
        <f aca="false">SUM(N257:N264)</f>
        <v>0</v>
      </c>
      <c r="O265" s="39" t="n">
        <f aca="false">SUM(O257:O264)</f>
        <v>0</v>
      </c>
      <c r="P265" s="39" t="n">
        <f aca="false">SUM(P257:P264)</f>
        <v>0</v>
      </c>
      <c r="Q265" s="39" t="n">
        <f aca="false">SUM(Q257:Q264)</f>
        <v>0</v>
      </c>
      <c r="R265" s="39" t="n">
        <f aca="false">SUM(R257:R264)</f>
        <v>0</v>
      </c>
      <c r="S265" s="39" t="n">
        <f aca="false">SUM(S257:S264)</f>
        <v>0</v>
      </c>
      <c r="T265" s="39" t="n">
        <f aca="false">SUM(T257:T264)</f>
        <v>0</v>
      </c>
      <c r="U265" s="39" t="n">
        <f aca="false">SUM(U257:U264)</f>
        <v>0</v>
      </c>
      <c r="V265" s="39" t="n">
        <f aca="false">SUM(V257:V264)</f>
        <v>0</v>
      </c>
      <c r="W265" s="39" t="n">
        <f aca="false">SUM(W257:W264)</f>
        <v>0</v>
      </c>
      <c r="X265" s="40" t="n">
        <f aca="false">SUM(B265:W265)</f>
        <v>0</v>
      </c>
      <c r="Y265" s="41" t="n">
        <f aca="false">IF(X265=0,0,X265/AW265)</f>
        <v>0</v>
      </c>
      <c r="Z265" s="25"/>
      <c r="AA265" s="42" t="n">
        <f aca="false">SUM(AA257:AA264)</f>
        <v>0</v>
      </c>
      <c r="AB265" s="43" t="n">
        <f aca="false">SUM(AB257:AB264)</f>
        <v>0</v>
      </c>
      <c r="AC265" s="43" t="n">
        <f aca="false">SUM(AC257:AC264)</f>
        <v>0</v>
      </c>
      <c r="AD265" s="43" t="n">
        <f aca="false">SUM(AD257:AD264)</f>
        <v>0</v>
      </c>
      <c r="AE265" s="43" t="n">
        <f aca="false">SUM(AE257:AE264)</f>
        <v>0</v>
      </c>
      <c r="AF265" s="43" t="n">
        <f aca="false">SUM(AF257:AF264)</f>
        <v>0</v>
      </c>
      <c r="AG265" s="43" t="n">
        <f aca="false">SUM(AG257:AG264)</f>
        <v>0</v>
      </c>
      <c r="AH265" s="43" t="n">
        <f aca="false">SUM(AH257:AH264)</f>
        <v>0</v>
      </c>
      <c r="AI265" s="43" t="n">
        <f aca="false">SUM(AI257:AI264)</f>
        <v>0</v>
      </c>
      <c r="AJ265" s="43" t="n">
        <f aca="false">SUM(AJ257:AJ264)</f>
        <v>0</v>
      </c>
      <c r="AK265" s="43" t="n">
        <f aca="false">SUM(AK257:AK264)</f>
        <v>0</v>
      </c>
      <c r="AL265" s="43" t="n">
        <f aca="false">SUM(AL257:AL264)</f>
        <v>0</v>
      </c>
      <c r="AM265" s="43" t="n">
        <f aca="false">SUM(AM257:AM264)</f>
        <v>0</v>
      </c>
      <c r="AN265" s="43" t="n">
        <f aca="false">SUM(AN257:AN264)</f>
        <v>0</v>
      </c>
      <c r="AO265" s="43" t="n">
        <f aca="false">SUM(AO257:AO264)</f>
        <v>0</v>
      </c>
      <c r="AP265" s="43" t="n">
        <f aca="false">SUM(AP257:AP264)</f>
        <v>0</v>
      </c>
      <c r="AQ265" s="43" t="n">
        <f aca="false">SUM(AQ257:AQ264)</f>
        <v>0</v>
      </c>
      <c r="AR265" s="43" t="n">
        <f aca="false">SUM(AR257:AR264)</f>
        <v>0</v>
      </c>
      <c r="AS265" s="43" t="n">
        <f aca="false">SUM(AS257:AS264)</f>
        <v>0</v>
      </c>
      <c r="AT265" s="43" t="n">
        <f aca="false">SUM(AT257:AT264)</f>
        <v>0</v>
      </c>
      <c r="AU265" s="43" t="n">
        <f aca="false">SUM(AU257:AU264)</f>
        <v>0</v>
      </c>
      <c r="AV265" s="43" t="n">
        <f aca="false">SUM(AV257:AV264)</f>
        <v>0</v>
      </c>
      <c r="AW265" s="44" t="n">
        <f aca="false">MAXA(AW257:AW264)</f>
        <v>0</v>
      </c>
      <c r="AX265" s="27"/>
      <c r="AZ265" s="28"/>
      <c r="BA265" s="55"/>
      <c r="BB265" s="30"/>
      <c r="BC265" s="56"/>
      <c r="BD265" s="27"/>
      <c r="BE265" s="26"/>
      <c r="BF265" s="32"/>
      <c r="BG265" s="33"/>
    </row>
    <row r="266" customFormat="false" ht="15" hidden="false" customHeight="false" outlineLevel="0" collapsed="false">
      <c r="A266" s="54" t="s">
        <v>64</v>
      </c>
      <c r="B266" s="22" t="n">
        <f aca="false">C!G117</f>
        <v>0</v>
      </c>
      <c r="C266" s="22" t="n">
        <f aca="false">D!G117</f>
        <v>0</v>
      </c>
      <c r="D266" s="22" t="n">
        <f aca="false">E!G117</f>
        <v>0</v>
      </c>
      <c r="E266" s="22" t="n">
        <f aca="false">F!G117</f>
        <v>0</v>
      </c>
      <c r="F266" s="22" t="n">
        <f aca="false">G!G117</f>
        <v>0</v>
      </c>
      <c r="G266" s="22" t="n">
        <f aca="false">H!G117</f>
        <v>0</v>
      </c>
      <c r="H266" s="22" t="n">
        <f aca="false">I!G117</f>
        <v>0</v>
      </c>
      <c r="I266" s="22" t="n">
        <f aca="false">J!G117</f>
        <v>0</v>
      </c>
      <c r="J266" s="22" t="n">
        <f aca="false">K!G117</f>
        <v>0</v>
      </c>
      <c r="K266" s="22" t="n">
        <f aca="false">L!G117</f>
        <v>0</v>
      </c>
      <c r="L266" s="22" t="n">
        <f aca="false">M!G117</f>
        <v>0</v>
      </c>
      <c r="M266" s="22" t="n">
        <f aca="false">N!G117</f>
        <v>0</v>
      </c>
      <c r="N266" s="22" t="n">
        <f aca="false">O!G117</f>
        <v>0</v>
      </c>
      <c r="O266" s="22" t="n">
        <f aca="false">P!G117</f>
        <v>0</v>
      </c>
      <c r="P266" s="22" t="n">
        <f aca="false">Q!G117</f>
        <v>0</v>
      </c>
      <c r="Q266" s="22" t="n">
        <f aca="false">R!G117</f>
        <v>0</v>
      </c>
      <c r="R266" s="22" t="n">
        <f aca="false">S!G117</f>
        <v>0</v>
      </c>
      <c r="S266" s="22" t="n">
        <f aca="false">T!G117</f>
        <v>0</v>
      </c>
      <c r="T266" s="22" t="n">
        <f aca="false">U!G117</f>
        <v>0</v>
      </c>
      <c r="U266" s="22" t="n">
        <f aca="false">V!G117</f>
        <v>0</v>
      </c>
      <c r="V266" s="22" t="n">
        <f aca="false">W!G117</f>
        <v>0</v>
      </c>
      <c r="W266" s="22" t="n">
        <f aca="false">X!G117</f>
        <v>0</v>
      </c>
      <c r="X266" s="23" t="n">
        <f aca="false">SUM(B266:W266)</f>
        <v>0</v>
      </c>
      <c r="Y266" s="47"/>
      <c r="Z266" s="25"/>
      <c r="AA266" s="16"/>
      <c r="AW266" s="26"/>
      <c r="AX266" s="27"/>
      <c r="AZ266" s="28"/>
      <c r="BA266" s="55"/>
      <c r="BB266" s="30"/>
      <c r="BC266" s="56"/>
      <c r="BD266" s="27"/>
      <c r="BE266" s="26"/>
      <c r="BF266" s="32"/>
      <c r="BG266" s="33"/>
    </row>
    <row r="267" customFormat="false" ht="15" hidden="false" customHeight="false" outlineLevel="0" collapsed="false">
      <c r="A267" s="48" t="s">
        <v>68</v>
      </c>
      <c r="B267" s="49" t="n">
        <f aca="false">SUM(B265:B266)</f>
        <v>0</v>
      </c>
      <c r="C267" s="49" t="n">
        <f aca="false">SUM(C265:C266)</f>
        <v>0</v>
      </c>
      <c r="D267" s="49" t="n">
        <f aca="false">SUM(D265:D266)</f>
        <v>0</v>
      </c>
      <c r="E267" s="49" t="n">
        <f aca="false">SUM(E265:E266)</f>
        <v>0</v>
      </c>
      <c r="F267" s="49" t="n">
        <f aca="false">SUM(F265:F266)</f>
        <v>0</v>
      </c>
      <c r="G267" s="49" t="n">
        <f aca="false">SUM(G265:G266)</f>
        <v>0</v>
      </c>
      <c r="H267" s="49" t="n">
        <f aca="false">SUM(H265:H266)</f>
        <v>0</v>
      </c>
      <c r="I267" s="49" t="n">
        <f aca="false">SUM(I265:I266)</f>
        <v>0</v>
      </c>
      <c r="J267" s="49" t="n">
        <f aca="false">SUM(J265:J266)</f>
        <v>0</v>
      </c>
      <c r="K267" s="49" t="n">
        <f aca="false">SUM(K265:K266)</f>
        <v>0</v>
      </c>
      <c r="L267" s="49" t="n">
        <f aca="false">SUM(L265:L266)</f>
        <v>0</v>
      </c>
      <c r="M267" s="49" t="n">
        <f aca="false">SUM(M265:M266)</f>
        <v>0</v>
      </c>
      <c r="N267" s="49" t="n">
        <f aca="false">SUM(N265:N266)</f>
        <v>0</v>
      </c>
      <c r="O267" s="49" t="n">
        <f aca="false">SUM(O265:O266)</f>
        <v>0</v>
      </c>
      <c r="P267" s="49" t="n">
        <f aca="false">SUM(P265:P266)</f>
        <v>0</v>
      </c>
      <c r="Q267" s="49" t="n">
        <f aca="false">SUM(Q265:Q266)</f>
        <v>0</v>
      </c>
      <c r="R267" s="49" t="n">
        <f aca="false">SUM(R265:R266)</f>
        <v>0</v>
      </c>
      <c r="S267" s="49" t="n">
        <f aca="false">SUM(S265:S266)</f>
        <v>0</v>
      </c>
      <c r="T267" s="49" t="n">
        <f aca="false">SUM(T265:T266)</f>
        <v>0</v>
      </c>
      <c r="U267" s="49" t="n">
        <f aca="false">SUM(U265:U266)</f>
        <v>0</v>
      </c>
      <c r="V267" s="49" t="n">
        <f aca="false">SUM(V265:V266)</f>
        <v>0</v>
      </c>
      <c r="W267" s="49" t="n">
        <f aca="false">SUM(W265:W266)</f>
        <v>0</v>
      </c>
      <c r="X267" s="50" t="n">
        <f aca="false">SUM(B267:W267)</f>
        <v>0</v>
      </c>
      <c r="Y267" s="51"/>
      <c r="Z267" s="25"/>
      <c r="AA267" s="16"/>
      <c r="AW267" s="26"/>
      <c r="AX267" s="27"/>
      <c r="AZ267" s="28"/>
      <c r="BA267" s="55"/>
      <c r="BB267" s="30"/>
      <c r="BC267" s="56"/>
      <c r="BD267" s="27" t="n">
        <f aca="false">X267</f>
        <v>0</v>
      </c>
      <c r="BE267" s="26" t="n">
        <f aca="false">A256</f>
        <v>0</v>
      </c>
      <c r="BF267" s="32"/>
      <c r="BG267" s="33"/>
    </row>
    <row r="268" customFormat="false" ht="15" hidden="false" customHeight="false" outlineLevel="0" collapsed="false"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25"/>
      <c r="AA268" s="16"/>
      <c r="AW268" s="26"/>
      <c r="AX268" s="27"/>
      <c r="AZ268" s="28"/>
      <c r="BA268" s="55"/>
      <c r="BB268" s="30"/>
      <c r="BC268" s="56"/>
      <c r="BD268" s="27"/>
      <c r="BE268" s="26"/>
      <c r="BF268" s="32"/>
      <c r="BG268" s="33"/>
    </row>
    <row r="269" customFormat="false" ht="15" hidden="false" customHeight="false" outlineLevel="0" collapsed="false">
      <c r="A269" s="5" t="s">
        <v>142</v>
      </c>
      <c r="B269" s="6" t="s">
        <v>1</v>
      </c>
      <c r="C269" s="6" t="s">
        <v>2</v>
      </c>
      <c r="D269" s="6" t="s">
        <v>3</v>
      </c>
      <c r="E269" s="6" t="s">
        <v>4</v>
      </c>
      <c r="F269" s="6" t="s">
        <v>5</v>
      </c>
      <c r="G269" s="6" t="s">
        <v>6</v>
      </c>
      <c r="H269" s="6" t="s">
        <v>7</v>
      </c>
      <c r="I269" s="6" t="s">
        <v>8</v>
      </c>
      <c r="J269" s="6" t="s">
        <v>9</v>
      </c>
      <c r="K269" s="6" t="s">
        <v>10</v>
      </c>
      <c r="L269" s="6" t="s">
        <v>11</v>
      </c>
      <c r="M269" s="6" t="s">
        <v>12</v>
      </c>
      <c r="N269" s="6" t="s">
        <v>13</v>
      </c>
      <c r="O269" s="6" t="s">
        <v>14</v>
      </c>
      <c r="P269" s="6" t="s">
        <v>15</v>
      </c>
      <c r="Q269" s="6" t="s">
        <v>16</v>
      </c>
      <c r="R269" s="6" t="s">
        <v>17</v>
      </c>
      <c r="S269" s="6" t="s">
        <v>18</v>
      </c>
      <c r="T269" s="6" t="s">
        <v>19</v>
      </c>
      <c r="U269" s="6" t="s">
        <v>20</v>
      </c>
      <c r="V269" s="6" t="s">
        <v>21</v>
      </c>
      <c r="W269" s="6" t="s">
        <v>22</v>
      </c>
      <c r="X269" s="34"/>
      <c r="Y269" s="34"/>
      <c r="Z269" s="4" t="str">
        <f aca="false">A269</f>
        <v>Team #20 Name:</v>
      </c>
      <c r="AA269" s="16"/>
      <c r="AW269" s="26"/>
      <c r="AX269" s="27"/>
      <c r="AZ269" s="28"/>
      <c r="BA269" s="55"/>
      <c r="BB269" s="30"/>
      <c r="BC269" s="56"/>
      <c r="BD269" s="27"/>
      <c r="BE269" s="26"/>
      <c r="BF269" s="32"/>
      <c r="BG269" s="33"/>
    </row>
    <row r="270" customFormat="false" ht="15" hidden="false" customHeight="false" outlineLevel="0" collapsed="false">
      <c r="A270" s="11" t="n">
        <f aca="false">B!$E$403</f>
        <v>0</v>
      </c>
      <c r="B270" s="52" t="s">
        <v>28</v>
      </c>
      <c r="C270" s="52" t="s">
        <v>28</v>
      </c>
      <c r="D270" s="52" t="s">
        <v>28</v>
      </c>
      <c r="E270" s="52" t="s">
        <v>28</v>
      </c>
      <c r="F270" s="52" t="s">
        <v>28</v>
      </c>
      <c r="G270" s="52" t="s">
        <v>28</v>
      </c>
      <c r="H270" s="52" t="s">
        <v>28</v>
      </c>
      <c r="I270" s="52" t="s">
        <v>28</v>
      </c>
      <c r="J270" s="52" t="s">
        <v>28</v>
      </c>
      <c r="K270" s="52" t="s">
        <v>28</v>
      </c>
      <c r="L270" s="52" t="s">
        <v>28</v>
      </c>
      <c r="M270" s="52" t="s">
        <v>28</v>
      </c>
      <c r="N270" s="52" t="s">
        <v>28</v>
      </c>
      <c r="O270" s="52" t="s">
        <v>28</v>
      </c>
      <c r="P270" s="52" t="s">
        <v>28</v>
      </c>
      <c r="Q270" s="52" t="s">
        <v>28</v>
      </c>
      <c r="R270" s="52" t="s">
        <v>28</v>
      </c>
      <c r="S270" s="52" t="s">
        <v>28</v>
      </c>
      <c r="T270" s="52" t="s">
        <v>28</v>
      </c>
      <c r="U270" s="52" t="s">
        <v>28</v>
      </c>
      <c r="V270" s="52" t="s">
        <v>28</v>
      </c>
      <c r="W270" s="52" t="s">
        <v>28</v>
      </c>
      <c r="X270" s="13" t="s">
        <v>29</v>
      </c>
      <c r="Y270" s="14" t="s">
        <v>30</v>
      </c>
      <c r="Z270" s="15" t="n">
        <f aca="false">A270</f>
        <v>0</v>
      </c>
      <c r="AA270" s="16"/>
      <c r="AW270" s="17" t="s">
        <v>31</v>
      </c>
      <c r="AX270" s="27"/>
      <c r="AZ270" s="28"/>
      <c r="BA270" s="55"/>
      <c r="BB270" s="30"/>
      <c r="BC270" s="56"/>
      <c r="BD270" s="27"/>
      <c r="BE270" s="26"/>
      <c r="BF270" s="32"/>
      <c r="BG270" s="33"/>
    </row>
    <row r="271" customFormat="false" ht="15" hidden="false" customHeight="false" outlineLevel="0" collapsed="false">
      <c r="A271" s="21" t="n">
        <f aca="false">B!$E$405</f>
        <v>0</v>
      </c>
      <c r="B271" s="22" t="n">
        <f aca="false">C!G122</f>
        <v>0</v>
      </c>
      <c r="C271" s="22" t="n">
        <f aca="false">D!G122</f>
        <v>0</v>
      </c>
      <c r="D271" s="22" t="n">
        <f aca="false">E!G122</f>
        <v>0</v>
      </c>
      <c r="E271" s="22" t="n">
        <f aca="false">F!G122</f>
        <v>0</v>
      </c>
      <c r="F271" s="22" t="n">
        <f aca="false">G!G122</f>
        <v>0</v>
      </c>
      <c r="G271" s="22" t="n">
        <f aca="false">H!G122</f>
        <v>0</v>
      </c>
      <c r="H271" s="22" t="n">
        <f aca="false">I!G122</f>
        <v>0</v>
      </c>
      <c r="I271" s="22" t="n">
        <f aca="false">J!G122</f>
        <v>0</v>
      </c>
      <c r="J271" s="22" t="n">
        <f aca="false">K!G122</f>
        <v>0</v>
      </c>
      <c r="K271" s="22" t="n">
        <f aca="false">L!G122</f>
        <v>0</v>
      </c>
      <c r="L271" s="22" t="n">
        <f aca="false">M!G122</f>
        <v>0</v>
      </c>
      <c r="M271" s="22" t="n">
        <f aca="false">N!G122</f>
        <v>0</v>
      </c>
      <c r="N271" s="22" t="n">
        <f aca="false">O!G122</f>
        <v>0</v>
      </c>
      <c r="O271" s="22" t="n">
        <f aca="false">P!G122</f>
        <v>0</v>
      </c>
      <c r="P271" s="22" t="n">
        <f aca="false">Q!G122</f>
        <v>0</v>
      </c>
      <c r="Q271" s="22" t="n">
        <f aca="false">R!G122</f>
        <v>0</v>
      </c>
      <c r="R271" s="22" t="n">
        <f aca="false">S!G122</f>
        <v>0</v>
      </c>
      <c r="S271" s="22" t="n">
        <f aca="false">T!G122</f>
        <v>0</v>
      </c>
      <c r="T271" s="22" t="n">
        <f aca="false">U!G122</f>
        <v>0</v>
      </c>
      <c r="U271" s="22" t="n">
        <f aca="false">V!G122</f>
        <v>0</v>
      </c>
      <c r="V271" s="22" t="n">
        <f aca="false">W!G122</f>
        <v>0</v>
      </c>
      <c r="W271" s="22" t="n">
        <f aca="false">X!G122</f>
        <v>0</v>
      </c>
      <c r="X271" s="23" t="n">
        <f aca="false">SUM(B271:W271)</f>
        <v>0</v>
      </c>
      <c r="Y271" s="24" t="n">
        <f aca="false">IF(AW271=0,0,X271/AW271)</f>
        <v>0</v>
      </c>
      <c r="Z271" s="25" t="n">
        <f aca="false">A271</f>
        <v>0</v>
      </c>
      <c r="AA271" s="16" t="n">
        <f aca="false">IF(B271=0,0,1)</f>
        <v>0</v>
      </c>
      <c r="AB271" s="0" t="n">
        <f aca="false">IF(C271=0,0,1)</f>
        <v>0</v>
      </c>
      <c r="AC271" s="0" t="n">
        <f aca="false">IF(D271=0,0,1)</f>
        <v>0</v>
      </c>
      <c r="AD271" s="0" t="n">
        <f aca="false">IF(E271=0,0,1)</f>
        <v>0</v>
      </c>
      <c r="AE271" s="0" t="n">
        <f aca="false">IF(F271=0,0,1)</f>
        <v>0</v>
      </c>
      <c r="AF271" s="0" t="n">
        <f aca="false">IF(G271=0,0,1)</f>
        <v>0</v>
      </c>
      <c r="AG271" s="0" t="n">
        <f aca="false">IF(H271=0,0,1)</f>
        <v>0</v>
      </c>
      <c r="AH271" s="0" t="n">
        <f aca="false">IF(I271=0,0,1)</f>
        <v>0</v>
      </c>
      <c r="AI271" s="0" t="n">
        <f aca="false">IF(J271=0,0,1)</f>
        <v>0</v>
      </c>
      <c r="AJ271" s="0" t="n">
        <f aca="false">IF(K271=0,0,1)</f>
        <v>0</v>
      </c>
      <c r="AK271" s="0" t="n">
        <f aca="false">IF(L271=0,0,1)</f>
        <v>0</v>
      </c>
      <c r="AL271" s="0" t="n">
        <f aca="false">IF(M271=0,0,1)</f>
        <v>0</v>
      </c>
      <c r="AM271" s="0" t="n">
        <f aca="false">IF(N271=0,0,1)</f>
        <v>0</v>
      </c>
      <c r="AN271" s="0" t="n">
        <f aca="false">IF(O271=0,0,1)</f>
        <v>0</v>
      </c>
      <c r="AO271" s="0" t="n">
        <f aca="false">IF(P271=0,0,1)</f>
        <v>0</v>
      </c>
      <c r="AP271" s="0" t="n">
        <f aca="false">IF(Q271=0,0,1)</f>
        <v>0</v>
      </c>
      <c r="AQ271" s="0" t="n">
        <f aca="false">IF(R271=0,0,1)</f>
        <v>0</v>
      </c>
      <c r="AR271" s="0" t="n">
        <f aca="false">IF(S271=0,0,1)</f>
        <v>0</v>
      </c>
      <c r="AS271" s="0" t="n">
        <f aca="false">IF(T271=0,0,1)</f>
        <v>0</v>
      </c>
      <c r="AT271" s="0" t="n">
        <f aca="false">IF(U271=0,0,1)</f>
        <v>0</v>
      </c>
      <c r="AU271" s="0" t="n">
        <f aca="false">IF(V271=0,0,1)</f>
        <v>0</v>
      </c>
      <c r="AV271" s="0" t="n">
        <f aca="false">IF(W271=0,0,1)</f>
        <v>0</v>
      </c>
      <c r="AW271" s="26" t="n">
        <f aca="false">SUM(AA271:AV271)</f>
        <v>0</v>
      </c>
      <c r="AX271" s="27" t="n">
        <f aca="false">IF(X271=0,0,X271)</f>
        <v>0</v>
      </c>
      <c r="AY271" s="1" t="n">
        <f aca="false">IF(X271=0,0,A271)</f>
        <v>0</v>
      </c>
      <c r="AZ271" s="28" t="n">
        <f aca="false">IF(AX271=0,0,A$270)</f>
        <v>0</v>
      </c>
      <c r="BA271" s="55"/>
      <c r="BB271" s="30"/>
      <c r="BC271" s="56"/>
      <c r="BD271" s="27"/>
      <c r="BE271" s="26"/>
      <c r="BF271" s="32"/>
      <c r="BG271" s="33"/>
    </row>
    <row r="272" customFormat="false" ht="15" hidden="false" customHeight="false" outlineLevel="0" collapsed="false">
      <c r="A272" s="21" t="n">
        <f aca="false">B!$E$410</f>
        <v>0</v>
      </c>
      <c r="B272" s="22" t="n">
        <f aca="false">C!G123</f>
        <v>0</v>
      </c>
      <c r="C272" s="22" t="n">
        <f aca="false">D!G123</f>
        <v>0</v>
      </c>
      <c r="D272" s="22" t="n">
        <f aca="false">E!G123</f>
        <v>0</v>
      </c>
      <c r="E272" s="22" t="n">
        <f aca="false">F!G123</f>
        <v>0</v>
      </c>
      <c r="F272" s="22" t="n">
        <f aca="false">G!G123</f>
        <v>0</v>
      </c>
      <c r="G272" s="22" t="n">
        <f aca="false">H!G123</f>
        <v>0</v>
      </c>
      <c r="H272" s="22" t="n">
        <f aca="false">I!G123</f>
        <v>0</v>
      </c>
      <c r="I272" s="22" t="n">
        <f aca="false">J!G123</f>
        <v>0</v>
      </c>
      <c r="J272" s="22" t="n">
        <f aca="false">K!G123</f>
        <v>0</v>
      </c>
      <c r="K272" s="22" t="n">
        <f aca="false">L!G123</f>
        <v>0</v>
      </c>
      <c r="L272" s="22" t="n">
        <f aca="false">M!G123</f>
        <v>0</v>
      </c>
      <c r="M272" s="22" t="n">
        <f aca="false">N!G123</f>
        <v>0</v>
      </c>
      <c r="N272" s="22" t="n">
        <f aca="false">O!G123</f>
        <v>0</v>
      </c>
      <c r="O272" s="22" t="n">
        <f aca="false">P!G123</f>
        <v>0</v>
      </c>
      <c r="P272" s="22" t="n">
        <f aca="false">Q!G123</f>
        <v>0</v>
      </c>
      <c r="Q272" s="22" t="n">
        <f aca="false">R!G123</f>
        <v>0</v>
      </c>
      <c r="R272" s="22" t="n">
        <f aca="false">S!G123</f>
        <v>0</v>
      </c>
      <c r="S272" s="22" t="n">
        <f aca="false">T!G123</f>
        <v>0</v>
      </c>
      <c r="T272" s="22" t="n">
        <f aca="false">U!G123</f>
        <v>0</v>
      </c>
      <c r="U272" s="22" t="n">
        <f aca="false">V!G123</f>
        <v>0</v>
      </c>
      <c r="V272" s="22" t="n">
        <f aca="false">W!G123</f>
        <v>0</v>
      </c>
      <c r="W272" s="22" t="n">
        <f aca="false">X!G123</f>
        <v>0</v>
      </c>
      <c r="X272" s="23" t="n">
        <f aca="false">SUM(B272:W272)</f>
        <v>0</v>
      </c>
      <c r="Y272" s="24" t="n">
        <f aca="false">IF(AW272=0,0,X272/AW272)</f>
        <v>0</v>
      </c>
      <c r="Z272" s="25" t="n">
        <f aca="false">A272</f>
        <v>0</v>
      </c>
      <c r="AA272" s="16" t="n">
        <f aca="false">IF(B272=0,0,1)</f>
        <v>0</v>
      </c>
      <c r="AB272" s="0" t="n">
        <f aca="false">IF(C272=0,0,1)</f>
        <v>0</v>
      </c>
      <c r="AC272" s="0" t="n">
        <f aca="false">IF(D272=0,0,1)</f>
        <v>0</v>
      </c>
      <c r="AD272" s="0" t="n">
        <f aca="false">IF(E272=0,0,1)</f>
        <v>0</v>
      </c>
      <c r="AE272" s="0" t="n">
        <f aca="false">IF(F272=0,0,1)</f>
        <v>0</v>
      </c>
      <c r="AF272" s="0" t="n">
        <f aca="false">IF(G272=0,0,1)</f>
        <v>0</v>
      </c>
      <c r="AG272" s="0" t="n">
        <f aca="false">IF(H272=0,0,1)</f>
        <v>0</v>
      </c>
      <c r="AH272" s="0" t="n">
        <f aca="false">IF(I272=0,0,1)</f>
        <v>0</v>
      </c>
      <c r="AI272" s="0" t="n">
        <f aca="false">IF(J272=0,0,1)</f>
        <v>0</v>
      </c>
      <c r="AJ272" s="0" t="n">
        <f aca="false">IF(K272=0,0,1)</f>
        <v>0</v>
      </c>
      <c r="AK272" s="0" t="n">
        <f aca="false">IF(L272=0,0,1)</f>
        <v>0</v>
      </c>
      <c r="AL272" s="0" t="n">
        <f aca="false">IF(M272=0,0,1)</f>
        <v>0</v>
      </c>
      <c r="AM272" s="0" t="n">
        <f aca="false">IF(N272=0,0,1)</f>
        <v>0</v>
      </c>
      <c r="AN272" s="0" t="n">
        <f aca="false">IF(O272=0,0,1)</f>
        <v>0</v>
      </c>
      <c r="AO272" s="0" t="n">
        <f aca="false">IF(P272=0,0,1)</f>
        <v>0</v>
      </c>
      <c r="AP272" s="0" t="n">
        <f aca="false">IF(Q272=0,0,1)</f>
        <v>0</v>
      </c>
      <c r="AQ272" s="0" t="n">
        <f aca="false">IF(R272=0,0,1)</f>
        <v>0</v>
      </c>
      <c r="AR272" s="0" t="n">
        <f aca="false">IF(S272=0,0,1)</f>
        <v>0</v>
      </c>
      <c r="AS272" s="0" t="n">
        <f aca="false">IF(T272=0,0,1)</f>
        <v>0</v>
      </c>
      <c r="AT272" s="0" t="n">
        <f aca="false">IF(U272=0,0,1)</f>
        <v>0</v>
      </c>
      <c r="AU272" s="0" t="n">
        <f aca="false">IF(V272=0,0,1)</f>
        <v>0</v>
      </c>
      <c r="AV272" s="0" t="n">
        <f aca="false">IF(W272=0,0,1)</f>
        <v>0</v>
      </c>
      <c r="AW272" s="26" t="n">
        <f aca="false">SUM(AA272:AV272)</f>
        <v>0</v>
      </c>
      <c r="AX272" s="27" t="n">
        <f aca="false">IF(X272=0,0,X272)</f>
        <v>0</v>
      </c>
      <c r="AY272" s="1" t="n">
        <f aca="false">IF(X272=0,0,A272)</f>
        <v>0</v>
      </c>
      <c r="AZ272" s="28" t="n">
        <f aca="false">IF(AX272=0,0,A$270)</f>
        <v>0</v>
      </c>
      <c r="BA272" s="55"/>
      <c r="BB272" s="30"/>
      <c r="BC272" s="56"/>
      <c r="BD272" s="27"/>
      <c r="BE272" s="26"/>
      <c r="BF272" s="32"/>
      <c r="BG272" s="33"/>
    </row>
    <row r="273" customFormat="false" ht="15" hidden="false" customHeight="false" outlineLevel="0" collapsed="false">
      <c r="A273" s="21" t="n">
        <f aca="false">B!$E$415</f>
        <v>0</v>
      </c>
      <c r="B273" s="22" t="n">
        <f aca="false">C!G124</f>
        <v>0</v>
      </c>
      <c r="C273" s="22" t="n">
        <f aca="false">D!G124</f>
        <v>0</v>
      </c>
      <c r="D273" s="22" t="n">
        <f aca="false">E!G124</f>
        <v>0</v>
      </c>
      <c r="E273" s="22" t="n">
        <f aca="false">F!G124</f>
        <v>0</v>
      </c>
      <c r="F273" s="22" t="n">
        <f aca="false">G!G124</f>
        <v>0</v>
      </c>
      <c r="G273" s="22" t="n">
        <f aca="false">H!G124</f>
        <v>0</v>
      </c>
      <c r="H273" s="22" t="n">
        <f aca="false">I!G124</f>
        <v>0</v>
      </c>
      <c r="I273" s="22" t="n">
        <f aca="false">J!G124</f>
        <v>0</v>
      </c>
      <c r="J273" s="22" t="n">
        <f aca="false">K!G124</f>
        <v>0</v>
      </c>
      <c r="K273" s="22" t="n">
        <f aca="false">L!G124</f>
        <v>0</v>
      </c>
      <c r="L273" s="22" t="n">
        <f aca="false">M!G124</f>
        <v>0</v>
      </c>
      <c r="M273" s="22" t="n">
        <f aca="false">N!G124</f>
        <v>0</v>
      </c>
      <c r="N273" s="22" t="n">
        <f aca="false">O!G124</f>
        <v>0</v>
      </c>
      <c r="O273" s="22" t="n">
        <f aca="false">P!G124</f>
        <v>0</v>
      </c>
      <c r="P273" s="22" t="n">
        <f aca="false">Q!G124</f>
        <v>0</v>
      </c>
      <c r="Q273" s="22" t="n">
        <f aca="false">R!G124</f>
        <v>0</v>
      </c>
      <c r="R273" s="22" t="n">
        <f aca="false">S!G124</f>
        <v>0</v>
      </c>
      <c r="S273" s="22" t="n">
        <f aca="false">T!G124</f>
        <v>0</v>
      </c>
      <c r="T273" s="22" t="n">
        <f aca="false">U!G124</f>
        <v>0</v>
      </c>
      <c r="U273" s="22" t="n">
        <f aca="false">V!G124</f>
        <v>0</v>
      </c>
      <c r="V273" s="22" t="n">
        <f aca="false">W!G124</f>
        <v>0</v>
      </c>
      <c r="W273" s="22" t="n">
        <f aca="false">X!G124</f>
        <v>0</v>
      </c>
      <c r="X273" s="23" t="n">
        <f aca="false">SUM(B273:W273)</f>
        <v>0</v>
      </c>
      <c r="Y273" s="24" t="n">
        <f aca="false">IF(AW273=0,0,X273/AW273)</f>
        <v>0</v>
      </c>
      <c r="Z273" s="25" t="n">
        <f aca="false">A273</f>
        <v>0</v>
      </c>
      <c r="AA273" s="16" t="n">
        <f aca="false">IF(B273=0,0,1)</f>
        <v>0</v>
      </c>
      <c r="AB273" s="0" t="n">
        <f aca="false">IF(C273=0,0,1)</f>
        <v>0</v>
      </c>
      <c r="AC273" s="0" t="n">
        <f aca="false">IF(D273=0,0,1)</f>
        <v>0</v>
      </c>
      <c r="AD273" s="0" t="n">
        <f aca="false">IF(E273=0,0,1)</f>
        <v>0</v>
      </c>
      <c r="AE273" s="0" t="n">
        <f aca="false">IF(F273=0,0,1)</f>
        <v>0</v>
      </c>
      <c r="AF273" s="0" t="n">
        <f aca="false">IF(G273=0,0,1)</f>
        <v>0</v>
      </c>
      <c r="AG273" s="0" t="n">
        <f aca="false">IF(H273=0,0,1)</f>
        <v>0</v>
      </c>
      <c r="AH273" s="0" t="n">
        <f aca="false">IF(I273=0,0,1)</f>
        <v>0</v>
      </c>
      <c r="AI273" s="0" t="n">
        <f aca="false">IF(J273=0,0,1)</f>
        <v>0</v>
      </c>
      <c r="AJ273" s="0" t="n">
        <f aca="false">IF(K273=0,0,1)</f>
        <v>0</v>
      </c>
      <c r="AK273" s="0" t="n">
        <f aca="false">IF(L273=0,0,1)</f>
        <v>0</v>
      </c>
      <c r="AL273" s="0" t="n">
        <f aca="false">IF(M273=0,0,1)</f>
        <v>0</v>
      </c>
      <c r="AM273" s="0" t="n">
        <f aca="false">IF(N273=0,0,1)</f>
        <v>0</v>
      </c>
      <c r="AN273" s="0" t="n">
        <f aca="false">IF(O273=0,0,1)</f>
        <v>0</v>
      </c>
      <c r="AO273" s="0" t="n">
        <f aca="false">IF(P273=0,0,1)</f>
        <v>0</v>
      </c>
      <c r="AP273" s="0" t="n">
        <f aca="false">IF(Q273=0,0,1)</f>
        <v>0</v>
      </c>
      <c r="AQ273" s="0" t="n">
        <f aca="false">IF(R273=0,0,1)</f>
        <v>0</v>
      </c>
      <c r="AR273" s="0" t="n">
        <f aca="false">IF(S273=0,0,1)</f>
        <v>0</v>
      </c>
      <c r="AS273" s="0" t="n">
        <f aca="false">IF(T273=0,0,1)</f>
        <v>0</v>
      </c>
      <c r="AT273" s="0" t="n">
        <f aca="false">IF(U273=0,0,1)</f>
        <v>0</v>
      </c>
      <c r="AU273" s="0" t="n">
        <f aca="false">IF(V273=0,0,1)</f>
        <v>0</v>
      </c>
      <c r="AV273" s="0" t="n">
        <f aca="false">IF(W273=0,0,1)</f>
        <v>0</v>
      </c>
      <c r="AW273" s="26" t="n">
        <f aca="false">SUM(AA273:AV273)</f>
        <v>0</v>
      </c>
      <c r="AX273" s="27" t="n">
        <f aca="false">IF(X273=0,0,X273)</f>
        <v>0</v>
      </c>
      <c r="AY273" s="1" t="n">
        <f aca="false">IF(X273=0,0,A273)</f>
        <v>0</v>
      </c>
      <c r="AZ273" s="28" t="n">
        <f aca="false">IF(AX273=0,0,A$270)</f>
        <v>0</v>
      </c>
      <c r="BA273" s="55"/>
      <c r="BB273" s="30"/>
      <c r="BC273" s="56"/>
      <c r="BD273" s="27"/>
      <c r="BE273" s="26"/>
      <c r="BF273" s="32"/>
      <c r="BG273" s="33"/>
    </row>
    <row r="274" customFormat="false" ht="15" hidden="false" customHeight="false" outlineLevel="0" collapsed="false">
      <c r="A274" s="21" t="n">
        <f aca="false">B!$E$420</f>
        <v>0</v>
      </c>
      <c r="B274" s="22" t="n">
        <f aca="false">C!G125</f>
        <v>0</v>
      </c>
      <c r="C274" s="22" t="n">
        <f aca="false">D!G125</f>
        <v>0</v>
      </c>
      <c r="D274" s="22" t="n">
        <f aca="false">E!G125</f>
        <v>0</v>
      </c>
      <c r="E274" s="22" t="n">
        <f aca="false">F!G125</f>
        <v>0</v>
      </c>
      <c r="F274" s="22" t="n">
        <f aca="false">G!G125</f>
        <v>0</v>
      </c>
      <c r="G274" s="22" t="n">
        <f aca="false">H!G125</f>
        <v>0</v>
      </c>
      <c r="H274" s="22" t="n">
        <f aca="false">I!G125</f>
        <v>0</v>
      </c>
      <c r="I274" s="22" t="n">
        <f aca="false">J!G125</f>
        <v>0</v>
      </c>
      <c r="J274" s="22" t="n">
        <f aca="false">K!G125</f>
        <v>0</v>
      </c>
      <c r="K274" s="22" t="n">
        <f aca="false">L!G125</f>
        <v>0</v>
      </c>
      <c r="L274" s="22" t="n">
        <f aca="false">M!G125</f>
        <v>0</v>
      </c>
      <c r="M274" s="22" t="n">
        <f aca="false">N!G125</f>
        <v>0</v>
      </c>
      <c r="N274" s="22" t="n">
        <f aca="false">O!G125</f>
        <v>0</v>
      </c>
      <c r="O274" s="22" t="n">
        <f aca="false">P!G125</f>
        <v>0</v>
      </c>
      <c r="P274" s="22" t="n">
        <f aca="false">Q!G125</f>
        <v>0</v>
      </c>
      <c r="Q274" s="22" t="n">
        <f aca="false">R!G125</f>
        <v>0</v>
      </c>
      <c r="R274" s="22" t="n">
        <f aca="false">S!G125</f>
        <v>0</v>
      </c>
      <c r="S274" s="22" t="n">
        <f aca="false">T!G125</f>
        <v>0</v>
      </c>
      <c r="T274" s="22" t="n">
        <f aca="false">U!G125</f>
        <v>0</v>
      </c>
      <c r="U274" s="22" t="n">
        <f aca="false">V!G125</f>
        <v>0</v>
      </c>
      <c r="V274" s="22" t="n">
        <f aca="false">W!G125</f>
        <v>0</v>
      </c>
      <c r="W274" s="22" t="n">
        <f aca="false">X!G125</f>
        <v>0</v>
      </c>
      <c r="X274" s="23" t="n">
        <f aca="false">SUM(B274:W274)</f>
        <v>0</v>
      </c>
      <c r="Y274" s="24" t="n">
        <f aca="false">IF(AW274=0,0,X274/AW274)</f>
        <v>0</v>
      </c>
      <c r="Z274" s="25" t="n">
        <f aca="false">A274</f>
        <v>0</v>
      </c>
      <c r="AA274" s="16" t="n">
        <f aca="false">IF(B274=0,0,1)</f>
        <v>0</v>
      </c>
      <c r="AB274" s="0" t="n">
        <f aca="false">IF(C274=0,0,1)</f>
        <v>0</v>
      </c>
      <c r="AC274" s="0" t="n">
        <f aca="false">IF(D274=0,0,1)</f>
        <v>0</v>
      </c>
      <c r="AD274" s="0" t="n">
        <f aca="false">IF(E274=0,0,1)</f>
        <v>0</v>
      </c>
      <c r="AE274" s="0" t="n">
        <f aca="false">IF(F274=0,0,1)</f>
        <v>0</v>
      </c>
      <c r="AF274" s="0" t="n">
        <f aca="false">IF(G274=0,0,1)</f>
        <v>0</v>
      </c>
      <c r="AG274" s="0" t="n">
        <f aca="false">IF(H274=0,0,1)</f>
        <v>0</v>
      </c>
      <c r="AH274" s="0" t="n">
        <f aca="false">IF(I274=0,0,1)</f>
        <v>0</v>
      </c>
      <c r="AI274" s="0" t="n">
        <f aca="false">IF(J274=0,0,1)</f>
        <v>0</v>
      </c>
      <c r="AJ274" s="0" t="n">
        <f aca="false">IF(K274=0,0,1)</f>
        <v>0</v>
      </c>
      <c r="AK274" s="0" t="n">
        <f aca="false">IF(L274=0,0,1)</f>
        <v>0</v>
      </c>
      <c r="AL274" s="0" t="n">
        <f aca="false">IF(M274=0,0,1)</f>
        <v>0</v>
      </c>
      <c r="AM274" s="0" t="n">
        <f aca="false">IF(N274=0,0,1)</f>
        <v>0</v>
      </c>
      <c r="AN274" s="0" t="n">
        <f aca="false">IF(O274=0,0,1)</f>
        <v>0</v>
      </c>
      <c r="AO274" s="0" t="n">
        <f aca="false">IF(P274=0,0,1)</f>
        <v>0</v>
      </c>
      <c r="AP274" s="0" t="n">
        <f aca="false">IF(Q274=0,0,1)</f>
        <v>0</v>
      </c>
      <c r="AQ274" s="0" t="n">
        <f aca="false">IF(R274=0,0,1)</f>
        <v>0</v>
      </c>
      <c r="AR274" s="0" t="n">
        <f aca="false">IF(S274=0,0,1)</f>
        <v>0</v>
      </c>
      <c r="AS274" s="0" t="n">
        <f aca="false">IF(T274=0,0,1)</f>
        <v>0</v>
      </c>
      <c r="AT274" s="0" t="n">
        <f aca="false">IF(U274=0,0,1)</f>
        <v>0</v>
      </c>
      <c r="AU274" s="0" t="n">
        <f aca="false">IF(V274=0,0,1)</f>
        <v>0</v>
      </c>
      <c r="AV274" s="0" t="n">
        <f aca="false">IF(W274=0,0,1)</f>
        <v>0</v>
      </c>
      <c r="AW274" s="26" t="n">
        <f aca="false">SUM(AA274:AV274)</f>
        <v>0</v>
      </c>
      <c r="AX274" s="27" t="n">
        <f aca="false">IF(X274=0,0,X274)</f>
        <v>0</v>
      </c>
      <c r="AY274" s="1" t="n">
        <f aca="false">IF(X274=0,0,A274)</f>
        <v>0</v>
      </c>
      <c r="AZ274" s="28" t="n">
        <f aca="false">IF(AX274=0,0,A$270)</f>
        <v>0</v>
      </c>
      <c r="BA274" s="55"/>
      <c r="BB274" s="30"/>
      <c r="BC274" s="56"/>
      <c r="BD274" s="27"/>
      <c r="BE274" s="26"/>
      <c r="BF274" s="32"/>
      <c r="BG274" s="33"/>
    </row>
    <row r="275" customFormat="false" ht="15" hidden="false" customHeight="false" outlineLevel="0" collapsed="false">
      <c r="A275" s="21" t="n">
        <f aca="false">B!$E$425</f>
        <v>0</v>
      </c>
      <c r="B275" s="22" t="n">
        <f aca="false">C!G126</f>
        <v>0</v>
      </c>
      <c r="C275" s="22" t="n">
        <f aca="false">D!G126</f>
        <v>0</v>
      </c>
      <c r="D275" s="22" t="n">
        <f aca="false">E!G126</f>
        <v>0</v>
      </c>
      <c r="E275" s="22" t="n">
        <f aca="false">F!G126</f>
        <v>0</v>
      </c>
      <c r="F275" s="22" t="n">
        <f aca="false">G!G126</f>
        <v>0</v>
      </c>
      <c r="G275" s="22" t="n">
        <f aca="false">H!G126</f>
        <v>0</v>
      </c>
      <c r="H275" s="22" t="n">
        <f aca="false">I!G126</f>
        <v>0</v>
      </c>
      <c r="I275" s="22" t="n">
        <f aca="false">J!G126</f>
        <v>0</v>
      </c>
      <c r="J275" s="22" t="n">
        <f aca="false">K!G126</f>
        <v>0</v>
      </c>
      <c r="K275" s="22" t="n">
        <f aca="false">L!G126</f>
        <v>0</v>
      </c>
      <c r="L275" s="22" t="n">
        <f aca="false">M!G126</f>
        <v>0</v>
      </c>
      <c r="M275" s="22" t="n">
        <f aca="false">N!G126</f>
        <v>0</v>
      </c>
      <c r="N275" s="22" t="n">
        <f aca="false">O!G126</f>
        <v>0</v>
      </c>
      <c r="O275" s="22" t="n">
        <f aca="false">P!G126</f>
        <v>0</v>
      </c>
      <c r="P275" s="22" t="n">
        <f aca="false">Q!G126</f>
        <v>0</v>
      </c>
      <c r="Q275" s="22" t="n">
        <f aca="false">R!G126</f>
        <v>0</v>
      </c>
      <c r="R275" s="22" t="n">
        <f aca="false">S!G126</f>
        <v>0</v>
      </c>
      <c r="S275" s="22" t="n">
        <f aca="false">T!G126</f>
        <v>0</v>
      </c>
      <c r="T275" s="22" t="n">
        <f aca="false">U!G126</f>
        <v>0</v>
      </c>
      <c r="U275" s="22" t="n">
        <f aca="false">V!G126</f>
        <v>0</v>
      </c>
      <c r="V275" s="22" t="n">
        <f aca="false">W!G126</f>
        <v>0</v>
      </c>
      <c r="W275" s="22" t="n">
        <f aca="false">X!G126</f>
        <v>0</v>
      </c>
      <c r="X275" s="23" t="n">
        <f aca="false">SUM(B275:W275)</f>
        <v>0</v>
      </c>
      <c r="Y275" s="24" t="n">
        <f aca="false">IF(AW275=0,0,X275/AW275)</f>
        <v>0</v>
      </c>
      <c r="Z275" s="25" t="n">
        <f aca="false">A275</f>
        <v>0</v>
      </c>
      <c r="AA275" s="16" t="n">
        <f aca="false">IF(B275=0,0,1)</f>
        <v>0</v>
      </c>
      <c r="AB275" s="0" t="n">
        <f aca="false">IF(C275=0,0,1)</f>
        <v>0</v>
      </c>
      <c r="AC275" s="0" t="n">
        <f aca="false">IF(D275=0,0,1)</f>
        <v>0</v>
      </c>
      <c r="AD275" s="0" t="n">
        <f aca="false">IF(E275=0,0,1)</f>
        <v>0</v>
      </c>
      <c r="AE275" s="0" t="n">
        <f aca="false">IF(F275=0,0,1)</f>
        <v>0</v>
      </c>
      <c r="AF275" s="0" t="n">
        <f aca="false">IF(G275=0,0,1)</f>
        <v>0</v>
      </c>
      <c r="AG275" s="0" t="n">
        <f aca="false">IF(H275=0,0,1)</f>
        <v>0</v>
      </c>
      <c r="AH275" s="0" t="n">
        <f aca="false">IF(I275=0,0,1)</f>
        <v>0</v>
      </c>
      <c r="AI275" s="0" t="n">
        <f aca="false">IF(J275=0,0,1)</f>
        <v>0</v>
      </c>
      <c r="AJ275" s="0" t="n">
        <f aca="false">IF(K275=0,0,1)</f>
        <v>0</v>
      </c>
      <c r="AK275" s="0" t="n">
        <f aca="false">IF(L275=0,0,1)</f>
        <v>0</v>
      </c>
      <c r="AL275" s="0" t="n">
        <f aca="false">IF(M275=0,0,1)</f>
        <v>0</v>
      </c>
      <c r="AM275" s="0" t="n">
        <f aca="false">IF(N275=0,0,1)</f>
        <v>0</v>
      </c>
      <c r="AN275" s="0" t="n">
        <f aca="false">IF(O275=0,0,1)</f>
        <v>0</v>
      </c>
      <c r="AO275" s="0" t="n">
        <f aca="false">IF(P275=0,0,1)</f>
        <v>0</v>
      </c>
      <c r="AP275" s="0" t="n">
        <f aca="false">IF(Q275=0,0,1)</f>
        <v>0</v>
      </c>
      <c r="AQ275" s="0" t="n">
        <f aca="false">IF(R275=0,0,1)</f>
        <v>0</v>
      </c>
      <c r="AR275" s="0" t="n">
        <f aca="false">IF(S275=0,0,1)</f>
        <v>0</v>
      </c>
      <c r="AS275" s="0" t="n">
        <f aca="false">IF(T275=0,0,1)</f>
        <v>0</v>
      </c>
      <c r="AT275" s="0" t="n">
        <f aca="false">IF(U275=0,0,1)</f>
        <v>0</v>
      </c>
      <c r="AU275" s="0" t="n">
        <f aca="false">IF(V275=0,0,1)</f>
        <v>0</v>
      </c>
      <c r="AV275" s="0" t="n">
        <f aca="false">IF(W275=0,0,1)</f>
        <v>0</v>
      </c>
      <c r="AW275" s="26" t="n">
        <f aca="false">SUM(AA275:AV275)</f>
        <v>0</v>
      </c>
      <c r="AX275" s="27" t="n">
        <f aca="false">IF(X275=0,0,X275)</f>
        <v>0</v>
      </c>
      <c r="AY275" s="1" t="n">
        <f aca="false">IF(X275=0,0,A275)</f>
        <v>0</v>
      </c>
      <c r="AZ275" s="28" t="n">
        <f aca="false">IF(AX275=0,0,A$270)</f>
        <v>0</v>
      </c>
      <c r="BA275" s="55"/>
      <c r="BB275" s="30"/>
      <c r="BC275" s="56"/>
      <c r="BD275" s="27"/>
      <c r="BE275" s="26"/>
      <c r="BF275" s="32"/>
      <c r="BG275" s="33"/>
    </row>
    <row r="276" customFormat="false" ht="15" hidden="false" customHeight="false" outlineLevel="0" collapsed="false">
      <c r="A276" s="21" t="n">
        <f aca="false">B!$E$430</f>
        <v>0</v>
      </c>
      <c r="B276" s="22" t="n">
        <f aca="false">C!G127</f>
        <v>0</v>
      </c>
      <c r="C276" s="22" t="n">
        <f aca="false">D!G127</f>
        <v>0</v>
      </c>
      <c r="D276" s="22" t="n">
        <f aca="false">E!G127</f>
        <v>0</v>
      </c>
      <c r="E276" s="22" t="n">
        <f aca="false">F!G127</f>
        <v>0</v>
      </c>
      <c r="F276" s="22" t="n">
        <f aca="false">G!G127</f>
        <v>0</v>
      </c>
      <c r="G276" s="22" t="n">
        <f aca="false">H!G127</f>
        <v>0</v>
      </c>
      <c r="H276" s="22" t="n">
        <f aca="false">I!G127</f>
        <v>0</v>
      </c>
      <c r="I276" s="22" t="n">
        <f aca="false">J!G127</f>
        <v>0</v>
      </c>
      <c r="J276" s="22" t="n">
        <f aca="false">K!G127</f>
        <v>0</v>
      </c>
      <c r="K276" s="22" t="n">
        <f aca="false">L!G127</f>
        <v>0</v>
      </c>
      <c r="L276" s="22" t="n">
        <f aca="false">M!G127</f>
        <v>0</v>
      </c>
      <c r="M276" s="22" t="n">
        <f aca="false">N!G127</f>
        <v>0</v>
      </c>
      <c r="N276" s="22" t="n">
        <f aca="false">O!G127</f>
        <v>0</v>
      </c>
      <c r="O276" s="22" t="n">
        <f aca="false">P!G127</f>
        <v>0</v>
      </c>
      <c r="P276" s="22" t="n">
        <f aca="false">Q!G127</f>
        <v>0</v>
      </c>
      <c r="Q276" s="22" t="n">
        <f aca="false">R!G127</f>
        <v>0</v>
      </c>
      <c r="R276" s="22" t="n">
        <f aca="false">S!G127</f>
        <v>0</v>
      </c>
      <c r="S276" s="22" t="n">
        <f aca="false">T!G127</f>
        <v>0</v>
      </c>
      <c r="T276" s="22" t="n">
        <f aca="false">U!G127</f>
        <v>0</v>
      </c>
      <c r="U276" s="22" t="n">
        <f aca="false">V!G127</f>
        <v>0</v>
      </c>
      <c r="V276" s="22" t="n">
        <f aca="false">W!G127</f>
        <v>0</v>
      </c>
      <c r="W276" s="22" t="n">
        <f aca="false">X!G127</f>
        <v>0</v>
      </c>
      <c r="X276" s="23" t="n">
        <f aca="false">SUM(B276:W276)</f>
        <v>0</v>
      </c>
      <c r="Y276" s="24" t="n">
        <f aca="false">IF(AW276=0,0,X276/AW276)</f>
        <v>0</v>
      </c>
      <c r="Z276" s="25" t="n">
        <f aca="false">A276</f>
        <v>0</v>
      </c>
      <c r="AA276" s="16" t="n">
        <f aca="false">IF(B276=0,0,1)</f>
        <v>0</v>
      </c>
      <c r="AB276" s="0" t="n">
        <f aca="false">IF(C276=0,0,1)</f>
        <v>0</v>
      </c>
      <c r="AC276" s="0" t="n">
        <f aca="false">IF(D276=0,0,1)</f>
        <v>0</v>
      </c>
      <c r="AD276" s="0" t="n">
        <f aca="false">IF(E276=0,0,1)</f>
        <v>0</v>
      </c>
      <c r="AE276" s="0" t="n">
        <f aca="false">IF(F276=0,0,1)</f>
        <v>0</v>
      </c>
      <c r="AF276" s="0" t="n">
        <f aca="false">IF(G276=0,0,1)</f>
        <v>0</v>
      </c>
      <c r="AG276" s="0" t="n">
        <f aca="false">IF(H276=0,0,1)</f>
        <v>0</v>
      </c>
      <c r="AH276" s="0" t="n">
        <f aca="false">IF(I276=0,0,1)</f>
        <v>0</v>
      </c>
      <c r="AI276" s="0" t="n">
        <f aca="false">IF(J276=0,0,1)</f>
        <v>0</v>
      </c>
      <c r="AJ276" s="0" t="n">
        <f aca="false">IF(K276=0,0,1)</f>
        <v>0</v>
      </c>
      <c r="AK276" s="0" t="n">
        <f aca="false">IF(L276=0,0,1)</f>
        <v>0</v>
      </c>
      <c r="AL276" s="0" t="n">
        <f aca="false">IF(M276=0,0,1)</f>
        <v>0</v>
      </c>
      <c r="AM276" s="0" t="n">
        <f aca="false">IF(N276=0,0,1)</f>
        <v>0</v>
      </c>
      <c r="AN276" s="0" t="n">
        <f aca="false">IF(O276=0,0,1)</f>
        <v>0</v>
      </c>
      <c r="AO276" s="0" t="n">
        <f aca="false">IF(P276=0,0,1)</f>
        <v>0</v>
      </c>
      <c r="AP276" s="0" t="n">
        <f aca="false">IF(Q276=0,0,1)</f>
        <v>0</v>
      </c>
      <c r="AQ276" s="0" t="n">
        <f aca="false">IF(R276=0,0,1)</f>
        <v>0</v>
      </c>
      <c r="AR276" s="0" t="n">
        <f aca="false">IF(S276=0,0,1)</f>
        <v>0</v>
      </c>
      <c r="AS276" s="0" t="n">
        <f aca="false">IF(T276=0,0,1)</f>
        <v>0</v>
      </c>
      <c r="AT276" s="0" t="n">
        <f aca="false">IF(U276=0,0,1)</f>
        <v>0</v>
      </c>
      <c r="AU276" s="0" t="n">
        <f aca="false">IF(V276=0,0,1)</f>
        <v>0</v>
      </c>
      <c r="AV276" s="0" t="n">
        <f aca="false">IF(W276=0,0,1)</f>
        <v>0</v>
      </c>
      <c r="AW276" s="26" t="n">
        <f aca="false">SUM(AA276:AV276)</f>
        <v>0</v>
      </c>
      <c r="AX276" s="27" t="n">
        <f aca="false">IF(X276=0,0,X276)</f>
        <v>0</v>
      </c>
      <c r="AY276" s="1" t="n">
        <f aca="false">IF(X276=0,0,A276)</f>
        <v>0</v>
      </c>
      <c r="AZ276" s="28" t="n">
        <f aca="false">IF(AX276=0,0,A$270)</f>
        <v>0</v>
      </c>
      <c r="BA276" s="55"/>
      <c r="BB276" s="30"/>
      <c r="BC276" s="56"/>
      <c r="BD276" s="27"/>
      <c r="BE276" s="26"/>
      <c r="BF276" s="32"/>
      <c r="BG276" s="33"/>
    </row>
    <row r="277" customFormat="false" ht="15" hidden="false" customHeight="false" outlineLevel="0" collapsed="false">
      <c r="A277" s="21" t="n">
        <f aca="false">B!$E$435</f>
        <v>0</v>
      </c>
      <c r="B277" s="22" t="n">
        <f aca="false">C!G128</f>
        <v>0</v>
      </c>
      <c r="C277" s="22" t="n">
        <f aca="false">D!G128</f>
        <v>0</v>
      </c>
      <c r="D277" s="22" t="n">
        <f aca="false">E!G128</f>
        <v>0</v>
      </c>
      <c r="E277" s="22" t="n">
        <f aca="false">F!G128</f>
        <v>0</v>
      </c>
      <c r="F277" s="22" t="n">
        <f aca="false">G!G128</f>
        <v>0</v>
      </c>
      <c r="G277" s="22" t="n">
        <f aca="false">H!G128</f>
        <v>0</v>
      </c>
      <c r="H277" s="22" t="n">
        <f aca="false">I!G128</f>
        <v>0</v>
      </c>
      <c r="I277" s="22" t="n">
        <f aca="false">J!G128</f>
        <v>0</v>
      </c>
      <c r="J277" s="22" t="n">
        <f aca="false">K!G128</f>
        <v>0</v>
      </c>
      <c r="K277" s="22" t="n">
        <f aca="false">L!G128</f>
        <v>0</v>
      </c>
      <c r="L277" s="22" t="n">
        <f aca="false">M!G128</f>
        <v>0</v>
      </c>
      <c r="M277" s="22" t="n">
        <f aca="false">N!G128</f>
        <v>0</v>
      </c>
      <c r="N277" s="22" t="n">
        <f aca="false">O!G128</f>
        <v>0</v>
      </c>
      <c r="O277" s="22" t="n">
        <f aca="false">P!G128</f>
        <v>0</v>
      </c>
      <c r="P277" s="22" t="n">
        <f aca="false">Q!G128</f>
        <v>0</v>
      </c>
      <c r="Q277" s="22" t="n">
        <f aca="false">R!G128</f>
        <v>0</v>
      </c>
      <c r="R277" s="22" t="n">
        <f aca="false">S!G128</f>
        <v>0</v>
      </c>
      <c r="S277" s="22" t="n">
        <f aca="false">T!G128</f>
        <v>0</v>
      </c>
      <c r="T277" s="22" t="n">
        <f aca="false">U!G128</f>
        <v>0</v>
      </c>
      <c r="U277" s="22" t="n">
        <f aca="false">V!G128</f>
        <v>0</v>
      </c>
      <c r="V277" s="22" t="n">
        <f aca="false">W!G128</f>
        <v>0</v>
      </c>
      <c r="W277" s="22" t="n">
        <f aca="false">X!G128</f>
        <v>0</v>
      </c>
      <c r="X277" s="23" t="n">
        <f aca="false">SUM(B277:W277)</f>
        <v>0</v>
      </c>
      <c r="Y277" s="24" t="n">
        <f aca="false">IF(AW277=0,0,X277/AW277)</f>
        <v>0</v>
      </c>
      <c r="Z277" s="25" t="n">
        <f aca="false">A277</f>
        <v>0</v>
      </c>
      <c r="AA277" s="16" t="n">
        <f aca="false">IF(B277=0,0,1)</f>
        <v>0</v>
      </c>
      <c r="AB277" s="0" t="n">
        <f aca="false">IF(C277=0,0,1)</f>
        <v>0</v>
      </c>
      <c r="AC277" s="0" t="n">
        <f aca="false">IF(D277=0,0,1)</f>
        <v>0</v>
      </c>
      <c r="AD277" s="0" t="n">
        <f aca="false">IF(E277=0,0,1)</f>
        <v>0</v>
      </c>
      <c r="AE277" s="0" t="n">
        <f aca="false">IF(F277=0,0,1)</f>
        <v>0</v>
      </c>
      <c r="AF277" s="0" t="n">
        <f aca="false">IF(G277=0,0,1)</f>
        <v>0</v>
      </c>
      <c r="AG277" s="0" t="n">
        <f aca="false">IF(H277=0,0,1)</f>
        <v>0</v>
      </c>
      <c r="AH277" s="0" t="n">
        <f aca="false">IF(I277=0,0,1)</f>
        <v>0</v>
      </c>
      <c r="AI277" s="0" t="n">
        <f aca="false">IF(J277=0,0,1)</f>
        <v>0</v>
      </c>
      <c r="AJ277" s="0" t="n">
        <f aca="false">IF(K277=0,0,1)</f>
        <v>0</v>
      </c>
      <c r="AK277" s="0" t="n">
        <f aca="false">IF(L277=0,0,1)</f>
        <v>0</v>
      </c>
      <c r="AL277" s="0" t="n">
        <f aca="false">IF(M277=0,0,1)</f>
        <v>0</v>
      </c>
      <c r="AM277" s="0" t="n">
        <f aca="false">IF(N277=0,0,1)</f>
        <v>0</v>
      </c>
      <c r="AN277" s="0" t="n">
        <f aca="false">IF(O277=0,0,1)</f>
        <v>0</v>
      </c>
      <c r="AO277" s="0" t="n">
        <f aca="false">IF(P277=0,0,1)</f>
        <v>0</v>
      </c>
      <c r="AP277" s="0" t="n">
        <f aca="false">IF(Q277=0,0,1)</f>
        <v>0</v>
      </c>
      <c r="AQ277" s="0" t="n">
        <f aca="false">IF(R277=0,0,1)</f>
        <v>0</v>
      </c>
      <c r="AR277" s="0" t="n">
        <f aca="false">IF(S277=0,0,1)</f>
        <v>0</v>
      </c>
      <c r="AS277" s="0" t="n">
        <f aca="false">IF(T277=0,0,1)</f>
        <v>0</v>
      </c>
      <c r="AT277" s="0" t="n">
        <f aca="false">IF(U277=0,0,1)</f>
        <v>0</v>
      </c>
      <c r="AU277" s="0" t="n">
        <f aca="false">IF(V277=0,0,1)</f>
        <v>0</v>
      </c>
      <c r="AV277" s="0" t="n">
        <f aca="false">IF(W277=0,0,1)</f>
        <v>0</v>
      </c>
      <c r="AW277" s="26" t="n">
        <f aca="false">SUM(AA277:AV277)</f>
        <v>0</v>
      </c>
      <c r="AX277" s="27" t="n">
        <f aca="false">IF(X277=0,0,X277)</f>
        <v>0</v>
      </c>
      <c r="AY277" s="1" t="n">
        <f aca="false">IF(X277=0,0,A277)</f>
        <v>0</v>
      </c>
      <c r="AZ277" s="28" t="n">
        <f aca="false">IF(AX277=0,0,A$270)</f>
        <v>0</v>
      </c>
      <c r="BA277" s="55"/>
      <c r="BB277" s="30"/>
      <c r="BC277" s="56"/>
      <c r="BD277" s="27"/>
      <c r="BE277" s="26"/>
      <c r="BF277" s="32"/>
      <c r="BG277" s="33"/>
    </row>
    <row r="278" customFormat="false" ht="15" hidden="false" customHeight="false" outlineLevel="0" collapsed="false">
      <c r="A278" s="21" t="n">
        <f aca="false">B!$E$440</f>
        <v>0</v>
      </c>
      <c r="B278" s="22" t="n">
        <f aca="false">C!G129</f>
        <v>0</v>
      </c>
      <c r="C278" s="22" t="n">
        <f aca="false">D!G129</f>
        <v>0</v>
      </c>
      <c r="D278" s="22" t="n">
        <f aca="false">E!G129</f>
        <v>0</v>
      </c>
      <c r="E278" s="22" t="n">
        <f aca="false">F!G129</f>
        <v>0</v>
      </c>
      <c r="F278" s="22" t="n">
        <f aca="false">G!G129</f>
        <v>0</v>
      </c>
      <c r="G278" s="22" t="n">
        <f aca="false">H!G129</f>
        <v>0</v>
      </c>
      <c r="H278" s="22" t="n">
        <f aca="false">I!G129</f>
        <v>0</v>
      </c>
      <c r="I278" s="22" t="n">
        <f aca="false">J!G129</f>
        <v>0</v>
      </c>
      <c r="J278" s="22" t="n">
        <f aca="false">K!G129</f>
        <v>0</v>
      </c>
      <c r="K278" s="22" t="n">
        <f aca="false">L!G129</f>
        <v>0</v>
      </c>
      <c r="L278" s="22" t="n">
        <f aca="false">M!G129</f>
        <v>0</v>
      </c>
      <c r="M278" s="22" t="n">
        <f aca="false">N!G129</f>
        <v>0</v>
      </c>
      <c r="N278" s="22" t="n">
        <f aca="false">O!G129</f>
        <v>0</v>
      </c>
      <c r="O278" s="22" t="n">
        <f aca="false">P!G129</f>
        <v>0</v>
      </c>
      <c r="P278" s="22" t="n">
        <f aca="false">Q!G129</f>
        <v>0</v>
      </c>
      <c r="Q278" s="22" t="n">
        <f aca="false">R!G129</f>
        <v>0</v>
      </c>
      <c r="R278" s="22" t="n">
        <f aca="false">S!G129</f>
        <v>0</v>
      </c>
      <c r="S278" s="22" t="n">
        <f aca="false">T!G129</f>
        <v>0</v>
      </c>
      <c r="T278" s="22" t="n">
        <f aca="false">U!G129</f>
        <v>0</v>
      </c>
      <c r="U278" s="22" t="n">
        <f aca="false">V!G129</f>
        <v>0</v>
      </c>
      <c r="V278" s="22" t="n">
        <f aca="false">W!G129</f>
        <v>0</v>
      </c>
      <c r="W278" s="22" t="n">
        <f aca="false">X!G129</f>
        <v>0</v>
      </c>
      <c r="X278" s="23" t="n">
        <f aca="false">SUM(B278:W278)</f>
        <v>0</v>
      </c>
      <c r="Y278" s="24" t="n">
        <f aca="false">IF(AW278=0,0,X278/AW278)</f>
        <v>0</v>
      </c>
      <c r="Z278" s="25" t="n">
        <f aca="false">A278</f>
        <v>0</v>
      </c>
      <c r="AA278" s="16" t="n">
        <f aca="false">IF(B278=0,0,1)</f>
        <v>0</v>
      </c>
      <c r="AB278" s="0" t="n">
        <f aca="false">IF(C278=0,0,1)</f>
        <v>0</v>
      </c>
      <c r="AC278" s="0" t="n">
        <f aca="false">IF(D278=0,0,1)</f>
        <v>0</v>
      </c>
      <c r="AD278" s="0" t="n">
        <f aca="false">IF(E278=0,0,1)</f>
        <v>0</v>
      </c>
      <c r="AE278" s="0" t="n">
        <f aca="false">IF(F278=0,0,1)</f>
        <v>0</v>
      </c>
      <c r="AF278" s="0" t="n">
        <f aca="false">IF(G278=0,0,1)</f>
        <v>0</v>
      </c>
      <c r="AG278" s="0" t="n">
        <f aca="false">IF(H278=0,0,1)</f>
        <v>0</v>
      </c>
      <c r="AH278" s="0" t="n">
        <f aca="false">IF(I278=0,0,1)</f>
        <v>0</v>
      </c>
      <c r="AI278" s="0" t="n">
        <f aca="false">IF(J278=0,0,1)</f>
        <v>0</v>
      </c>
      <c r="AJ278" s="0" t="n">
        <f aca="false">IF(K278=0,0,1)</f>
        <v>0</v>
      </c>
      <c r="AK278" s="0" t="n">
        <f aca="false">IF(L278=0,0,1)</f>
        <v>0</v>
      </c>
      <c r="AL278" s="0" t="n">
        <f aca="false">IF(M278=0,0,1)</f>
        <v>0</v>
      </c>
      <c r="AM278" s="0" t="n">
        <f aca="false">IF(N278=0,0,1)</f>
        <v>0</v>
      </c>
      <c r="AN278" s="0" t="n">
        <f aca="false">IF(O278=0,0,1)</f>
        <v>0</v>
      </c>
      <c r="AO278" s="0" t="n">
        <f aca="false">IF(P278=0,0,1)</f>
        <v>0</v>
      </c>
      <c r="AP278" s="0" t="n">
        <f aca="false">IF(Q278=0,0,1)</f>
        <v>0</v>
      </c>
      <c r="AQ278" s="0" t="n">
        <f aca="false">IF(R278=0,0,1)</f>
        <v>0</v>
      </c>
      <c r="AR278" s="0" t="n">
        <f aca="false">IF(S278=0,0,1)</f>
        <v>0</v>
      </c>
      <c r="AS278" s="0" t="n">
        <f aca="false">IF(T278=0,0,1)</f>
        <v>0</v>
      </c>
      <c r="AT278" s="0" t="n">
        <f aca="false">IF(U278=0,0,1)</f>
        <v>0</v>
      </c>
      <c r="AU278" s="0" t="n">
        <f aca="false">IF(V278=0,0,1)</f>
        <v>0</v>
      </c>
      <c r="AV278" s="0" t="n">
        <f aca="false">IF(W278=0,0,1)</f>
        <v>0</v>
      </c>
      <c r="AW278" s="26" t="n">
        <f aca="false">SUM(AA278:AV278)</f>
        <v>0</v>
      </c>
      <c r="AX278" s="27" t="n">
        <f aca="false">IF(X278=0,0,X278)</f>
        <v>0</v>
      </c>
      <c r="AY278" s="1" t="n">
        <f aca="false">IF(X278=0,0,A278)</f>
        <v>0</v>
      </c>
      <c r="AZ278" s="28" t="n">
        <f aca="false">IF(AX278=0,0,A$270)</f>
        <v>0</v>
      </c>
      <c r="BA278" s="55"/>
      <c r="BB278" s="30"/>
      <c r="BC278" s="56"/>
      <c r="BD278" s="27"/>
      <c r="BE278" s="26"/>
      <c r="BF278" s="32"/>
      <c r="BG278" s="33"/>
    </row>
    <row r="279" customFormat="false" ht="15" hidden="false" customHeight="false" outlineLevel="0" collapsed="false">
      <c r="A279" s="38" t="s">
        <v>60</v>
      </c>
      <c r="B279" s="39" t="n">
        <f aca="false">SUM(B271:B278)</f>
        <v>0</v>
      </c>
      <c r="C279" s="39" t="n">
        <f aca="false">SUM(C271:C278)</f>
        <v>0</v>
      </c>
      <c r="D279" s="39" t="n">
        <f aca="false">SUM(D271:D278)</f>
        <v>0</v>
      </c>
      <c r="E279" s="39" t="n">
        <f aca="false">SUM(E271:E278)</f>
        <v>0</v>
      </c>
      <c r="F279" s="39" t="n">
        <f aca="false">SUM(F271:F278)</f>
        <v>0</v>
      </c>
      <c r="G279" s="39" t="n">
        <f aca="false">SUM(G271:G278)</f>
        <v>0</v>
      </c>
      <c r="H279" s="39" t="n">
        <f aca="false">SUM(H271:H278)</f>
        <v>0</v>
      </c>
      <c r="I279" s="39" t="n">
        <f aca="false">SUM(I271:I278)</f>
        <v>0</v>
      </c>
      <c r="J279" s="39" t="n">
        <f aca="false">SUM(J271:J278)</f>
        <v>0</v>
      </c>
      <c r="K279" s="39" t="n">
        <f aca="false">SUM(K271:K278)</f>
        <v>0</v>
      </c>
      <c r="L279" s="39" t="n">
        <f aca="false">SUM(L271:L278)</f>
        <v>0</v>
      </c>
      <c r="M279" s="39" t="n">
        <f aca="false">SUM(M271:M278)</f>
        <v>0</v>
      </c>
      <c r="N279" s="39" t="n">
        <f aca="false">SUM(N271:N278)</f>
        <v>0</v>
      </c>
      <c r="O279" s="39" t="n">
        <f aca="false">SUM(O271:O278)</f>
        <v>0</v>
      </c>
      <c r="P279" s="39" t="n">
        <f aca="false">SUM(P271:P278)</f>
        <v>0</v>
      </c>
      <c r="Q279" s="39" t="n">
        <f aca="false">SUM(Q271:Q278)</f>
        <v>0</v>
      </c>
      <c r="R279" s="39" t="n">
        <f aca="false">SUM(R271:R278)</f>
        <v>0</v>
      </c>
      <c r="S279" s="39" t="n">
        <f aca="false">SUM(S271:S278)</f>
        <v>0</v>
      </c>
      <c r="T279" s="39" t="n">
        <f aca="false">SUM(T271:T278)</f>
        <v>0</v>
      </c>
      <c r="U279" s="39" t="n">
        <f aca="false">SUM(U271:U278)</f>
        <v>0</v>
      </c>
      <c r="V279" s="39" t="n">
        <f aca="false">SUM(V271:V278)</f>
        <v>0</v>
      </c>
      <c r="W279" s="39" t="n">
        <f aca="false">SUM(W271:W278)</f>
        <v>0</v>
      </c>
      <c r="X279" s="40" t="n">
        <f aca="false">SUM(B279:W279)</f>
        <v>0</v>
      </c>
      <c r="Y279" s="41" t="n">
        <f aca="false">IF(X279=0,0,X279/AW279)</f>
        <v>0</v>
      </c>
      <c r="Z279" s="25"/>
      <c r="AA279" s="42" t="n">
        <f aca="false">SUM(AA271:AA278)</f>
        <v>0</v>
      </c>
      <c r="AB279" s="43" t="n">
        <f aca="false">SUM(AB271:AB278)</f>
        <v>0</v>
      </c>
      <c r="AC279" s="43" t="n">
        <f aca="false">SUM(AC271:AC278)</f>
        <v>0</v>
      </c>
      <c r="AD279" s="43" t="n">
        <f aca="false">SUM(AD271:AD278)</f>
        <v>0</v>
      </c>
      <c r="AE279" s="43" t="n">
        <f aca="false">SUM(AE271:AE278)</f>
        <v>0</v>
      </c>
      <c r="AF279" s="43" t="n">
        <f aca="false">SUM(AF271:AF278)</f>
        <v>0</v>
      </c>
      <c r="AG279" s="43" t="n">
        <f aca="false">SUM(AG271:AG278)</f>
        <v>0</v>
      </c>
      <c r="AH279" s="43" t="n">
        <f aca="false">SUM(AH271:AH278)</f>
        <v>0</v>
      </c>
      <c r="AI279" s="43" t="n">
        <f aca="false">SUM(AI271:AI278)</f>
        <v>0</v>
      </c>
      <c r="AJ279" s="43" t="n">
        <f aca="false">SUM(AJ271:AJ278)</f>
        <v>0</v>
      </c>
      <c r="AK279" s="43" t="n">
        <f aca="false">SUM(AK271:AK278)</f>
        <v>0</v>
      </c>
      <c r="AL279" s="43" t="n">
        <f aca="false">SUM(AL271:AL278)</f>
        <v>0</v>
      </c>
      <c r="AM279" s="43" t="n">
        <f aca="false">SUM(AM271:AM278)</f>
        <v>0</v>
      </c>
      <c r="AN279" s="43" t="n">
        <f aca="false">SUM(AN271:AN278)</f>
        <v>0</v>
      </c>
      <c r="AO279" s="43" t="n">
        <f aca="false">SUM(AO271:AO278)</f>
        <v>0</v>
      </c>
      <c r="AP279" s="43" t="n">
        <f aca="false">SUM(AP271:AP278)</f>
        <v>0</v>
      </c>
      <c r="AQ279" s="43" t="n">
        <f aca="false">SUM(AQ271:AQ278)</f>
        <v>0</v>
      </c>
      <c r="AR279" s="43" t="n">
        <f aca="false">SUM(AR271:AR278)</f>
        <v>0</v>
      </c>
      <c r="AS279" s="43" t="n">
        <f aca="false">SUM(AS271:AS278)</f>
        <v>0</v>
      </c>
      <c r="AT279" s="43" t="n">
        <f aca="false">SUM(AT271:AT278)</f>
        <v>0</v>
      </c>
      <c r="AU279" s="43" t="n">
        <f aca="false">SUM(AU271:AU278)</f>
        <v>0</v>
      </c>
      <c r="AV279" s="43" t="n">
        <f aca="false">SUM(AV271:AV278)</f>
        <v>0</v>
      </c>
      <c r="AW279" s="44" t="n">
        <f aca="false">MAXA(AW271:AW278)</f>
        <v>0</v>
      </c>
      <c r="AX279" s="27"/>
      <c r="AZ279" s="28"/>
      <c r="BA279" s="55"/>
      <c r="BB279" s="30"/>
      <c r="BC279" s="56"/>
      <c r="BD279" s="27"/>
      <c r="BE279" s="26"/>
      <c r="BF279" s="32"/>
      <c r="BG279" s="33"/>
    </row>
    <row r="280" customFormat="false" ht="15" hidden="false" customHeight="false" outlineLevel="0" collapsed="false">
      <c r="A280" s="54" t="s">
        <v>64</v>
      </c>
      <c r="B280" s="22" t="n">
        <f aca="false">C!G130</f>
        <v>0</v>
      </c>
      <c r="C280" s="22" t="n">
        <f aca="false">D!G130</f>
        <v>0</v>
      </c>
      <c r="D280" s="22" t="n">
        <f aca="false">E!G130</f>
        <v>0</v>
      </c>
      <c r="E280" s="22" t="n">
        <f aca="false">F!G130</f>
        <v>0</v>
      </c>
      <c r="F280" s="22" t="n">
        <f aca="false">G!G130</f>
        <v>0</v>
      </c>
      <c r="G280" s="22" t="n">
        <f aca="false">H!G130</f>
        <v>0</v>
      </c>
      <c r="H280" s="22" t="n">
        <f aca="false">I!G130</f>
        <v>0</v>
      </c>
      <c r="I280" s="22" t="n">
        <f aca="false">J!G130</f>
        <v>0</v>
      </c>
      <c r="J280" s="22" t="n">
        <f aca="false">K!G130</f>
        <v>0</v>
      </c>
      <c r="K280" s="22" t="n">
        <f aca="false">L!G130</f>
        <v>0</v>
      </c>
      <c r="L280" s="22" t="n">
        <f aca="false">M!G130</f>
        <v>0</v>
      </c>
      <c r="M280" s="22" t="n">
        <f aca="false">N!G130</f>
        <v>0</v>
      </c>
      <c r="N280" s="22" t="n">
        <f aca="false">O!G130</f>
        <v>0</v>
      </c>
      <c r="O280" s="22" t="n">
        <f aca="false">P!G130</f>
        <v>0</v>
      </c>
      <c r="P280" s="22" t="n">
        <f aca="false">Q!G130</f>
        <v>0</v>
      </c>
      <c r="Q280" s="22" t="n">
        <f aca="false">R!G130</f>
        <v>0</v>
      </c>
      <c r="R280" s="22" t="n">
        <f aca="false">S!G130</f>
        <v>0</v>
      </c>
      <c r="S280" s="22" t="n">
        <f aca="false">T!G130</f>
        <v>0</v>
      </c>
      <c r="T280" s="22" t="n">
        <f aca="false">U!G130</f>
        <v>0</v>
      </c>
      <c r="U280" s="22" t="n">
        <f aca="false">V!G130</f>
        <v>0</v>
      </c>
      <c r="V280" s="22" t="n">
        <f aca="false">W!G130</f>
        <v>0</v>
      </c>
      <c r="W280" s="22" t="n">
        <f aca="false">X!G130</f>
        <v>0</v>
      </c>
      <c r="X280" s="23" t="n">
        <f aca="false">SUM(B280:W280)</f>
        <v>0</v>
      </c>
      <c r="Y280" s="47"/>
      <c r="Z280" s="25"/>
      <c r="AA280" s="16"/>
      <c r="AW280" s="26"/>
      <c r="AX280" s="27"/>
      <c r="AZ280" s="28"/>
      <c r="BA280" s="55"/>
      <c r="BB280" s="30"/>
      <c r="BC280" s="56"/>
      <c r="BD280" s="27"/>
      <c r="BE280" s="26"/>
      <c r="BF280" s="32"/>
      <c r="BG280" s="33"/>
    </row>
    <row r="281" customFormat="false" ht="15" hidden="false" customHeight="false" outlineLevel="0" collapsed="false">
      <c r="A281" s="48" t="s">
        <v>68</v>
      </c>
      <c r="B281" s="49" t="n">
        <f aca="false">SUM(B279:B280)</f>
        <v>0</v>
      </c>
      <c r="C281" s="49" t="n">
        <f aca="false">SUM(C279:C280)</f>
        <v>0</v>
      </c>
      <c r="D281" s="49" t="n">
        <f aca="false">SUM(D279:D280)</f>
        <v>0</v>
      </c>
      <c r="E281" s="49" t="n">
        <f aca="false">SUM(E279:E280)</f>
        <v>0</v>
      </c>
      <c r="F281" s="49" t="n">
        <f aca="false">SUM(F279:F280)</f>
        <v>0</v>
      </c>
      <c r="G281" s="49" t="n">
        <f aca="false">SUM(G279:G280)</f>
        <v>0</v>
      </c>
      <c r="H281" s="49" t="n">
        <f aca="false">SUM(H279:H280)</f>
        <v>0</v>
      </c>
      <c r="I281" s="49" t="n">
        <f aca="false">SUM(I279:I280)</f>
        <v>0</v>
      </c>
      <c r="J281" s="49" t="n">
        <f aca="false">SUM(J279:J280)</f>
        <v>0</v>
      </c>
      <c r="K281" s="49" t="n">
        <f aca="false">SUM(K279:K280)</f>
        <v>0</v>
      </c>
      <c r="L281" s="49" t="n">
        <f aca="false">SUM(L279:L280)</f>
        <v>0</v>
      </c>
      <c r="M281" s="49" t="n">
        <f aca="false">SUM(M279:M280)</f>
        <v>0</v>
      </c>
      <c r="N281" s="49" t="n">
        <f aca="false">SUM(N279:N280)</f>
        <v>0</v>
      </c>
      <c r="O281" s="49" t="n">
        <f aca="false">SUM(O279:O280)</f>
        <v>0</v>
      </c>
      <c r="P281" s="49" t="n">
        <f aca="false">SUM(P279:P280)</f>
        <v>0</v>
      </c>
      <c r="Q281" s="49" t="n">
        <f aca="false">SUM(Q279:Q280)</f>
        <v>0</v>
      </c>
      <c r="R281" s="49" t="n">
        <f aca="false">SUM(R279:R280)</f>
        <v>0</v>
      </c>
      <c r="S281" s="49" t="n">
        <f aca="false">SUM(S279:S280)</f>
        <v>0</v>
      </c>
      <c r="T281" s="49" t="n">
        <f aca="false">SUM(T279:T280)</f>
        <v>0</v>
      </c>
      <c r="U281" s="49" t="n">
        <f aca="false">SUM(U279:U280)</f>
        <v>0</v>
      </c>
      <c r="V281" s="49" t="n">
        <f aca="false">SUM(V279:V280)</f>
        <v>0</v>
      </c>
      <c r="W281" s="49" t="n">
        <f aca="false">SUM(W279:W280)</f>
        <v>0</v>
      </c>
      <c r="X281" s="50" t="n">
        <f aca="false">SUM(B281:W281)</f>
        <v>0</v>
      </c>
      <c r="Y281" s="51"/>
      <c r="Z281" s="25"/>
      <c r="AA281" s="16"/>
      <c r="AW281" s="26"/>
      <c r="AX281" s="27"/>
      <c r="AZ281" s="28"/>
      <c r="BA281" s="55"/>
      <c r="BB281" s="30"/>
      <c r="BC281" s="56"/>
      <c r="BD281" s="27" t="n">
        <f aca="false">X281</f>
        <v>0</v>
      </c>
      <c r="BE281" s="26" t="n">
        <f aca="false">A270</f>
        <v>0</v>
      </c>
      <c r="BF281" s="32"/>
      <c r="BG281" s="33"/>
    </row>
  </sheetData>
  <sheetProtection sheet="true" objects="true" scenarios="true" sort="false"/>
  <mergeCells count="9">
    <mergeCell ref="AA3:AW3"/>
    <mergeCell ref="AX3:AZ3"/>
    <mergeCell ref="BA3:BC3"/>
    <mergeCell ref="BD3:BE3"/>
    <mergeCell ref="BF3:BG3"/>
    <mergeCell ref="AX4:AZ4"/>
    <mergeCell ref="BA4:BC4"/>
    <mergeCell ref="BD4:BE4"/>
    <mergeCell ref="BF4:BG4"/>
  </mergeCells>
  <printOptions headings="false" gridLines="false" gridLinesSet="true" horizontalCentered="false" verticalCentered="false"/>
  <pageMargins left="1.2" right="0.25" top="0.3" bottom="0.459722222222222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&amp;L\b:bg242</oddHeader>
    <oddFooter>&amp;C&amp;P</oddFooter>
  </headerFooter>
  <rowBreaks count="3" manualBreakCount="3">
    <brk id="71" man="true" max="16383" min="0"/>
    <brk id="141" man="true" max="16383" min="0"/>
    <brk id="211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P825"/>
  <sheetViews>
    <sheetView showFormulas="false" showGridLines="false" showRowColHeaders="true" showZeros="true" rightToLeft="false" tabSelected="true" showOutlineSymbols="true" defaultGridColor="true" view="normal" topLeftCell="A370" colorId="64" zoomScale="85" zoomScaleNormal="85" zoomScalePageLayoutView="100" workbookViewId="0">
      <selection pane="topLeft" activeCell="B231" activeCellId="0" sqref="B231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3.77"/>
    <col collapsed="false" customWidth="true" hidden="false" outlineLevel="0" max="2" min="2" style="0" width="18.77"/>
    <col collapsed="false" customWidth="true" hidden="false" outlineLevel="0" max="3" min="3" style="0" width="12.78"/>
    <col collapsed="false" customWidth="true" hidden="false" outlineLevel="0" max="4" min="4" style="0" width="14.77"/>
    <col collapsed="false" customWidth="true" hidden="false" outlineLevel="0" max="5" min="5" style="0" width="18.77"/>
    <col collapsed="false" customWidth="true" hidden="false" outlineLevel="0" max="6" min="6" style="0" width="12.78"/>
    <col collapsed="false" customWidth="true" hidden="false" outlineLevel="0" max="7" min="7" style="0" width="11.77"/>
    <col collapsed="false" customWidth="true" hidden="false" outlineLevel="0" max="8" min="8" style="0" width="5.78"/>
    <col collapsed="false" customWidth="true" hidden="false" outlineLevel="0" max="13" min="9" style="0" width="4.77"/>
    <col collapsed="false" customWidth="true" hidden="false" outlineLevel="0" max="14" min="14" style="0" width="5.78"/>
    <col collapsed="false" customWidth="true" hidden="false" outlineLevel="0" max="15" min="15" style="0" width="4.77"/>
    <col collapsed="false" customWidth="true" hidden="false" outlineLevel="0" max="17" min="16" style="0" width="1.77"/>
    <col collapsed="false" customWidth="true" hidden="false" outlineLevel="0" max="18" min="18" style="0" width="12.78"/>
    <col collapsed="false" customWidth="true" hidden="false" outlineLevel="0" max="19" min="19" style="0" width="5.78"/>
    <col collapsed="false" customWidth="true" hidden="false" outlineLevel="0" max="20" min="20" style="0" width="8.11"/>
    <col collapsed="false" customWidth="true" hidden="false" outlineLevel="0" max="24" min="21" style="0" width="4.77"/>
    <col collapsed="false" customWidth="true" hidden="false" outlineLevel="0" max="25" min="25" style="0" width="5.78"/>
    <col collapsed="false" customWidth="true" hidden="false" outlineLevel="0" max="26" min="26" style="0" width="4.77"/>
    <col collapsed="false" customWidth="true" hidden="false" outlineLevel="0" max="28" min="27" style="0" width="5.78"/>
    <col collapsed="false" customWidth="true" hidden="false" outlineLevel="0" max="29" min="29" style="0" width="4.77"/>
    <col collapsed="false" customWidth="true" hidden="false" outlineLevel="0" max="146" min="30" style="0" width="3.77"/>
  </cols>
  <sheetData>
    <row r="1" customFormat="false" ht="29.15" hidden="false" customHeight="false" outlineLevel="0" collapsed="false">
      <c r="A1" s="58"/>
      <c r="B1" s="58" t="s">
        <v>143</v>
      </c>
      <c r="C1" s="58"/>
      <c r="D1" s="58"/>
      <c r="E1" s="58"/>
    </row>
    <row r="3" customFormat="false" ht="15.75" hidden="false" customHeight="true" outlineLevel="0" collapsed="false">
      <c r="B3" s="59" t="s">
        <v>144</v>
      </c>
      <c r="C3" s="60" t="s">
        <v>145</v>
      </c>
      <c r="H3" s="61"/>
      <c r="I3" s="62"/>
    </row>
    <row r="4" customFormat="false" ht="15.75" hidden="false" customHeight="true" outlineLevel="0" collapsed="false">
      <c r="B4" s="59" t="s">
        <v>146</v>
      </c>
      <c r="C4" s="60" t="n">
        <v>335</v>
      </c>
      <c r="H4" s="61"/>
      <c r="I4" s="62"/>
    </row>
    <row r="5" customFormat="false" ht="15.75" hidden="false" customHeight="true" outlineLevel="0" collapsed="false">
      <c r="B5" s="59" t="s">
        <v>147</v>
      </c>
      <c r="C5" s="60" t="n">
        <f aca="false">VLOOKUP(L13,K14:L22,2)</f>
        <v>12</v>
      </c>
      <c r="H5" s="61"/>
      <c r="I5" s="62"/>
    </row>
    <row r="6" customFormat="false" ht="15.75" hidden="false" customHeight="true" outlineLevel="0" collapsed="false">
      <c r="B6" s="59" t="s">
        <v>148</v>
      </c>
      <c r="C6" s="60" t="n">
        <f aca="false">VLOOKUP(M13,K14:M17,3)</f>
        <v>5</v>
      </c>
      <c r="H6" s="61"/>
      <c r="I6" s="62"/>
    </row>
    <row r="7" customFormat="false" ht="15.75" hidden="false" customHeight="true" outlineLevel="0" collapsed="false">
      <c r="B7" s="59" t="s">
        <v>149</v>
      </c>
      <c r="C7" s="60" t="n">
        <f aca="false">VLOOKUP(N13,K14:N17,4)</f>
        <v>3</v>
      </c>
      <c r="H7" s="61"/>
      <c r="I7" s="62"/>
    </row>
    <row r="8" customFormat="false" ht="15.75" hidden="false" customHeight="true" outlineLevel="0" collapsed="false">
      <c r="B8" s="59" t="s">
        <v>150</v>
      </c>
      <c r="C8" s="60" t="n">
        <f aca="false">VLOOKUP(O13,K14:O30,5)</f>
        <v>22</v>
      </c>
      <c r="H8" s="61"/>
      <c r="I8" s="62"/>
    </row>
    <row r="9" customFormat="false" ht="15.75" hidden="false" customHeight="true" outlineLevel="0" collapsed="false">
      <c r="B9" s="59" t="s">
        <v>151</v>
      </c>
      <c r="C9" s="60" t="str">
        <f aca="false">VLOOKUP(Q13,K14:Q18,7)</f>
        <v>8-Ball</v>
      </c>
      <c r="H9" s="61"/>
      <c r="I9" s="62"/>
    </row>
    <row r="10" customFormat="false" ht="15.75" hidden="false" customHeight="true" outlineLevel="0" collapsed="false">
      <c r="B10" s="59" t="s">
        <v>152</v>
      </c>
      <c r="C10" s="60" t="str">
        <f aca="false">VLOOKUP(R13,K14:R16,8)</f>
        <v>Get-a-Cue</v>
      </c>
      <c r="H10" s="61"/>
      <c r="I10" s="62"/>
    </row>
    <row r="11" customFormat="false" ht="15.75" hidden="false" customHeight="true" outlineLevel="0" collapsed="false">
      <c r="B11" s="59" t="s">
        <v>153</v>
      </c>
      <c r="C11" s="63" t="n">
        <f aca="false">VLOOKUP(S13,K14:S34,9)</f>
        <v>20</v>
      </c>
      <c r="H11" s="64"/>
    </row>
    <row r="12" customFormat="false" ht="15.75" hidden="false" customHeight="true" outlineLevel="0" collapsed="false">
      <c r="B12" s="59" t="s">
        <v>154</v>
      </c>
      <c r="C12" s="63" t="str">
        <f aca="false">VLOOKUP(U13,K14:U20,11)</f>
        <v>Wednesday</v>
      </c>
      <c r="D12" s="65"/>
      <c r="L12" s="0" t="s">
        <v>155</v>
      </c>
    </row>
    <row r="13" s="66" customFormat="true" ht="15.75" hidden="false" customHeight="true" outlineLevel="0" collapsed="false">
      <c r="B13" s="59" t="s">
        <v>156</v>
      </c>
      <c r="C13" s="60" t="n">
        <f aca="false">VLOOKUP(T13,K14:T21,10)</f>
        <v>0.9</v>
      </c>
      <c r="K13" s="67"/>
      <c r="L13" s="67" t="n">
        <v>5</v>
      </c>
      <c r="M13" s="67" t="n">
        <v>4</v>
      </c>
      <c r="N13" s="67" t="n">
        <v>4</v>
      </c>
      <c r="O13" s="67" t="n">
        <v>17</v>
      </c>
      <c r="P13" s="67"/>
      <c r="Q13" s="67" t="n">
        <v>1</v>
      </c>
      <c r="R13" s="67" t="n">
        <v>1</v>
      </c>
      <c r="S13" s="67" t="n">
        <v>11</v>
      </c>
      <c r="T13" s="67" t="n">
        <v>2</v>
      </c>
      <c r="U13" s="67" t="n">
        <v>3</v>
      </c>
    </row>
    <row r="14" customFormat="false" ht="15" hidden="false" customHeight="false" outlineLevel="0" collapsed="false">
      <c r="K14" s="0" t="n">
        <v>1</v>
      </c>
      <c r="L14" s="0" t="n">
        <v>4</v>
      </c>
      <c r="M14" s="0" t="n">
        <v>2</v>
      </c>
      <c r="N14" s="0" t="n">
        <v>0</v>
      </c>
      <c r="O14" s="0" t="n">
        <v>6</v>
      </c>
      <c r="Q14" s="0" t="s">
        <v>157</v>
      </c>
      <c r="R14" s="0" t="s">
        <v>158</v>
      </c>
      <c r="S14" s="0" t="n">
        <v>10</v>
      </c>
      <c r="T14" s="68" t="n">
        <v>1</v>
      </c>
      <c r="U14" s="0" t="s">
        <v>159</v>
      </c>
    </row>
    <row r="15" customFormat="false" ht="15" hidden="false" customHeight="false" outlineLevel="0" collapsed="false">
      <c r="K15" s="0" t="n">
        <v>2</v>
      </c>
      <c r="L15" s="0" t="n">
        <v>6</v>
      </c>
      <c r="M15" s="0" t="n">
        <v>3</v>
      </c>
      <c r="N15" s="0" t="n">
        <v>1</v>
      </c>
      <c r="O15" s="0" t="n">
        <v>7</v>
      </c>
      <c r="Q15" s="0" t="s">
        <v>160</v>
      </c>
      <c r="R15" s="0" t="s">
        <v>161</v>
      </c>
      <c r="S15" s="0" t="n">
        <v>11</v>
      </c>
      <c r="T15" s="68" t="n">
        <v>0.9</v>
      </c>
      <c r="U15" s="0" t="s">
        <v>162</v>
      </c>
    </row>
    <row r="16" customFormat="false" ht="15" hidden="false" customHeight="false" outlineLevel="0" collapsed="false">
      <c r="A16" s="69" t="s">
        <v>0</v>
      </c>
      <c r="B16" s="70" t="s">
        <v>70</v>
      </c>
      <c r="C16" s="71" t="s">
        <v>163</v>
      </c>
      <c r="D16" s="72" t="s">
        <v>133</v>
      </c>
      <c r="E16" s="73" t="s">
        <v>46</v>
      </c>
      <c r="F16" s="71" t="s">
        <v>163</v>
      </c>
      <c r="K16" s="0" t="n">
        <v>3</v>
      </c>
      <c r="L16" s="0" t="n">
        <v>8</v>
      </c>
      <c r="M16" s="0" t="n">
        <v>4</v>
      </c>
      <c r="N16" s="0" t="n">
        <v>2</v>
      </c>
      <c r="O16" s="0" t="n">
        <v>8</v>
      </c>
      <c r="Q16" s="0" t="s">
        <v>164</v>
      </c>
      <c r="R16" s="0" t="s">
        <v>165</v>
      </c>
      <c r="S16" s="0" t="n">
        <v>12</v>
      </c>
      <c r="T16" s="68" t="n">
        <v>0.8</v>
      </c>
      <c r="U16" s="0" t="s">
        <v>166</v>
      </c>
    </row>
    <row r="17" customFormat="false" ht="15" hidden="false" customHeight="false" outlineLevel="0" collapsed="false">
      <c r="A17" s="74" t="s">
        <v>167</v>
      </c>
      <c r="B17" s="75"/>
      <c r="C17" s="76"/>
      <c r="D17" s="74" t="s">
        <v>167</v>
      </c>
      <c r="E17" s="75"/>
      <c r="F17" s="76"/>
      <c r="K17" s="0" t="n">
        <v>4</v>
      </c>
      <c r="L17" s="0" t="n">
        <v>10</v>
      </c>
      <c r="M17" s="0" t="n">
        <v>5</v>
      </c>
      <c r="N17" s="0" t="n">
        <v>3</v>
      </c>
      <c r="O17" s="0" t="n">
        <v>9</v>
      </c>
      <c r="Q17" s="0" t="s">
        <v>168</v>
      </c>
      <c r="S17" s="0" t="n">
        <v>13</v>
      </c>
      <c r="T17" s="68" t="n">
        <v>0.7</v>
      </c>
      <c r="U17" s="0" t="s">
        <v>169</v>
      </c>
    </row>
    <row r="18" customFormat="false" ht="15" hidden="false" customHeight="false" outlineLevel="0" collapsed="false">
      <c r="A18" s="77" t="s">
        <v>170</v>
      </c>
      <c r="B18" s="78" t="s">
        <v>69</v>
      </c>
      <c r="C18" s="79" t="b">
        <f aca="false">FALSE()</f>
        <v>0</v>
      </c>
      <c r="D18" s="77" t="s">
        <v>170</v>
      </c>
      <c r="E18" s="78" t="s">
        <v>95</v>
      </c>
      <c r="F18" s="79" t="b">
        <f aca="false">FALSE()</f>
        <v>0</v>
      </c>
      <c r="K18" s="0" t="n">
        <v>5</v>
      </c>
      <c r="L18" s="0" t="n">
        <v>12</v>
      </c>
      <c r="O18" s="0" t="n">
        <v>10</v>
      </c>
      <c r="Q18" s="0" t="s">
        <v>171</v>
      </c>
      <c r="S18" s="0" t="n">
        <v>14</v>
      </c>
      <c r="T18" s="68" t="n">
        <v>0.6</v>
      </c>
      <c r="U18" s="0" t="s">
        <v>172</v>
      </c>
    </row>
    <row r="19" customFormat="false" ht="15" hidden="false" customHeight="false" outlineLevel="0" collapsed="false">
      <c r="A19" s="59" t="s">
        <v>173</v>
      </c>
      <c r="B19" s="78"/>
      <c r="C19" s="80" t="s">
        <v>174</v>
      </c>
      <c r="D19" s="59" t="s">
        <v>173</v>
      </c>
      <c r="E19" s="78"/>
      <c r="F19" s="80" t="s">
        <v>174</v>
      </c>
      <c r="K19" s="0" t="n">
        <v>6</v>
      </c>
      <c r="L19" s="0" t="n">
        <v>14</v>
      </c>
      <c r="O19" s="0" t="n">
        <v>11</v>
      </c>
      <c r="S19" s="0" t="n">
        <v>15</v>
      </c>
      <c r="T19" s="68" t="n">
        <v>0.5</v>
      </c>
      <c r="U19" s="0" t="s">
        <v>175</v>
      </c>
    </row>
    <row r="20" customFormat="false" ht="15" hidden="false" customHeight="false" outlineLevel="0" collapsed="false">
      <c r="A20" s="59" t="s">
        <v>176</v>
      </c>
      <c r="B20" s="78"/>
      <c r="C20" s="81" t="n">
        <v>10</v>
      </c>
      <c r="D20" s="59" t="s">
        <v>176</v>
      </c>
      <c r="E20" s="78"/>
      <c r="F20" s="81" t="n">
        <v>10</v>
      </c>
      <c r="K20" s="0" t="n">
        <v>7</v>
      </c>
      <c r="L20" s="0" t="n">
        <v>16</v>
      </c>
      <c r="O20" s="0" t="n">
        <v>12</v>
      </c>
      <c r="S20" s="0" t="n">
        <v>16</v>
      </c>
      <c r="T20" s="68" t="n">
        <v>0.4</v>
      </c>
      <c r="U20" s="0" t="s">
        <v>177</v>
      </c>
    </row>
    <row r="21" customFormat="false" ht="15" hidden="false" customHeight="false" outlineLevel="0" collapsed="false">
      <c r="A21" s="59" t="s">
        <v>178</v>
      </c>
      <c r="B21" s="78"/>
      <c r="C21" s="82"/>
      <c r="D21" s="59" t="s">
        <v>178</v>
      </c>
      <c r="E21" s="78"/>
      <c r="F21" s="82"/>
      <c r="K21" s="0" t="n">
        <v>8</v>
      </c>
      <c r="L21" s="0" t="n">
        <v>18</v>
      </c>
      <c r="O21" s="0" t="n">
        <v>13</v>
      </c>
      <c r="S21" s="0" t="n">
        <v>17</v>
      </c>
      <c r="T21" s="68" t="n">
        <v>0</v>
      </c>
    </row>
    <row r="22" customFormat="false" ht="15" hidden="false" customHeight="false" outlineLevel="0" collapsed="false">
      <c r="A22" s="59" t="s">
        <v>179</v>
      </c>
      <c r="B22" s="78"/>
      <c r="C22" s="82"/>
      <c r="D22" s="59" t="s">
        <v>179</v>
      </c>
      <c r="E22" s="78"/>
      <c r="F22" s="82"/>
      <c r="K22" s="0" t="n">
        <v>9</v>
      </c>
      <c r="L22" s="0" t="n">
        <v>20</v>
      </c>
      <c r="O22" s="0" t="n">
        <v>14</v>
      </c>
      <c r="S22" s="0" t="n">
        <v>18</v>
      </c>
    </row>
    <row r="23" customFormat="false" ht="15" hidden="false" customHeight="false" outlineLevel="0" collapsed="false">
      <c r="A23" s="83" t="s">
        <v>180</v>
      </c>
      <c r="B23" s="78" t="s">
        <v>125</v>
      </c>
      <c r="C23" s="79" t="b">
        <f aca="false">FALSE()</f>
        <v>0</v>
      </c>
      <c r="D23" s="77" t="s">
        <v>180</v>
      </c>
      <c r="E23" s="78" t="s">
        <v>48</v>
      </c>
      <c r="F23" s="79" t="b">
        <f aca="false">FALSE()</f>
        <v>0</v>
      </c>
      <c r="K23" s="0" t="n">
        <v>10</v>
      </c>
      <c r="O23" s="0" t="n">
        <v>15</v>
      </c>
      <c r="S23" s="0" t="n">
        <v>19</v>
      </c>
    </row>
    <row r="24" customFormat="false" ht="15" hidden="false" customHeight="false" outlineLevel="0" collapsed="false">
      <c r="A24" s="59" t="s">
        <v>173</v>
      </c>
      <c r="B24" s="78"/>
      <c r="C24" s="80" t="s">
        <v>174</v>
      </c>
      <c r="D24" s="59" t="s">
        <v>173</v>
      </c>
      <c r="E24" s="78"/>
      <c r="F24" s="80" t="s">
        <v>174</v>
      </c>
      <c r="K24" s="0" t="n">
        <v>11</v>
      </c>
      <c r="O24" s="0" t="n">
        <v>16</v>
      </c>
      <c r="S24" s="0" t="n">
        <v>20</v>
      </c>
    </row>
    <row r="25" customFormat="false" ht="15" hidden="false" customHeight="false" outlineLevel="0" collapsed="false">
      <c r="A25" s="59" t="s">
        <v>176</v>
      </c>
      <c r="B25" s="78"/>
      <c r="C25" s="81" t="n">
        <v>10</v>
      </c>
      <c r="D25" s="59" t="s">
        <v>176</v>
      </c>
      <c r="E25" s="78"/>
      <c r="F25" s="81" t="n">
        <v>10</v>
      </c>
      <c r="K25" s="0" t="n">
        <v>12</v>
      </c>
      <c r="O25" s="0" t="n">
        <v>17</v>
      </c>
      <c r="S25" s="0" t="n">
        <v>21</v>
      </c>
    </row>
    <row r="26" customFormat="false" ht="15" hidden="false" customHeight="false" outlineLevel="0" collapsed="false">
      <c r="A26" s="59" t="s">
        <v>178</v>
      </c>
      <c r="B26" s="78"/>
      <c r="C26" s="82"/>
      <c r="D26" s="59" t="s">
        <v>178</v>
      </c>
      <c r="E26" s="78"/>
      <c r="F26" s="82"/>
      <c r="K26" s="0" t="n">
        <v>13</v>
      </c>
      <c r="O26" s="0" t="n">
        <v>18</v>
      </c>
      <c r="S26" s="0" t="n">
        <v>22</v>
      </c>
    </row>
    <row r="27" customFormat="false" ht="15" hidden="false" customHeight="false" outlineLevel="0" collapsed="false">
      <c r="A27" s="59" t="s">
        <v>179</v>
      </c>
      <c r="B27" s="78"/>
      <c r="C27" s="82"/>
      <c r="D27" s="59" t="s">
        <v>179</v>
      </c>
      <c r="E27" s="78"/>
      <c r="F27" s="82"/>
      <c r="K27" s="0" t="n">
        <v>14</v>
      </c>
      <c r="O27" s="0" t="n">
        <v>19</v>
      </c>
      <c r="S27" s="0" t="n">
        <v>23</v>
      </c>
    </row>
    <row r="28" customFormat="false" ht="15" hidden="false" customHeight="false" outlineLevel="0" collapsed="false">
      <c r="A28" s="83" t="s">
        <v>181</v>
      </c>
      <c r="B28" s="78" t="s">
        <v>123</v>
      </c>
      <c r="C28" s="79" t="b">
        <f aca="false">FALSE()</f>
        <v>0</v>
      </c>
      <c r="D28" s="77" t="s">
        <v>181</v>
      </c>
      <c r="E28" s="78" t="s">
        <v>104</v>
      </c>
      <c r="F28" s="79" t="b">
        <f aca="false">FALSE()</f>
        <v>0</v>
      </c>
      <c r="K28" s="0" t="n">
        <v>15</v>
      </c>
      <c r="O28" s="0" t="n">
        <v>20</v>
      </c>
      <c r="S28" s="0" t="n">
        <v>24</v>
      </c>
    </row>
    <row r="29" customFormat="false" ht="15" hidden="false" customHeight="false" outlineLevel="0" collapsed="false">
      <c r="A29" s="59" t="s">
        <v>173</v>
      </c>
      <c r="B29" s="78"/>
      <c r="C29" s="80" t="s">
        <v>174</v>
      </c>
      <c r="D29" s="59" t="s">
        <v>173</v>
      </c>
      <c r="E29" s="78"/>
      <c r="F29" s="80" t="s">
        <v>174</v>
      </c>
      <c r="K29" s="0" t="n">
        <v>16</v>
      </c>
      <c r="O29" s="0" t="n">
        <v>21</v>
      </c>
      <c r="S29" s="0" t="n">
        <v>25</v>
      </c>
    </row>
    <row r="30" customFormat="false" ht="15" hidden="false" customHeight="false" outlineLevel="0" collapsed="false">
      <c r="A30" s="59" t="s">
        <v>176</v>
      </c>
      <c r="B30" s="78"/>
      <c r="C30" s="81" t="n">
        <v>10</v>
      </c>
      <c r="D30" s="59" t="s">
        <v>176</v>
      </c>
      <c r="E30" s="78"/>
      <c r="F30" s="81" t="n">
        <v>10</v>
      </c>
      <c r="K30" s="0" t="n">
        <v>17</v>
      </c>
      <c r="O30" s="0" t="n">
        <v>22</v>
      </c>
      <c r="S30" s="0" t="n">
        <v>26</v>
      </c>
    </row>
    <row r="31" customFormat="false" ht="15" hidden="false" customHeight="false" outlineLevel="0" collapsed="false">
      <c r="A31" s="59" t="s">
        <v>178</v>
      </c>
      <c r="B31" s="78"/>
      <c r="C31" s="82"/>
      <c r="D31" s="59" t="s">
        <v>178</v>
      </c>
      <c r="E31" s="78"/>
      <c r="F31" s="82"/>
      <c r="K31" s="0" t="n">
        <v>18</v>
      </c>
      <c r="S31" s="0" t="n">
        <v>27</v>
      </c>
    </row>
    <row r="32" customFormat="false" ht="15" hidden="false" customHeight="false" outlineLevel="0" collapsed="false">
      <c r="A32" s="59" t="s">
        <v>179</v>
      </c>
      <c r="B32" s="78"/>
      <c r="C32" s="82"/>
      <c r="D32" s="59" t="s">
        <v>179</v>
      </c>
      <c r="E32" s="78"/>
      <c r="F32" s="82"/>
      <c r="K32" s="0" t="n">
        <v>19</v>
      </c>
      <c r="S32" s="0" t="n">
        <v>28</v>
      </c>
    </row>
    <row r="33" customFormat="false" ht="15" hidden="false" customHeight="false" outlineLevel="0" collapsed="false">
      <c r="A33" s="83" t="s">
        <v>182</v>
      </c>
      <c r="B33" s="78" t="s">
        <v>110</v>
      </c>
      <c r="C33" s="79" t="b">
        <f aca="false">FALSE()</f>
        <v>0</v>
      </c>
      <c r="D33" s="77" t="s">
        <v>182</v>
      </c>
      <c r="E33" s="78" t="s">
        <v>115</v>
      </c>
      <c r="F33" s="79" t="b">
        <f aca="false">FALSE()</f>
        <v>0</v>
      </c>
      <c r="K33" s="0" t="n">
        <v>20</v>
      </c>
      <c r="S33" s="0" t="n">
        <v>29</v>
      </c>
    </row>
    <row r="34" customFormat="false" ht="15" hidden="false" customHeight="false" outlineLevel="0" collapsed="false">
      <c r="A34" s="59" t="s">
        <v>173</v>
      </c>
      <c r="B34" s="78"/>
      <c r="C34" s="80" t="s">
        <v>174</v>
      </c>
      <c r="D34" s="59" t="s">
        <v>173</v>
      </c>
      <c r="E34" s="78"/>
      <c r="F34" s="80" t="s">
        <v>174</v>
      </c>
      <c r="S34" s="0" t="n">
        <v>30</v>
      </c>
    </row>
    <row r="35" customFormat="false" ht="15" hidden="false" customHeight="false" outlineLevel="0" collapsed="false">
      <c r="A35" s="59" t="s">
        <v>176</v>
      </c>
      <c r="B35" s="78"/>
      <c r="C35" s="81" t="n">
        <v>10</v>
      </c>
      <c r="D35" s="59" t="s">
        <v>176</v>
      </c>
      <c r="E35" s="78"/>
      <c r="F35" s="81" t="n">
        <v>10</v>
      </c>
    </row>
    <row r="36" customFormat="false" ht="15" hidden="false" customHeight="false" outlineLevel="0" collapsed="false">
      <c r="A36" s="59" t="s">
        <v>178</v>
      </c>
      <c r="B36" s="78"/>
      <c r="C36" s="82"/>
      <c r="D36" s="59" t="s">
        <v>178</v>
      </c>
      <c r="E36" s="78"/>
      <c r="F36" s="82"/>
    </row>
    <row r="37" customFormat="false" ht="15" hidden="false" customHeight="false" outlineLevel="0" collapsed="false">
      <c r="A37" s="59" t="s">
        <v>179</v>
      </c>
      <c r="B37" s="78"/>
      <c r="C37" s="82"/>
      <c r="D37" s="59" t="s">
        <v>179</v>
      </c>
      <c r="E37" s="78"/>
      <c r="F37" s="82"/>
    </row>
    <row r="38" customFormat="false" ht="15" hidden="false" customHeight="false" outlineLevel="0" collapsed="false">
      <c r="A38" s="83" t="s">
        <v>183</v>
      </c>
      <c r="B38" s="78" t="s">
        <v>124</v>
      </c>
      <c r="C38" s="79" t="b">
        <f aca="false">FALSE()</f>
        <v>0</v>
      </c>
      <c r="D38" s="77" t="s">
        <v>183</v>
      </c>
      <c r="E38" s="78" t="s">
        <v>89</v>
      </c>
      <c r="F38" s="79" t="b">
        <f aca="false">FALSE()</f>
        <v>0</v>
      </c>
    </row>
    <row r="39" customFormat="false" ht="15" hidden="false" customHeight="false" outlineLevel="0" collapsed="false">
      <c r="A39" s="59" t="s">
        <v>173</v>
      </c>
      <c r="B39" s="78"/>
      <c r="C39" s="80" t="s">
        <v>174</v>
      </c>
      <c r="D39" s="59" t="s">
        <v>173</v>
      </c>
      <c r="E39" s="78"/>
      <c r="F39" s="80" t="s">
        <v>174</v>
      </c>
    </row>
    <row r="40" customFormat="false" ht="15" hidden="false" customHeight="false" outlineLevel="0" collapsed="false">
      <c r="A40" s="59" t="s">
        <v>176</v>
      </c>
      <c r="B40" s="78"/>
      <c r="C40" s="81" t="n">
        <v>10</v>
      </c>
      <c r="D40" s="59" t="s">
        <v>176</v>
      </c>
      <c r="E40" s="78"/>
      <c r="F40" s="81" t="n">
        <v>10</v>
      </c>
    </row>
    <row r="41" customFormat="false" ht="15" hidden="false" customHeight="false" outlineLevel="0" collapsed="false">
      <c r="A41" s="59" t="s">
        <v>178</v>
      </c>
      <c r="B41" s="78"/>
      <c r="C41" s="82"/>
      <c r="D41" s="59" t="s">
        <v>178</v>
      </c>
      <c r="E41" s="78"/>
      <c r="F41" s="82"/>
    </row>
    <row r="42" customFormat="false" ht="15" hidden="false" customHeight="false" outlineLevel="0" collapsed="false">
      <c r="A42" s="59" t="s">
        <v>179</v>
      </c>
      <c r="B42" s="78"/>
      <c r="C42" s="82"/>
      <c r="D42" s="59" t="s">
        <v>179</v>
      </c>
      <c r="E42" s="78"/>
      <c r="F42" s="82"/>
    </row>
    <row r="43" customFormat="false" ht="15" hidden="false" customHeight="false" outlineLevel="0" collapsed="false">
      <c r="A43" s="77" t="s">
        <v>184</v>
      </c>
      <c r="B43" s="78"/>
      <c r="C43" s="82"/>
      <c r="D43" s="77" t="s">
        <v>184</v>
      </c>
      <c r="E43" s="78"/>
      <c r="F43" s="82"/>
    </row>
    <row r="44" customFormat="false" ht="15" hidden="false" customHeight="false" outlineLevel="0" collapsed="false">
      <c r="A44" s="59" t="s">
        <v>173</v>
      </c>
      <c r="B44" s="78"/>
      <c r="C44" s="82"/>
      <c r="D44" s="59" t="s">
        <v>173</v>
      </c>
      <c r="E44" s="78"/>
      <c r="F44" s="82"/>
    </row>
    <row r="45" customFormat="false" ht="15" hidden="false" customHeight="false" outlineLevel="0" collapsed="false">
      <c r="A45" s="59" t="s">
        <v>176</v>
      </c>
      <c r="B45" s="78"/>
      <c r="C45" s="82"/>
      <c r="D45" s="59" t="s">
        <v>176</v>
      </c>
      <c r="E45" s="78"/>
      <c r="F45" s="82"/>
    </row>
    <row r="46" customFormat="false" ht="15" hidden="false" customHeight="false" outlineLevel="0" collapsed="false">
      <c r="A46" s="59" t="s">
        <v>178</v>
      </c>
      <c r="B46" s="78"/>
      <c r="C46" s="82"/>
      <c r="D46" s="59" t="s">
        <v>178</v>
      </c>
      <c r="E46" s="78"/>
      <c r="F46" s="82"/>
    </row>
    <row r="47" customFormat="false" ht="15" hidden="false" customHeight="false" outlineLevel="0" collapsed="false">
      <c r="A47" s="59" t="s">
        <v>179</v>
      </c>
      <c r="B47" s="78"/>
      <c r="C47" s="82"/>
      <c r="D47" s="59" t="s">
        <v>179</v>
      </c>
      <c r="E47" s="78"/>
      <c r="F47" s="82"/>
    </row>
    <row r="48" customFormat="false" ht="15" hidden="false" customHeight="false" outlineLevel="0" collapsed="false">
      <c r="A48" s="77" t="s">
        <v>185</v>
      </c>
      <c r="B48" s="78"/>
      <c r="C48" s="82"/>
      <c r="D48" s="77" t="s">
        <v>185</v>
      </c>
      <c r="E48" s="78"/>
      <c r="F48" s="82"/>
    </row>
    <row r="49" customFormat="false" ht="15" hidden="false" customHeight="false" outlineLevel="0" collapsed="false">
      <c r="A49" s="59" t="s">
        <v>173</v>
      </c>
      <c r="B49" s="78"/>
      <c r="C49" s="82"/>
      <c r="D49" s="59" t="s">
        <v>173</v>
      </c>
      <c r="E49" s="78"/>
      <c r="F49" s="82"/>
    </row>
    <row r="50" customFormat="false" ht="15" hidden="false" customHeight="false" outlineLevel="0" collapsed="false">
      <c r="A50" s="59" t="s">
        <v>176</v>
      </c>
      <c r="B50" s="78"/>
      <c r="C50" s="82"/>
      <c r="D50" s="59" t="s">
        <v>176</v>
      </c>
      <c r="E50" s="78"/>
      <c r="F50" s="82"/>
    </row>
    <row r="51" customFormat="false" ht="15" hidden="false" customHeight="false" outlineLevel="0" collapsed="false">
      <c r="A51" s="59" t="s">
        <v>178</v>
      </c>
      <c r="B51" s="78"/>
      <c r="C51" s="82"/>
      <c r="D51" s="59" t="s">
        <v>178</v>
      </c>
      <c r="E51" s="78"/>
      <c r="F51" s="82"/>
    </row>
    <row r="52" customFormat="false" ht="15" hidden="false" customHeight="false" outlineLevel="0" collapsed="false">
      <c r="A52" s="59" t="s">
        <v>179</v>
      </c>
      <c r="B52" s="78"/>
      <c r="C52" s="82"/>
      <c r="D52" s="59" t="s">
        <v>179</v>
      </c>
      <c r="E52" s="78"/>
      <c r="F52" s="82"/>
    </row>
    <row r="53" customFormat="false" ht="15" hidden="false" customHeight="false" outlineLevel="0" collapsed="false">
      <c r="A53" s="77" t="s">
        <v>186</v>
      </c>
      <c r="B53" s="78"/>
      <c r="C53" s="82"/>
      <c r="D53" s="77" t="s">
        <v>186</v>
      </c>
      <c r="E53" s="78"/>
      <c r="F53" s="82"/>
    </row>
    <row r="54" customFormat="false" ht="15" hidden="false" customHeight="false" outlineLevel="0" collapsed="false">
      <c r="A54" s="59" t="s">
        <v>173</v>
      </c>
      <c r="B54" s="78"/>
      <c r="C54" s="82"/>
      <c r="D54" s="59" t="s">
        <v>173</v>
      </c>
      <c r="E54" s="78"/>
      <c r="F54" s="82"/>
    </row>
    <row r="55" customFormat="false" ht="15" hidden="false" customHeight="false" outlineLevel="0" collapsed="false">
      <c r="A55" s="59" t="s">
        <v>176</v>
      </c>
      <c r="B55" s="78"/>
      <c r="C55" s="82"/>
      <c r="D55" s="59" t="s">
        <v>176</v>
      </c>
      <c r="E55" s="78"/>
      <c r="F55" s="82"/>
    </row>
    <row r="56" customFormat="false" ht="15" hidden="false" customHeight="false" outlineLevel="0" collapsed="false">
      <c r="A56" s="59" t="s">
        <v>178</v>
      </c>
      <c r="B56" s="78"/>
      <c r="C56" s="82"/>
      <c r="D56" s="59" t="s">
        <v>178</v>
      </c>
      <c r="E56" s="78"/>
      <c r="F56" s="82"/>
    </row>
    <row r="57" customFormat="false" ht="15" hidden="false" customHeight="false" outlineLevel="0" collapsed="false">
      <c r="A57" s="59" t="s">
        <v>179</v>
      </c>
      <c r="B57" s="78"/>
      <c r="C57" s="82"/>
      <c r="D57" s="59" t="s">
        <v>179</v>
      </c>
      <c r="E57" s="78"/>
      <c r="F57" s="82"/>
    </row>
    <row r="58" customFormat="false" ht="15" hidden="false" customHeight="false" outlineLevel="0" collapsed="false">
      <c r="B58" s="57"/>
      <c r="C58" s="82"/>
      <c r="E58" s="57"/>
      <c r="F58" s="82"/>
    </row>
    <row r="59" customFormat="false" ht="15" hidden="false" customHeight="false" outlineLevel="0" collapsed="false">
      <c r="A59" s="69" t="s">
        <v>75</v>
      </c>
      <c r="B59" s="73" t="s">
        <v>66</v>
      </c>
      <c r="C59" s="82"/>
      <c r="D59" s="84" t="s">
        <v>134</v>
      </c>
      <c r="E59" s="73" t="s">
        <v>73</v>
      </c>
      <c r="F59" s="82"/>
    </row>
    <row r="60" customFormat="false" ht="15" hidden="false" customHeight="false" outlineLevel="0" collapsed="false">
      <c r="A60" s="74" t="s">
        <v>167</v>
      </c>
      <c r="B60" s="75"/>
      <c r="C60" s="76"/>
      <c r="D60" s="74" t="s">
        <v>167</v>
      </c>
      <c r="E60" s="75"/>
      <c r="F60" s="76"/>
    </row>
    <row r="61" customFormat="false" ht="15" hidden="false" customHeight="false" outlineLevel="0" collapsed="false">
      <c r="A61" s="83" t="s">
        <v>170</v>
      </c>
      <c r="B61" s="78" t="s">
        <v>97</v>
      </c>
      <c r="C61" s="79" t="b">
        <f aca="false">FALSE()</f>
        <v>0</v>
      </c>
      <c r="D61" s="77" t="s">
        <v>170</v>
      </c>
      <c r="E61" s="78" t="n">
        <v>1</v>
      </c>
      <c r="F61" s="79" t="b">
        <f aca="false">FALSE()</f>
        <v>0</v>
      </c>
    </row>
    <row r="62" customFormat="false" ht="15" hidden="false" customHeight="false" outlineLevel="0" collapsed="false">
      <c r="A62" s="59" t="s">
        <v>173</v>
      </c>
      <c r="B62" s="78"/>
      <c r="C62" s="80" t="s">
        <v>174</v>
      </c>
      <c r="D62" s="59" t="s">
        <v>173</v>
      </c>
      <c r="E62" s="78"/>
      <c r="F62" s="80" t="s">
        <v>174</v>
      </c>
    </row>
    <row r="63" customFormat="false" ht="15" hidden="false" customHeight="false" outlineLevel="0" collapsed="false">
      <c r="A63" s="59" t="s">
        <v>176</v>
      </c>
      <c r="B63" s="78"/>
      <c r="C63" s="81" t="n">
        <v>10</v>
      </c>
      <c r="D63" s="59" t="s">
        <v>176</v>
      </c>
      <c r="E63" s="78"/>
      <c r="F63" s="81" t="n">
        <v>10</v>
      </c>
    </row>
    <row r="64" customFormat="false" ht="15" hidden="false" customHeight="false" outlineLevel="0" collapsed="false">
      <c r="A64" s="59" t="s">
        <v>178</v>
      </c>
      <c r="B64" s="78"/>
      <c r="C64" s="82"/>
      <c r="D64" s="59" t="s">
        <v>178</v>
      </c>
      <c r="E64" s="78"/>
      <c r="F64" s="82"/>
    </row>
    <row r="65" customFormat="false" ht="15" hidden="false" customHeight="false" outlineLevel="0" collapsed="false">
      <c r="A65" s="59" t="s">
        <v>179</v>
      </c>
      <c r="B65" s="78"/>
      <c r="C65" s="82"/>
      <c r="D65" s="59" t="s">
        <v>179</v>
      </c>
      <c r="E65" s="78"/>
      <c r="F65" s="82"/>
    </row>
    <row r="66" customFormat="false" ht="15" hidden="false" customHeight="false" outlineLevel="0" collapsed="false">
      <c r="A66" s="83" t="s">
        <v>180</v>
      </c>
      <c r="B66" s="78" t="s">
        <v>101</v>
      </c>
      <c r="C66" s="79" t="b">
        <f aca="false">FALSE()</f>
        <v>0</v>
      </c>
      <c r="D66" s="77" t="s">
        <v>180</v>
      </c>
      <c r="E66" s="78" t="n">
        <v>2</v>
      </c>
      <c r="F66" s="79" t="b">
        <f aca="false">FALSE()</f>
        <v>0</v>
      </c>
    </row>
    <row r="67" customFormat="false" ht="15" hidden="false" customHeight="false" outlineLevel="0" collapsed="false">
      <c r="A67" s="59" t="s">
        <v>173</v>
      </c>
      <c r="B67" s="78"/>
      <c r="C67" s="80" t="s">
        <v>174</v>
      </c>
      <c r="D67" s="59" t="s">
        <v>173</v>
      </c>
      <c r="E67" s="78"/>
      <c r="F67" s="80" t="s">
        <v>174</v>
      </c>
    </row>
    <row r="68" customFormat="false" ht="15" hidden="false" customHeight="false" outlineLevel="0" collapsed="false">
      <c r="A68" s="59" t="s">
        <v>176</v>
      </c>
      <c r="B68" s="78"/>
      <c r="C68" s="81" t="n">
        <v>10</v>
      </c>
      <c r="D68" s="59" t="s">
        <v>176</v>
      </c>
      <c r="E68" s="78"/>
      <c r="F68" s="81" t="n">
        <v>10</v>
      </c>
    </row>
    <row r="69" customFormat="false" ht="15" hidden="false" customHeight="false" outlineLevel="0" collapsed="false">
      <c r="A69" s="59" t="s">
        <v>178</v>
      </c>
      <c r="B69" s="78"/>
      <c r="C69" s="82"/>
      <c r="D69" s="59" t="s">
        <v>178</v>
      </c>
      <c r="E69" s="78"/>
      <c r="F69" s="82"/>
    </row>
    <row r="70" customFormat="false" ht="15" hidden="false" customHeight="false" outlineLevel="0" collapsed="false">
      <c r="A70" s="59" t="s">
        <v>179</v>
      </c>
      <c r="B70" s="78"/>
      <c r="C70" s="82"/>
      <c r="D70" s="59" t="s">
        <v>179</v>
      </c>
      <c r="E70" s="78"/>
      <c r="F70" s="82"/>
    </row>
    <row r="71" customFormat="false" ht="15" hidden="false" customHeight="false" outlineLevel="0" collapsed="false">
      <c r="A71" s="83" t="s">
        <v>181</v>
      </c>
      <c r="B71" s="78" t="s">
        <v>112</v>
      </c>
      <c r="C71" s="79" t="b">
        <f aca="false">FALSE()</f>
        <v>0</v>
      </c>
      <c r="D71" s="77" t="s">
        <v>181</v>
      </c>
      <c r="E71" s="78" t="n">
        <v>3</v>
      </c>
      <c r="F71" s="79" t="b">
        <f aca="false">FALSE()</f>
        <v>0</v>
      </c>
    </row>
    <row r="72" customFormat="false" ht="15" hidden="false" customHeight="false" outlineLevel="0" collapsed="false">
      <c r="A72" s="59" t="s">
        <v>173</v>
      </c>
      <c r="B72" s="78"/>
      <c r="C72" s="80" t="s">
        <v>174</v>
      </c>
      <c r="D72" s="59" t="s">
        <v>173</v>
      </c>
      <c r="E72" s="78"/>
      <c r="F72" s="80" t="s">
        <v>174</v>
      </c>
    </row>
    <row r="73" customFormat="false" ht="15" hidden="false" customHeight="false" outlineLevel="0" collapsed="false">
      <c r="A73" s="59" t="s">
        <v>176</v>
      </c>
      <c r="B73" s="78"/>
      <c r="C73" s="81" t="n">
        <v>10</v>
      </c>
      <c r="D73" s="59" t="s">
        <v>176</v>
      </c>
      <c r="E73" s="78"/>
      <c r="F73" s="81" t="n">
        <v>10</v>
      </c>
    </row>
    <row r="74" customFormat="false" ht="15" hidden="false" customHeight="false" outlineLevel="0" collapsed="false">
      <c r="A74" s="59" t="s">
        <v>178</v>
      </c>
      <c r="B74" s="78"/>
      <c r="C74" s="82"/>
      <c r="D74" s="59" t="s">
        <v>178</v>
      </c>
      <c r="E74" s="78"/>
      <c r="F74" s="82"/>
    </row>
    <row r="75" customFormat="false" ht="15" hidden="false" customHeight="false" outlineLevel="0" collapsed="false">
      <c r="A75" s="59" t="s">
        <v>179</v>
      </c>
      <c r="B75" s="78"/>
      <c r="C75" s="82"/>
      <c r="D75" s="59" t="s">
        <v>179</v>
      </c>
      <c r="E75" s="78"/>
      <c r="F75" s="82"/>
    </row>
    <row r="76" customFormat="false" ht="15" hidden="false" customHeight="false" outlineLevel="0" collapsed="false">
      <c r="A76" s="83" t="s">
        <v>182</v>
      </c>
      <c r="B76" s="78" t="s">
        <v>120</v>
      </c>
      <c r="C76" s="79" t="b">
        <f aca="false">FALSE()</f>
        <v>0</v>
      </c>
      <c r="D76" s="77" t="s">
        <v>182</v>
      </c>
      <c r="E76" s="78" t="n">
        <v>4</v>
      </c>
      <c r="F76" s="79" t="b">
        <f aca="false">FALSE()</f>
        <v>0</v>
      </c>
    </row>
    <row r="77" customFormat="false" ht="15" hidden="false" customHeight="false" outlineLevel="0" collapsed="false">
      <c r="A77" s="59" t="s">
        <v>173</v>
      </c>
      <c r="B77" s="78"/>
      <c r="C77" s="80" t="s">
        <v>174</v>
      </c>
      <c r="D77" s="59" t="s">
        <v>173</v>
      </c>
      <c r="E77" s="78"/>
      <c r="F77" s="80" t="s">
        <v>174</v>
      </c>
    </row>
    <row r="78" customFormat="false" ht="15" hidden="false" customHeight="false" outlineLevel="0" collapsed="false">
      <c r="A78" s="59" t="s">
        <v>176</v>
      </c>
      <c r="B78" s="78"/>
      <c r="C78" s="81" t="n">
        <v>10</v>
      </c>
      <c r="D78" s="59" t="s">
        <v>176</v>
      </c>
      <c r="E78" s="78"/>
      <c r="F78" s="81" t="n">
        <v>10</v>
      </c>
    </row>
    <row r="79" customFormat="false" ht="15" hidden="false" customHeight="false" outlineLevel="0" collapsed="false">
      <c r="A79" s="59" t="s">
        <v>178</v>
      </c>
      <c r="B79" s="78"/>
      <c r="C79" s="82"/>
      <c r="D79" s="59" t="s">
        <v>178</v>
      </c>
      <c r="E79" s="78"/>
      <c r="F79" s="82"/>
    </row>
    <row r="80" customFormat="false" ht="15" hidden="false" customHeight="false" outlineLevel="0" collapsed="false">
      <c r="A80" s="59" t="s">
        <v>179</v>
      </c>
      <c r="B80" s="78"/>
      <c r="C80" s="82"/>
      <c r="D80" s="59" t="s">
        <v>179</v>
      </c>
      <c r="E80" s="78"/>
      <c r="F80" s="82"/>
    </row>
    <row r="81" customFormat="false" ht="15" hidden="false" customHeight="false" outlineLevel="0" collapsed="false">
      <c r="A81" s="83" t="s">
        <v>183</v>
      </c>
      <c r="B81" s="78" t="s">
        <v>127</v>
      </c>
      <c r="C81" s="79" t="b">
        <f aca="false">FALSE()</f>
        <v>0</v>
      </c>
      <c r="D81" s="77" t="s">
        <v>183</v>
      </c>
      <c r="E81" s="78" t="n">
        <v>5</v>
      </c>
      <c r="F81" s="79" t="b">
        <f aca="false">FALSE()</f>
        <v>0</v>
      </c>
    </row>
    <row r="82" customFormat="false" ht="15" hidden="false" customHeight="false" outlineLevel="0" collapsed="false">
      <c r="A82" s="59" t="s">
        <v>173</v>
      </c>
      <c r="B82" s="78"/>
      <c r="C82" s="80" t="s">
        <v>174</v>
      </c>
      <c r="D82" s="59" t="s">
        <v>173</v>
      </c>
      <c r="E82" s="78"/>
      <c r="F82" s="80" t="s">
        <v>174</v>
      </c>
    </row>
    <row r="83" customFormat="false" ht="15" hidden="false" customHeight="false" outlineLevel="0" collapsed="false">
      <c r="A83" s="59" t="s">
        <v>176</v>
      </c>
      <c r="B83" s="78"/>
      <c r="C83" s="81" t="n">
        <v>10</v>
      </c>
      <c r="D83" s="59" t="s">
        <v>176</v>
      </c>
      <c r="E83" s="78"/>
      <c r="F83" s="81" t="n">
        <v>10</v>
      </c>
    </row>
    <row r="84" customFormat="false" ht="15" hidden="false" customHeight="false" outlineLevel="0" collapsed="false">
      <c r="A84" s="59" t="s">
        <v>178</v>
      </c>
      <c r="B84" s="78"/>
      <c r="C84" s="82"/>
      <c r="D84" s="59" t="s">
        <v>178</v>
      </c>
      <c r="E84" s="78"/>
      <c r="F84" s="82"/>
    </row>
    <row r="85" customFormat="false" ht="15" hidden="false" customHeight="false" outlineLevel="0" collapsed="false">
      <c r="A85" s="59" t="s">
        <v>179</v>
      </c>
      <c r="B85" s="78"/>
      <c r="C85" s="82"/>
      <c r="D85" s="59" t="s">
        <v>179</v>
      </c>
      <c r="E85" s="78"/>
      <c r="F85" s="82"/>
    </row>
    <row r="86" customFormat="false" ht="15" hidden="false" customHeight="false" outlineLevel="0" collapsed="false">
      <c r="A86" s="77" t="s">
        <v>184</v>
      </c>
      <c r="B86" s="78"/>
      <c r="C86" s="82"/>
      <c r="D86" s="77" t="s">
        <v>184</v>
      </c>
      <c r="E86" s="78"/>
      <c r="F86" s="82"/>
    </row>
    <row r="87" customFormat="false" ht="15" hidden="false" customHeight="false" outlineLevel="0" collapsed="false">
      <c r="A87" s="59" t="s">
        <v>173</v>
      </c>
      <c r="B87" s="78"/>
      <c r="C87" s="82"/>
      <c r="D87" s="59" t="s">
        <v>173</v>
      </c>
      <c r="E87" s="78"/>
      <c r="F87" s="82"/>
    </row>
    <row r="88" customFormat="false" ht="15" hidden="false" customHeight="false" outlineLevel="0" collapsed="false">
      <c r="A88" s="59" t="s">
        <v>176</v>
      </c>
      <c r="B88" s="78"/>
      <c r="C88" s="82"/>
      <c r="D88" s="59" t="s">
        <v>176</v>
      </c>
      <c r="E88" s="78"/>
      <c r="F88" s="82"/>
    </row>
    <row r="89" customFormat="false" ht="15" hidden="false" customHeight="false" outlineLevel="0" collapsed="false">
      <c r="A89" s="59" t="s">
        <v>178</v>
      </c>
      <c r="B89" s="78"/>
      <c r="C89" s="82"/>
      <c r="D89" s="59" t="s">
        <v>178</v>
      </c>
      <c r="E89" s="78"/>
      <c r="F89" s="82"/>
    </row>
    <row r="90" customFormat="false" ht="15" hidden="false" customHeight="false" outlineLevel="0" collapsed="false">
      <c r="A90" s="59" t="s">
        <v>179</v>
      </c>
      <c r="B90" s="78"/>
      <c r="C90" s="82"/>
      <c r="D90" s="59" t="s">
        <v>179</v>
      </c>
      <c r="E90" s="78"/>
      <c r="F90" s="82"/>
    </row>
    <row r="91" customFormat="false" ht="15" hidden="false" customHeight="false" outlineLevel="0" collapsed="false">
      <c r="A91" s="77" t="s">
        <v>185</v>
      </c>
      <c r="B91" s="78"/>
      <c r="C91" s="82"/>
      <c r="D91" s="77" t="s">
        <v>185</v>
      </c>
      <c r="E91" s="78"/>
      <c r="F91" s="82"/>
    </row>
    <row r="92" customFormat="false" ht="15" hidden="false" customHeight="false" outlineLevel="0" collapsed="false">
      <c r="A92" s="59" t="s">
        <v>173</v>
      </c>
      <c r="B92" s="78"/>
      <c r="C92" s="82"/>
      <c r="D92" s="59" t="s">
        <v>173</v>
      </c>
      <c r="E92" s="78"/>
      <c r="F92" s="82"/>
    </row>
    <row r="93" customFormat="false" ht="15" hidden="false" customHeight="false" outlineLevel="0" collapsed="false">
      <c r="A93" s="59" t="s">
        <v>176</v>
      </c>
      <c r="B93" s="78"/>
      <c r="C93" s="82"/>
      <c r="D93" s="59" t="s">
        <v>176</v>
      </c>
      <c r="E93" s="78"/>
      <c r="F93" s="82"/>
    </row>
    <row r="94" customFormat="false" ht="15" hidden="false" customHeight="false" outlineLevel="0" collapsed="false">
      <c r="A94" s="59" t="s">
        <v>178</v>
      </c>
      <c r="B94" s="78"/>
      <c r="C94" s="82"/>
      <c r="D94" s="59" t="s">
        <v>178</v>
      </c>
      <c r="E94" s="78"/>
      <c r="F94" s="82"/>
    </row>
    <row r="95" customFormat="false" ht="15" hidden="false" customHeight="false" outlineLevel="0" collapsed="false">
      <c r="A95" s="59" t="s">
        <v>179</v>
      </c>
      <c r="B95" s="78"/>
      <c r="C95" s="82"/>
      <c r="D95" s="59" t="s">
        <v>179</v>
      </c>
      <c r="E95" s="78"/>
      <c r="F95" s="82"/>
    </row>
    <row r="96" customFormat="false" ht="15" hidden="false" customHeight="false" outlineLevel="0" collapsed="false">
      <c r="A96" s="77" t="s">
        <v>186</v>
      </c>
      <c r="B96" s="78"/>
      <c r="C96" s="82"/>
      <c r="D96" s="77" t="s">
        <v>186</v>
      </c>
      <c r="E96" s="78"/>
      <c r="F96" s="82"/>
    </row>
    <row r="97" customFormat="false" ht="15" hidden="false" customHeight="false" outlineLevel="0" collapsed="false">
      <c r="A97" s="59" t="s">
        <v>173</v>
      </c>
      <c r="B97" s="78"/>
      <c r="C97" s="82"/>
      <c r="D97" s="59" t="s">
        <v>173</v>
      </c>
      <c r="E97" s="78"/>
      <c r="F97" s="82"/>
    </row>
    <row r="98" customFormat="false" ht="15" hidden="false" customHeight="false" outlineLevel="0" collapsed="false">
      <c r="A98" s="59" t="s">
        <v>176</v>
      </c>
      <c r="B98" s="78"/>
      <c r="C98" s="82"/>
      <c r="D98" s="59" t="s">
        <v>176</v>
      </c>
      <c r="E98" s="78"/>
      <c r="F98" s="82"/>
    </row>
    <row r="99" customFormat="false" ht="15" hidden="false" customHeight="false" outlineLevel="0" collapsed="false">
      <c r="A99" s="59" t="s">
        <v>178</v>
      </c>
      <c r="B99" s="78"/>
      <c r="C99" s="82"/>
      <c r="D99" s="59" t="s">
        <v>178</v>
      </c>
      <c r="E99" s="78"/>
      <c r="F99" s="82"/>
    </row>
    <row r="100" customFormat="false" ht="15" hidden="false" customHeight="false" outlineLevel="0" collapsed="false">
      <c r="A100" s="59" t="s">
        <v>179</v>
      </c>
      <c r="B100" s="78"/>
      <c r="C100" s="82"/>
      <c r="D100" s="59" t="s">
        <v>179</v>
      </c>
      <c r="E100" s="78"/>
      <c r="F100" s="82"/>
    </row>
    <row r="101" customFormat="false" ht="15" hidden="false" customHeight="false" outlineLevel="0" collapsed="false">
      <c r="B101" s="57"/>
      <c r="C101" s="82"/>
      <c r="E101" s="57"/>
      <c r="F101" s="82"/>
    </row>
    <row r="102" customFormat="false" ht="15" hidden="false" customHeight="false" outlineLevel="0" collapsed="false">
      <c r="A102" s="69" t="s">
        <v>99</v>
      </c>
      <c r="B102" s="73" t="s">
        <v>55</v>
      </c>
      <c r="C102" s="82"/>
      <c r="D102" s="84" t="s">
        <v>135</v>
      </c>
      <c r="E102" s="73"/>
      <c r="F102" s="82"/>
    </row>
    <row r="103" customFormat="false" ht="15" hidden="false" customHeight="false" outlineLevel="0" collapsed="false">
      <c r="A103" s="74" t="s">
        <v>167</v>
      </c>
      <c r="B103" s="75"/>
      <c r="C103" s="76"/>
      <c r="D103" s="74" t="s">
        <v>167</v>
      </c>
      <c r="E103" s="75"/>
      <c r="F103" s="76"/>
    </row>
    <row r="104" customFormat="false" ht="15" hidden="false" customHeight="false" outlineLevel="0" collapsed="false">
      <c r="A104" s="83" t="s">
        <v>170</v>
      </c>
      <c r="B104" s="78" t="s">
        <v>82</v>
      </c>
      <c r="C104" s="79" t="b">
        <f aca="false">FALSE()</f>
        <v>0</v>
      </c>
      <c r="D104" s="77" t="s">
        <v>170</v>
      </c>
      <c r="E104" s="78"/>
      <c r="F104" s="79" t="b">
        <f aca="false">FALSE()</f>
        <v>0</v>
      </c>
    </row>
    <row r="105" customFormat="false" ht="15" hidden="false" customHeight="false" outlineLevel="0" collapsed="false">
      <c r="A105" s="59" t="s">
        <v>173</v>
      </c>
      <c r="B105" s="78"/>
      <c r="C105" s="80" t="s">
        <v>174</v>
      </c>
      <c r="D105" s="59" t="s">
        <v>173</v>
      </c>
      <c r="E105" s="78"/>
      <c r="F105" s="80" t="s">
        <v>174</v>
      </c>
    </row>
    <row r="106" customFormat="false" ht="15" hidden="false" customHeight="false" outlineLevel="0" collapsed="false">
      <c r="A106" s="59" t="s">
        <v>176</v>
      </c>
      <c r="B106" s="78"/>
      <c r="C106" s="81" t="n">
        <v>10</v>
      </c>
      <c r="D106" s="59" t="s">
        <v>176</v>
      </c>
      <c r="E106" s="78"/>
      <c r="F106" s="81" t="n">
        <v>10</v>
      </c>
    </row>
    <row r="107" customFormat="false" ht="15" hidden="false" customHeight="false" outlineLevel="0" collapsed="false">
      <c r="A107" s="59" t="s">
        <v>178</v>
      </c>
      <c r="B107" s="78"/>
      <c r="C107" s="82"/>
      <c r="D107" s="59" t="s">
        <v>178</v>
      </c>
      <c r="E107" s="78"/>
      <c r="F107" s="82"/>
    </row>
    <row r="108" customFormat="false" ht="15" hidden="false" customHeight="false" outlineLevel="0" collapsed="false">
      <c r="A108" s="59" t="s">
        <v>179</v>
      </c>
      <c r="B108" s="78"/>
      <c r="C108" s="82"/>
      <c r="D108" s="59" t="s">
        <v>179</v>
      </c>
      <c r="E108" s="78"/>
      <c r="F108" s="82"/>
    </row>
    <row r="109" customFormat="false" ht="15" hidden="false" customHeight="false" outlineLevel="0" collapsed="false">
      <c r="A109" s="83" t="s">
        <v>180</v>
      </c>
      <c r="B109" s="78" t="s">
        <v>115</v>
      </c>
      <c r="C109" s="79" t="b">
        <f aca="false">FALSE()</f>
        <v>0</v>
      </c>
      <c r="D109" s="77" t="s">
        <v>180</v>
      </c>
      <c r="E109" s="78"/>
      <c r="F109" s="79" t="b">
        <f aca="false">FALSE()</f>
        <v>0</v>
      </c>
    </row>
    <row r="110" customFormat="false" ht="15" hidden="false" customHeight="false" outlineLevel="0" collapsed="false">
      <c r="A110" s="59" t="s">
        <v>173</v>
      </c>
      <c r="B110" s="78"/>
      <c r="C110" s="80" t="s">
        <v>174</v>
      </c>
      <c r="D110" s="59" t="s">
        <v>173</v>
      </c>
      <c r="E110" s="78"/>
      <c r="F110" s="80" t="s">
        <v>174</v>
      </c>
    </row>
    <row r="111" customFormat="false" ht="15" hidden="false" customHeight="false" outlineLevel="0" collapsed="false">
      <c r="A111" s="59" t="s">
        <v>176</v>
      </c>
      <c r="B111" s="78"/>
      <c r="C111" s="81" t="n">
        <v>10</v>
      </c>
      <c r="D111" s="59" t="s">
        <v>176</v>
      </c>
      <c r="E111" s="78"/>
      <c r="F111" s="81" t="n">
        <v>10</v>
      </c>
    </row>
    <row r="112" customFormat="false" ht="15" hidden="false" customHeight="false" outlineLevel="0" collapsed="false">
      <c r="A112" s="59" t="s">
        <v>178</v>
      </c>
      <c r="B112" s="78"/>
      <c r="C112" s="82"/>
      <c r="D112" s="59" t="s">
        <v>178</v>
      </c>
      <c r="E112" s="78"/>
      <c r="F112" s="82"/>
    </row>
    <row r="113" customFormat="false" ht="15" hidden="false" customHeight="false" outlineLevel="0" collapsed="false">
      <c r="A113" s="59" t="s">
        <v>179</v>
      </c>
      <c r="B113" s="78"/>
      <c r="C113" s="82"/>
      <c r="D113" s="59" t="s">
        <v>179</v>
      </c>
      <c r="E113" s="78"/>
      <c r="F113" s="82"/>
    </row>
    <row r="114" customFormat="false" ht="15" hidden="false" customHeight="false" outlineLevel="0" collapsed="false">
      <c r="A114" s="83" t="s">
        <v>181</v>
      </c>
      <c r="B114" s="78" t="s">
        <v>101</v>
      </c>
      <c r="C114" s="79" t="b">
        <f aca="false">FALSE()</f>
        <v>0</v>
      </c>
      <c r="D114" s="77" t="s">
        <v>181</v>
      </c>
      <c r="E114" s="78"/>
      <c r="F114" s="79" t="b">
        <f aca="false">FALSE()</f>
        <v>0</v>
      </c>
    </row>
    <row r="115" customFormat="false" ht="15" hidden="false" customHeight="false" outlineLevel="0" collapsed="false">
      <c r="A115" s="59" t="s">
        <v>173</v>
      </c>
      <c r="B115" s="78"/>
      <c r="C115" s="80" t="s">
        <v>174</v>
      </c>
      <c r="D115" s="59" t="s">
        <v>173</v>
      </c>
      <c r="E115" s="78"/>
      <c r="F115" s="80" t="s">
        <v>174</v>
      </c>
    </row>
    <row r="116" customFormat="false" ht="15" hidden="false" customHeight="false" outlineLevel="0" collapsed="false">
      <c r="A116" s="59" t="s">
        <v>176</v>
      </c>
      <c r="B116" s="78"/>
      <c r="C116" s="81" t="n">
        <v>10</v>
      </c>
      <c r="D116" s="59" t="s">
        <v>176</v>
      </c>
      <c r="E116" s="78"/>
      <c r="F116" s="81" t="n">
        <v>10</v>
      </c>
    </row>
    <row r="117" customFormat="false" ht="15" hidden="false" customHeight="false" outlineLevel="0" collapsed="false">
      <c r="A117" s="59" t="s">
        <v>178</v>
      </c>
      <c r="B117" s="78"/>
      <c r="C117" s="82"/>
      <c r="D117" s="59" t="s">
        <v>178</v>
      </c>
      <c r="E117" s="78"/>
      <c r="F117" s="82"/>
    </row>
    <row r="118" customFormat="false" ht="15" hidden="false" customHeight="false" outlineLevel="0" collapsed="false">
      <c r="A118" s="59" t="s">
        <v>179</v>
      </c>
      <c r="B118" s="78"/>
      <c r="C118" s="82"/>
      <c r="D118" s="59" t="s">
        <v>179</v>
      </c>
      <c r="E118" s="78"/>
      <c r="F118" s="82"/>
    </row>
    <row r="119" customFormat="false" ht="15" hidden="false" customHeight="false" outlineLevel="0" collapsed="false">
      <c r="A119" s="83" t="s">
        <v>182</v>
      </c>
      <c r="B119" s="78" t="s">
        <v>102</v>
      </c>
      <c r="C119" s="79" t="b">
        <f aca="false">FALSE()</f>
        <v>0</v>
      </c>
      <c r="D119" s="77" t="s">
        <v>182</v>
      </c>
      <c r="E119" s="78"/>
      <c r="F119" s="79" t="b">
        <f aca="false">FALSE()</f>
        <v>0</v>
      </c>
    </row>
    <row r="120" customFormat="false" ht="15" hidden="false" customHeight="false" outlineLevel="0" collapsed="false">
      <c r="A120" s="59" t="s">
        <v>173</v>
      </c>
      <c r="B120" s="78"/>
      <c r="C120" s="80" t="s">
        <v>174</v>
      </c>
      <c r="D120" s="59" t="s">
        <v>173</v>
      </c>
      <c r="E120" s="78"/>
      <c r="F120" s="80" t="s">
        <v>174</v>
      </c>
    </row>
    <row r="121" customFormat="false" ht="15" hidden="false" customHeight="false" outlineLevel="0" collapsed="false">
      <c r="A121" s="59" t="s">
        <v>176</v>
      </c>
      <c r="B121" s="78"/>
      <c r="C121" s="81" t="n">
        <v>10</v>
      </c>
      <c r="D121" s="59" t="s">
        <v>176</v>
      </c>
      <c r="E121" s="78"/>
      <c r="F121" s="81" t="n">
        <v>10</v>
      </c>
    </row>
    <row r="122" customFormat="false" ht="15" hidden="false" customHeight="false" outlineLevel="0" collapsed="false">
      <c r="A122" s="59" t="s">
        <v>178</v>
      </c>
      <c r="B122" s="78"/>
      <c r="C122" s="82"/>
      <c r="D122" s="59" t="s">
        <v>178</v>
      </c>
      <c r="E122" s="78"/>
      <c r="F122" s="82"/>
    </row>
    <row r="123" customFormat="false" ht="15" hidden="false" customHeight="false" outlineLevel="0" collapsed="false">
      <c r="A123" s="59" t="s">
        <v>179</v>
      </c>
      <c r="B123" s="78"/>
      <c r="C123" s="82"/>
      <c r="D123" s="59" t="s">
        <v>179</v>
      </c>
      <c r="E123" s="78"/>
      <c r="F123" s="82"/>
    </row>
    <row r="124" customFormat="false" ht="15" hidden="false" customHeight="false" outlineLevel="0" collapsed="false">
      <c r="A124" s="83" t="s">
        <v>183</v>
      </c>
      <c r="B124" s="78" t="s">
        <v>96</v>
      </c>
      <c r="C124" s="79" t="b">
        <f aca="false">FALSE()</f>
        <v>0</v>
      </c>
      <c r="D124" s="77" t="s">
        <v>183</v>
      </c>
      <c r="E124" s="78"/>
      <c r="F124" s="79" t="b">
        <f aca="false">FALSE()</f>
        <v>0</v>
      </c>
    </row>
    <row r="125" customFormat="false" ht="15" hidden="false" customHeight="false" outlineLevel="0" collapsed="false">
      <c r="A125" s="59" t="s">
        <v>173</v>
      </c>
      <c r="B125" s="78"/>
      <c r="C125" s="80" t="s">
        <v>174</v>
      </c>
      <c r="D125" s="59" t="s">
        <v>173</v>
      </c>
      <c r="E125" s="78"/>
      <c r="F125" s="80" t="s">
        <v>174</v>
      </c>
    </row>
    <row r="126" customFormat="false" ht="15" hidden="false" customHeight="false" outlineLevel="0" collapsed="false">
      <c r="A126" s="59" t="s">
        <v>176</v>
      </c>
      <c r="B126" s="78"/>
      <c r="C126" s="81" t="n">
        <v>10</v>
      </c>
      <c r="D126" s="59" t="s">
        <v>176</v>
      </c>
      <c r="E126" s="78"/>
      <c r="F126" s="81" t="n">
        <v>10</v>
      </c>
    </row>
    <row r="127" customFormat="false" ht="15" hidden="false" customHeight="false" outlineLevel="0" collapsed="false">
      <c r="A127" s="59" t="s">
        <v>178</v>
      </c>
      <c r="B127" s="78"/>
      <c r="C127" s="82"/>
      <c r="D127" s="59" t="s">
        <v>178</v>
      </c>
      <c r="E127" s="78"/>
      <c r="F127" s="82"/>
    </row>
    <row r="128" customFormat="false" ht="15" hidden="false" customHeight="false" outlineLevel="0" collapsed="false">
      <c r="A128" s="59" t="s">
        <v>179</v>
      </c>
      <c r="B128" s="78"/>
      <c r="C128" s="82"/>
      <c r="D128" s="59" t="s">
        <v>179</v>
      </c>
      <c r="E128" s="78"/>
      <c r="F128" s="82"/>
    </row>
    <row r="129" customFormat="false" ht="15" hidden="false" customHeight="false" outlineLevel="0" collapsed="false">
      <c r="A129" s="77" t="s">
        <v>184</v>
      </c>
      <c r="B129" s="78"/>
      <c r="C129" s="82"/>
      <c r="D129" s="77" t="s">
        <v>184</v>
      </c>
      <c r="E129" s="78"/>
      <c r="F129" s="82"/>
    </row>
    <row r="130" customFormat="false" ht="15" hidden="false" customHeight="false" outlineLevel="0" collapsed="false">
      <c r="A130" s="59" t="s">
        <v>173</v>
      </c>
      <c r="B130" s="78"/>
      <c r="C130" s="82"/>
      <c r="D130" s="59" t="s">
        <v>173</v>
      </c>
      <c r="E130" s="78"/>
      <c r="F130" s="82"/>
    </row>
    <row r="131" customFormat="false" ht="15" hidden="false" customHeight="false" outlineLevel="0" collapsed="false">
      <c r="A131" s="59" t="s">
        <v>176</v>
      </c>
      <c r="B131" s="78"/>
      <c r="C131" s="82"/>
      <c r="D131" s="59" t="s">
        <v>176</v>
      </c>
      <c r="E131" s="78"/>
      <c r="F131" s="82"/>
    </row>
    <row r="132" customFormat="false" ht="15" hidden="false" customHeight="false" outlineLevel="0" collapsed="false">
      <c r="A132" s="59" t="s">
        <v>178</v>
      </c>
      <c r="B132" s="78"/>
      <c r="C132" s="82"/>
      <c r="D132" s="59" t="s">
        <v>178</v>
      </c>
      <c r="E132" s="78"/>
      <c r="F132" s="82"/>
    </row>
    <row r="133" customFormat="false" ht="15" hidden="false" customHeight="false" outlineLevel="0" collapsed="false">
      <c r="A133" s="59" t="s">
        <v>179</v>
      </c>
      <c r="B133" s="78"/>
      <c r="C133" s="82"/>
      <c r="D133" s="59" t="s">
        <v>179</v>
      </c>
      <c r="E133" s="78"/>
      <c r="F133" s="82"/>
    </row>
    <row r="134" customFormat="false" ht="15" hidden="false" customHeight="false" outlineLevel="0" collapsed="false">
      <c r="A134" s="77" t="s">
        <v>185</v>
      </c>
      <c r="B134" s="78"/>
      <c r="C134" s="82"/>
      <c r="D134" s="77" t="s">
        <v>185</v>
      </c>
      <c r="E134" s="78"/>
      <c r="F134" s="82"/>
    </row>
    <row r="135" customFormat="false" ht="15" hidden="false" customHeight="false" outlineLevel="0" collapsed="false">
      <c r="A135" s="59" t="s">
        <v>173</v>
      </c>
      <c r="B135" s="78"/>
      <c r="C135" s="82"/>
      <c r="D135" s="59" t="s">
        <v>173</v>
      </c>
      <c r="E135" s="78"/>
      <c r="F135" s="82"/>
    </row>
    <row r="136" customFormat="false" ht="15" hidden="false" customHeight="false" outlineLevel="0" collapsed="false">
      <c r="A136" s="59" t="s">
        <v>176</v>
      </c>
      <c r="B136" s="78"/>
      <c r="C136" s="82"/>
      <c r="D136" s="59" t="s">
        <v>176</v>
      </c>
      <c r="E136" s="78"/>
      <c r="F136" s="82"/>
    </row>
    <row r="137" customFormat="false" ht="15" hidden="false" customHeight="false" outlineLevel="0" collapsed="false">
      <c r="A137" s="59" t="s">
        <v>178</v>
      </c>
      <c r="B137" s="78"/>
      <c r="C137" s="82"/>
      <c r="D137" s="59" t="s">
        <v>178</v>
      </c>
      <c r="E137" s="78"/>
      <c r="F137" s="82"/>
    </row>
    <row r="138" customFormat="false" ht="15" hidden="false" customHeight="false" outlineLevel="0" collapsed="false">
      <c r="A138" s="59" t="s">
        <v>179</v>
      </c>
      <c r="B138" s="78"/>
      <c r="C138" s="82"/>
      <c r="D138" s="59" t="s">
        <v>179</v>
      </c>
      <c r="E138" s="78"/>
      <c r="F138" s="82"/>
    </row>
    <row r="139" customFormat="false" ht="15" hidden="false" customHeight="false" outlineLevel="0" collapsed="false">
      <c r="A139" s="77" t="s">
        <v>186</v>
      </c>
      <c r="B139" s="78"/>
      <c r="C139" s="82"/>
      <c r="D139" s="77" t="s">
        <v>186</v>
      </c>
      <c r="E139" s="78"/>
      <c r="F139" s="82"/>
    </row>
    <row r="140" customFormat="false" ht="15" hidden="false" customHeight="false" outlineLevel="0" collapsed="false">
      <c r="A140" s="59" t="s">
        <v>173</v>
      </c>
      <c r="B140" s="78"/>
      <c r="C140" s="82"/>
      <c r="D140" s="59" t="s">
        <v>173</v>
      </c>
      <c r="E140" s="78"/>
      <c r="F140" s="82"/>
    </row>
    <row r="141" customFormat="false" ht="15" hidden="false" customHeight="false" outlineLevel="0" collapsed="false">
      <c r="A141" s="59" t="s">
        <v>176</v>
      </c>
      <c r="B141" s="78"/>
      <c r="C141" s="82"/>
      <c r="D141" s="59" t="s">
        <v>176</v>
      </c>
      <c r="E141" s="78"/>
      <c r="F141" s="82"/>
    </row>
    <row r="142" customFormat="false" ht="15" hidden="false" customHeight="false" outlineLevel="0" collapsed="false">
      <c r="A142" s="59" t="s">
        <v>178</v>
      </c>
      <c r="B142" s="78"/>
      <c r="C142" s="82"/>
      <c r="D142" s="59" t="s">
        <v>178</v>
      </c>
      <c r="E142" s="78"/>
      <c r="F142" s="82"/>
    </row>
    <row r="143" customFormat="false" ht="15" hidden="false" customHeight="false" outlineLevel="0" collapsed="false">
      <c r="A143" s="59" t="s">
        <v>179</v>
      </c>
      <c r="B143" s="78"/>
      <c r="C143" s="82"/>
      <c r="D143" s="59" t="s">
        <v>179</v>
      </c>
      <c r="E143" s="78"/>
      <c r="F143" s="82"/>
    </row>
    <row r="144" customFormat="false" ht="15" hidden="false" customHeight="false" outlineLevel="0" collapsed="false">
      <c r="B144" s="57"/>
      <c r="C144" s="82"/>
      <c r="E144" s="57"/>
      <c r="F144" s="82"/>
    </row>
    <row r="145" customFormat="false" ht="15" hidden="false" customHeight="false" outlineLevel="0" collapsed="false">
      <c r="A145" s="69" t="s">
        <v>113</v>
      </c>
      <c r="B145" s="73" t="s">
        <v>187</v>
      </c>
      <c r="C145" s="82"/>
      <c r="D145" s="84" t="s">
        <v>136</v>
      </c>
      <c r="E145" s="73"/>
      <c r="F145" s="82"/>
    </row>
    <row r="146" customFormat="false" ht="15" hidden="false" customHeight="false" outlineLevel="0" collapsed="false">
      <c r="A146" s="74" t="s">
        <v>167</v>
      </c>
      <c r="B146" s="75"/>
      <c r="C146" s="76"/>
      <c r="D146" s="74" t="s">
        <v>167</v>
      </c>
      <c r="E146" s="75"/>
      <c r="F146" s="76"/>
    </row>
    <row r="147" customFormat="false" ht="15" hidden="false" customHeight="false" outlineLevel="0" collapsed="false">
      <c r="A147" s="83" t="s">
        <v>170</v>
      </c>
      <c r="B147" s="78" t="s">
        <v>57</v>
      </c>
      <c r="C147" s="79" t="b">
        <f aca="false">FALSE()</f>
        <v>0</v>
      </c>
      <c r="D147" s="77" t="s">
        <v>170</v>
      </c>
      <c r="E147" s="78"/>
      <c r="F147" s="79" t="b">
        <f aca="false">FALSE()</f>
        <v>0</v>
      </c>
    </row>
    <row r="148" customFormat="false" ht="15" hidden="false" customHeight="false" outlineLevel="0" collapsed="false">
      <c r="A148" s="59" t="s">
        <v>173</v>
      </c>
      <c r="B148" s="78"/>
      <c r="C148" s="80" t="s">
        <v>174</v>
      </c>
      <c r="D148" s="59" t="s">
        <v>173</v>
      </c>
      <c r="E148" s="78"/>
      <c r="F148" s="80" t="s">
        <v>174</v>
      </c>
    </row>
    <row r="149" customFormat="false" ht="15" hidden="false" customHeight="false" outlineLevel="0" collapsed="false">
      <c r="A149" s="59" t="s">
        <v>176</v>
      </c>
      <c r="B149" s="78"/>
      <c r="C149" s="81" t="n">
        <v>10</v>
      </c>
      <c r="D149" s="59" t="s">
        <v>176</v>
      </c>
      <c r="E149" s="78"/>
      <c r="F149" s="81" t="n">
        <v>10</v>
      </c>
    </row>
    <row r="150" customFormat="false" ht="15" hidden="false" customHeight="false" outlineLevel="0" collapsed="false">
      <c r="A150" s="59" t="s">
        <v>178</v>
      </c>
      <c r="B150" s="78"/>
      <c r="C150" s="82"/>
      <c r="D150" s="59" t="s">
        <v>178</v>
      </c>
      <c r="E150" s="78"/>
      <c r="F150" s="82"/>
    </row>
    <row r="151" customFormat="false" ht="15" hidden="false" customHeight="false" outlineLevel="0" collapsed="false">
      <c r="A151" s="59" t="s">
        <v>179</v>
      </c>
      <c r="B151" s="78"/>
      <c r="C151" s="82"/>
      <c r="D151" s="59" t="s">
        <v>179</v>
      </c>
      <c r="E151" s="78"/>
      <c r="F151" s="82"/>
    </row>
    <row r="152" customFormat="false" ht="15" hidden="false" customHeight="false" outlineLevel="0" collapsed="false">
      <c r="A152" s="83" t="s">
        <v>180</v>
      </c>
      <c r="B152" s="78" t="s">
        <v>119</v>
      </c>
      <c r="C152" s="79" t="b">
        <f aca="false">TRUE()</f>
        <v>1</v>
      </c>
      <c r="D152" s="77" t="s">
        <v>180</v>
      </c>
      <c r="E152" s="78"/>
      <c r="F152" s="79" t="b">
        <f aca="false">FALSE()</f>
        <v>0</v>
      </c>
    </row>
    <row r="153" customFormat="false" ht="15" hidden="false" customHeight="false" outlineLevel="0" collapsed="false">
      <c r="A153" s="59" t="s">
        <v>173</v>
      </c>
      <c r="B153" s="78"/>
      <c r="C153" s="80" t="s">
        <v>174</v>
      </c>
      <c r="D153" s="59" t="s">
        <v>173</v>
      </c>
      <c r="E153" s="78"/>
      <c r="F153" s="80" t="s">
        <v>174</v>
      </c>
    </row>
    <row r="154" customFormat="false" ht="15" hidden="false" customHeight="false" outlineLevel="0" collapsed="false">
      <c r="A154" s="59" t="s">
        <v>176</v>
      </c>
      <c r="B154" s="78"/>
      <c r="C154" s="81" t="n">
        <v>10</v>
      </c>
      <c r="D154" s="59" t="s">
        <v>176</v>
      </c>
      <c r="E154" s="78"/>
      <c r="F154" s="81" t="n">
        <v>10</v>
      </c>
    </row>
    <row r="155" customFormat="false" ht="15" hidden="false" customHeight="false" outlineLevel="0" collapsed="false">
      <c r="A155" s="59" t="s">
        <v>178</v>
      </c>
      <c r="B155" s="78"/>
      <c r="C155" s="82"/>
      <c r="D155" s="59" t="s">
        <v>178</v>
      </c>
      <c r="E155" s="78"/>
      <c r="F155" s="82"/>
    </row>
    <row r="156" customFormat="false" ht="15" hidden="false" customHeight="false" outlineLevel="0" collapsed="false">
      <c r="A156" s="59" t="s">
        <v>179</v>
      </c>
      <c r="B156" s="78"/>
      <c r="C156" s="82"/>
      <c r="D156" s="59" t="s">
        <v>179</v>
      </c>
      <c r="E156" s="78"/>
      <c r="F156" s="82"/>
    </row>
    <row r="157" customFormat="false" ht="15" hidden="false" customHeight="false" outlineLevel="0" collapsed="false">
      <c r="A157" s="83" t="s">
        <v>181</v>
      </c>
      <c r="B157" s="78" t="s">
        <v>106</v>
      </c>
      <c r="C157" s="79" t="b">
        <f aca="false">FALSE()</f>
        <v>0</v>
      </c>
      <c r="D157" s="77" t="s">
        <v>181</v>
      </c>
      <c r="E157" s="78"/>
      <c r="F157" s="79" t="b">
        <f aca="false">FALSE()</f>
        <v>0</v>
      </c>
    </row>
    <row r="158" customFormat="false" ht="15" hidden="false" customHeight="false" outlineLevel="0" collapsed="false">
      <c r="A158" s="59" t="s">
        <v>173</v>
      </c>
      <c r="B158" s="78"/>
      <c r="C158" s="80" t="s">
        <v>174</v>
      </c>
      <c r="D158" s="59" t="s">
        <v>173</v>
      </c>
      <c r="E158" s="78"/>
      <c r="F158" s="80" t="s">
        <v>174</v>
      </c>
    </row>
    <row r="159" customFormat="false" ht="15" hidden="false" customHeight="false" outlineLevel="0" collapsed="false">
      <c r="A159" s="59" t="s">
        <v>176</v>
      </c>
      <c r="B159" s="78"/>
      <c r="C159" s="81" t="n">
        <v>10</v>
      </c>
      <c r="D159" s="59" t="s">
        <v>176</v>
      </c>
      <c r="E159" s="78"/>
      <c r="F159" s="81" t="n">
        <v>10</v>
      </c>
    </row>
    <row r="160" customFormat="false" ht="15" hidden="false" customHeight="false" outlineLevel="0" collapsed="false">
      <c r="A160" s="59" t="s">
        <v>178</v>
      </c>
      <c r="B160" s="78"/>
      <c r="C160" s="82"/>
      <c r="D160" s="59" t="s">
        <v>178</v>
      </c>
      <c r="E160" s="78"/>
      <c r="F160" s="82"/>
    </row>
    <row r="161" customFormat="false" ht="15" hidden="false" customHeight="false" outlineLevel="0" collapsed="false">
      <c r="A161" s="59" t="s">
        <v>179</v>
      </c>
      <c r="B161" s="78"/>
      <c r="C161" s="82"/>
      <c r="D161" s="59" t="s">
        <v>179</v>
      </c>
      <c r="E161" s="78"/>
      <c r="F161" s="82"/>
    </row>
    <row r="162" customFormat="false" ht="15" hidden="false" customHeight="false" outlineLevel="0" collapsed="false">
      <c r="A162" s="83" t="s">
        <v>182</v>
      </c>
      <c r="B162" s="78" t="s">
        <v>114</v>
      </c>
      <c r="C162" s="79" t="b">
        <f aca="false">FALSE()</f>
        <v>0</v>
      </c>
      <c r="D162" s="77" t="s">
        <v>182</v>
      </c>
      <c r="E162" s="78"/>
      <c r="F162" s="79" t="b">
        <f aca="false">FALSE()</f>
        <v>0</v>
      </c>
    </row>
    <row r="163" customFormat="false" ht="15" hidden="false" customHeight="false" outlineLevel="0" collapsed="false">
      <c r="A163" s="59" t="s">
        <v>173</v>
      </c>
      <c r="B163" s="78"/>
      <c r="C163" s="80" t="s">
        <v>174</v>
      </c>
      <c r="D163" s="59" t="s">
        <v>173</v>
      </c>
      <c r="E163" s="78"/>
      <c r="F163" s="80" t="s">
        <v>174</v>
      </c>
    </row>
    <row r="164" customFormat="false" ht="15" hidden="false" customHeight="false" outlineLevel="0" collapsed="false">
      <c r="A164" s="59" t="s">
        <v>176</v>
      </c>
      <c r="B164" s="78"/>
      <c r="C164" s="81" t="n">
        <v>10</v>
      </c>
      <c r="D164" s="59" t="s">
        <v>176</v>
      </c>
      <c r="E164" s="78"/>
      <c r="F164" s="81" t="n">
        <v>10</v>
      </c>
    </row>
    <row r="165" customFormat="false" ht="15" hidden="false" customHeight="false" outlineLevel="0" collapsed="false">
      <c r="A165" s="59" t="s">
        <v>178</v>
      </c>
      <c r="B165" s="78"/>
      <c r="C165" s="82"/>
      <c r="D165" s="59" t="s">
        <v>178</v>
      </c>
      <c r="E165" s="78"/>
      <c r="F165" s="82"/>
    </row>
    <row r="166" customFormat="false" ht="15" hidden="false" customHeight="false" outlineLevel="0" collapsed="false">
      <c r="A166" s="59" t="s">
        <v>179</v>
      </c>
      <c r="B166" s="78"/>
      <c r="C166" s="82"/>
      <c r="D166" s="59" t="s">
        <v>179</v>
      </c>
      <c r="E166" s="78"/>
      <c r="F166" s="82"/>
    </row>
    <row r="167" customFormat="false" ht="15" hidden="false" customHeight="false" outlineLevel="0" collapsed="false">
      <c r="A167" s="83" t="s">
        <v>183</v>
      </c>
      <c r="B167" s="78" t="s">
        <v>84</v>
      </c>
      <c r="C167" s="79" t="b">
        <f aca="false">FALSE()</f>
        <v>0</v>
      </c>
      <c r="D167" s="77" t="s">
        <v>183</v>
      </c>
      <c r="E167" s="78"/>
      <c r="F167" s="79" t="b">
        <f aca="false">FALSE()</f>
        <v>0</v>
      </c>
    </row>
    <row r="168" customFormat="false" ht="15" hidden="false" customHeight="false" outlineLevel="0" collapsed="false">
      <c r="A168" s="59" t="s">
        <v>173</v>
      </c>
      <c r="B168" s="78"/>
      <c r="C168" s="80" t="s">
        <v>174</v>
      </c>
      <c r="D168" s="59" t="s">
        <v>173</v>
      </c>
      <c r="E168" s="78"/>
      <c r="F168" s="80" t="s">
        <v>174</v>
      </c>
    </row>
    <row r="169" customFormat="false" ht="15" hidden="false" customHeight="false" outlineLevel="0" collapsed="false">
      <c r="A169" s="59" t="s">
        <v>176</v>
      </c>
      <c r="B169" s="78"/>
      <c r="C169" s="81" t="n">
        <v>10</v>
      </c>
      <c r="D169" s="59" t="s">
        <v>176</v>
      </c>
      <c r="E169" s="78"/>
      <c r="F169" s="81" t="n">
        <v>10</v>
      </c>
    </row>
    <row r="170" customFormat="false" ht="15" hidden="false" customHeight="false" outlineLevel="0" collapsed="false">
      <c r="A170" s="59" t="s">
        <v>178</v>
      </c>
      <c r="B170" s="78"/>
      <c r="C170" s="82"/>
      <c r="D170" s="59" t="s">
        <v>178</v>
      </c>
      <c r="E170" s="78"/>
      <c r="F170" s="82"/>
    </row>
    <row r="171" customFormat="false" ht="15" hidden="false" customHeight="false" outlineLevel="0" collapsed="false">
      <c r="A171" s="59" t="s">
        <v>179</v>
      </c>
      <c r="B171" s="78"/>
      <c r="C171" s="82"/>
      <c r="D171" s="59" t="s">
        <v>179</v>
      </c>
      <c r="E171" s="78"/>
      <c r="F171" s="82"/>
    </row>
    <row r="172" customFormat="false" ht="15" hidden="false" customHeight="false" outlineLevel="0" collapsed="false">
      <c r="A172" s="77" t="s">
        <v>184</v>
      </c>
      <c r="B172" s="78"/>
      <c r="C172" s="82"/>
      <c r="D172" s="77" t="s">
        <v>184</v>
      </c>
      <c r="E172" s="78"/>
      <c r="F172" s="82"/>
    </row>
    <row r="173" customFormat="false" ht="15" hidden="false" customHeight="false" outlineLevel="0" collapsed="false">
      <c r="A173" s="59" t="s">
        <v>173</v>
      </c>
      <c r="B173" s="78"/>
      <c r="C173" s="82"/>
      <c r="D173" s="59" t="s">
        <v>173</v>
      </c>
      <c r="E173" s="78"/>
      <c r="F173" s="82"/>
    </row>
    <row r="174" customFormat="false" ht="15" hidden="false" customHeight="false" outlineLevel="0" collapsed="false">
      <c r="A174" s="59" t="s">
        <v>176</v>
      </c>
      <c r="B174" s="78"/>
      <c r="C174" s="82"/>
      <c r="D174" s="59" t="s">
        <v>176</v>
      </c>
      <c r="E174" s="78"/>
      <c r="F174" s="82"/>
    </row>
    <row r="175" customFormat="false" ht="15" hidden="false" customHeight="false" outlineLevel="0" collapsed="false">
      <c r="A175" s="59" t="s">
        <v>178</v>
      </c>
      <c r="B175" s="78"/>
      <c r="C175" s="82"/>
      <c r="D175" s="59" t="s">
        <v>178</v>
      </c>
      <c r="E175" s="78"/>
      <c r="F175" s="82"/>
    </row>
    <row r="176" customFormat="false" ht="15" hidden="false" customHeight="false" outlineLevel="0" collapsed="false">
      <c r="A176" s="59" t="s">
        <v>179</v>
      </c>
      <c r="B176" s="78"/>
      <c r="C176" s="82"/>
      <c r="D176" s="59" t="s">
        <v>179</v>
      </c>
      <c r="E176" s="78"/>
      <c r="F176" s="82"/>
    </row>
    <row r="177" customFormat="false" ht="15" hidden="false" customHeight="false" outlineLevel="0" collapsed="false">
      <c r="A177" s="77" t="s">
        <v>185</v>
      </c>
      <c r="B177" s="78"/>
      <c r="C177" s="82"/>
      <c r="D177" s="77" t="s">
        <v>185</v>
      </c>
      <c r="E177" s="78"/>
      <c r="F177" s="82"/>
    </row>
    <row r="178" customFormat="false" ht="15" hidden="false" customHeight="false" outlineLevel="0" collapsed="false">
      <c r="A178" s="59" t="s">
        <v>173</v>
      </c>
      <c r="B178" s="78"/>
      <c r="C178" s="82"/>
      <c r="D178" s="59" t="s">
        <v>173</v>
      </c>
      <c r="E178" s="78"/>
      <c r="F178" s="82"/>
    </row>
    <row r="179" customFormat="false" ht="15" hidden="false" customHeight="false" outlineLevel="0" collapsed="false">
      <c r="A179" s="59" t="s">
        <v>176</v>
      </c>
      <c r="B179" s="78"/>
      <c r="C179" s="82"/>
      <c r="D179" s="59" t="s">
        <v>176</v>
      </c>
      <c r="E179" s="78"/>
      <c r="F179" s="82"/>
    </row>
    <row r="180" customFormat="false" ht="15" hidden="false" customHeight="false" outlineLevel="0" collapsed="false">
      <c r="A180" s="59" t="s">
        <v>178</v>
      </c>
      <c r="B180" s="78"/>
      <c r="C180" s="82"/>
      <c r="D180" s="59" t="s">
        <v>178</v>
      </c>
      <c r="E180" s="78"/>
      <c r="F180" s="82"/>
    </row>
    <row r="181" customFormat="false" ht="15" hidden="false" customHeight="false" outlineLevel="0" collapsed="false">
      <c r="A181" s="59" t="s">
        <v>179</v>
      </c>
      <c r="B181" s="78"/>
      <c r="C181" s="82"/>
      <c r="D181" s="59" t="s">
        <v>179</v>
      </c>
      <c r="E181" s="78"/>
      <c r="F181" s="82"/>
    </row>
    <row r="182" customFormat="false" ht="15" hidden="false" customHeight="false" outlineLevel="0" collapsed="false">
      <c r="A182" s="77" t="s">
        <v>186</v>
      </c>
      <c r="B182" s="78"/>
      <c r="C182" s="82"/>
      <c r="D182" s="77" t="s">
        <v>186</v>
      </c>
      <c r="E182" s="78"/>
      <c r="F182" s="82"/>
    </row>
    <row r="183" customFormat="false" ht="15" hidden="false" customHeight="false" outlineLevel="0" collapsed="false">
      <c r="A183" s="59" t="s">
        <v>173</v>
      </c>
      <c r="B183" s="78"/>
      <c r="C183" s="82"/>
      <c r="D183" s="59" t="s">
        <v>173</v>
      </c>
      <c r="E183" s="78"/>
      <c r="F183" s="82"/>
    </row>
    <row r="184" customFormat="false" ht="15" hidden="false" customHeight="false" outlineLevel="0" collapsed="false">
      <c r="A184" s="59" t="s">
        <v>176</v>
      </c>
      <c r="B184" s="78"/>
      <c r="C184" s="82"/>
      <c r="D184" s="59" t="s">
        <v>176</v>
      </c>
      <c r="E184" s="78"/>
      <c r="F184" s="82"/>
    </row>
    <row r="185" customFormat="false" ht="15" hidden="false" customHeight="false" outlineLevel="0" collapsed="false">
      <c r="A185" s="59" t="s">
        <v>178</v>
      </c>
      <c r="B185" s="78"/>
      <c r="C185" s="82"/>
      <c r="D185" s="59" t="s">
        <v>178</v>
      </c>
      <c r="E185" s="78"/>
      <c r="F185" s="82"/>
    </row>
    <row r="186" customFormat="false" ht="15" hidden="false" customHeight="false" outlineLevel="0" collapsed="false">
      <c r="A186" s="59" t="s">
        <v>179</v>
      </c>
      <c r="B186" s="78"/>
      <c r="C186" s="82"/>
      <c r="D186" s="59" t="s">
        <v>179</v>
      </c>
      <c r="E186" s="78"/>
      <c r="F186" s="82"/>
    </row>
    <row r="187" customFormat="false" ht="15" hidden="false" customHeight="false" outlineLevel="0" collapsed="false">
      <c r="B187" s="57"/>
      <c r="C187" s="82"/>
      <c r="E187" s="57"/>
      <c r="F187" s="82"/>
    </row>
    <row r="188" customFormat="false" ht="15" hidden="false" customHeight="false" outlineLevel="0" collapsed="false">
      <c r="A188" s="69" t="s">
        <v>126</v>
      </c>
      <c r="B188" s="73" t="s">
        <v>62</v>
      </c>
      <c r="C188" s="82"/>
      <c r="D188" s="84" t="s">
        <v>137</v>
      </c>
      <c r="E188" s="73"/>
      <c r="F188" s="82"/>
    </row>
    <row r="189" customFormat="false" ht="15" hidden="false" customHeight="false" outlineLevel="0" collapsed="false">
      <c r="A189" s="74" t="s">
        <v>167</v>
      </c>
      <c r="B189" s="75"/>
      <c r="C189" s="76"/>
      <c r="D189" s="74" t="s">
        <v>167</v>
      </c>
      <c r="E189" s="75"/>
      <c r="F189" s="76"/>
    </row>
    <row r="190" customFormat="false" ht="15" hidden="false" customHeight="false" outlineLevel="0" collapsed="false">
      <c r="A190" s="83" t="s">
        <v>170</v>
      </c>
      <c r="B190" s="78" t="s">
        <v>65</v>
      </c>
      <c r="C190" s="79" t="b">
        <f aca="false">FALSE()</f>
        <v>0</v>
      </c>
      <c r="D190" s="77" t="s">
        <v>170</v>
      </c>
      <c r="E190" s="78"/>
      <c r="F190" s="79" t="b">
        <f aca="false">FALSE()</f>
        <v>0</v>
      </c>
    </row>
    <row r="191" customFormat="false" ht="15" hidden="false" customHeight="false" outlineLevel="0" collapsed="false">
      <c r="A191" s="59" t="s">
        <v>173</v>
      </c>
      <c r="B191" s="78"/>
      <c r="C191" s="80" t="s">
        <v>174</v>
      </c>
      <c r="D191" s="59" t="s">
        <v>173</v>
      </c>
      <c r="E191" s="78"/>
      <c r="F191" s="80" t="s">
        <v>174</v>
      </c>
    </row>
    <row r="192" customFormat="false" ht="15" hidden="false" customHeight="false" outlineLevel="0" collapsed="false">
      <c r="A192" s="59" t="s">
        <v>176</v>
      </c>
      <c r="B192" s="78"/>
      <c r="C192" s="81" t="n">
        <v>10</v>
      </c>
      <c r="D192" s="59" t="s">
        <v>176</v>
      </c>
      <c r="E192" s="78"/>
      <c r="F192" s="81" t="n">
        <v>10</v>
      </c>
    </row>
    <row r="193" customFormat="false" ht="15" hidden="false" customHeight="false" outlineLevel="0" collapsed="false">
      <c r="A193" s="59" t="s">
        <v>178</v>
      </c>
      <c r="B193" s="78"/>
      <c r="C193" s="82"/>
      <c r="D193" s="59" t="s">
        <v>178</v>
      </c>
      <c r="E193" s="78"/>
      <c r="F193" s="82"/>
    </row>
    <row r="194" customFormat="false" ht="15" hidden="false" customHeight="false" outlineLevel="0" collapsed="false">
      <c r="A194" s="59" t="s">
        <v>179</v>
      </c>
      <c r="B194" s="78"/>
      <c r="C194" s="82"/>
      <c r="D194" s="59" t="s">
        <v>179</v>
      </c>
      <c r="E194" s="78"/>
      <c r="F194" s="82"/>
    </row>
    <row r="195" customFormat="false" ht="15" hidden="false" customHeight="false" outlineLevel="0" collapsed="false">
      <c r="A195" s="83" t="s">
        <v>180</v>
      </c>
      <c r="B195" s="78" t="s">
        <v>107</v>
      </c>
      <c r="C195" s="79" t="b">
        <f aca="false">FALSE()</f>
        <v>0</v>
      </c>
      <c r="D195" s="77" t="s">
        <v>180</v>
      </c>
      <c r="E195" s="78"/>
      <c r="F195" s="79" t="b">
        <f aca="false">FALSE()</f>
        <v>0</v>
      </c>
    </row>
    <row r="196" customFormat="false" ht="15" hidden="false" customHeight="false" outlineLevel="0" collapsed="false">
      <c r="A196" s="59" t="s">
        <v>173</v>
      </c>
      <c r="B196" s="78"/>
      <c r="C196" s="80" t="s">
        <v>174</v>
      </c>
      <c r="D196" s="59" t="s">
        <v>173</v>
      </c>
      <c r="E196" s="78"/>
      <c r="F196" s="80" t="s">
        <v>174</v>
      </c>
    </row>
    <row r="197" customFormat="false" ht="15" hidden="false" customHeight="false" outlineLevel="0" collapsed="false">
      <c r="A197" s="59" t="s">
        <v>176</v>
      </c>
      <c r="B197" s="78"/>
      <c r="C197" s="81" t="n">
        <v>10</v>
      </c>
      <c r="D197" s="59" t="s">
        <v>176</v>
      </c>
      <c r="E197" s="78"/>
      <c r="F197" s="81" t="n">
        <v>10</v>
      </c>
    </row>
    <row r="198" customFormat="false" ht="15" hidden="false" customHeight="false" outlineLevel="0" collapsed="false">
      <c r="A198" s="59" t="s">
        <v>178</v>
      </c>
      <c r="B198" s="78"/>
      <c r="C198" s="82"/>
      <c r="D198" s="59" t="s">
        <v>178</v>
      </c>
      <c r="E198" s="78"/>
      <c r="F198" s="82"/>
    </row>
    <row r="199" customFormat="false" ht="15" hidden="false" customHeight="false" outlineLevel="0" collapsed="false">
      <c r="A199" s="59" t="s">
        <v>179</v>
      </c>
      <c r="B199" s="78"/>
      <c r="C199" s="82"/>
      <c r="D199" s="59" t="s">
        <v>179</v>
      </c>
      <c r="E199" s="78"/>
      <c r="F199" s="82"/>
    </row>
    <row r="200" customFormat="false" ht="15" hidden="false" customHeight="false" outlineLevel="0" collapsed="false">
      <c r="A200" s="83" t="s">
        <v>181</v>
      </c>
      <c r="B200" s="78" t="s">
        <v>61</v>
      </c>
      <c r="C200" s="79" t="b">
        <f aca="false">FALSE()</f>
        <v>0</v>
      </c>
      <c r="D200" s="77" t="s">
        <v>181</v>
      </c>
      <c r="E200" s="78"/>
      <c r="F200" s="79" t="b">
        <f aca="false">FALSE()</f>
        <v>0</v>
      </c>
    </row>
    <row r="201" customFormat="false" ht="15" hidden="false" customHeight="false" outlineLevel="0" collapsed="false">
      <c r="A201" s="59" t="s">
        <v>173</v>
      </c>
      <c r="B201" s="78"/>
      <c r="C201" s="80" t="s">
        <v>174</v>
      </c>
      <c r="D201" s="59" t="s">
        <v>173</v>
      </c>
      <c r="E201" s="78"/>
      <c r="F201" s="80" t="s">
        <v>174</v>
      </c>
    </row>
    <row r="202" customFormat="false" ht="15" hidden="false" customHeight="false" outlineLevel="0" collapsed="false">
      <c r="A202" s="59" t="s">
        <v>176</v>
      </c>
      <c r="B202" s="78"/>
      <c r="C202" s="81" t="n">
        <v>10</v>
      </c>
      <c r="D202" s="59" t="s">
        <v>176</v>
      </c>
      <c r="E202" s="78"/>
      <c r="F202" s="81" t="n">
        <v>10</v>
      </c>
    </row>
    <row r="203" customFormat="false" ht="15" hidden="false" customHeight="false" outlineLevel="0" collapsed="false">
      <c r="A203" s="59" t="s">
        <v>178</v>
      </c>
      <c r="B203" s="78"/>
      <c r="C203" s="82"/>
      <c r="D203" s="59" t="s">
        <v>178</v>
      </c>
      <c r="E203" s="78"/>
      <c r="F203" s="82"/>
    </row>
    <row r="204" customFormat="false" ht="15" hidden="false" customHeight="false" outlineLevel="0" collapsed="false">
      <c r="A204" s="59" t="s">
        <v>179</v>
      </c>
      <c r="B204" s="78"/>
      <c r="C204" s="82"/>
      <c r="D204" s="59" t="s">
        <v>179</v>
      </c>
      <c r="E204" s="78"/>
      <c r="F204" s="82"/>
    </row>
    <row r="205" customFormat="false" ht="15" hidden="false" customHeight="false" outlineLevel="0" collapsed="false">
      <c r="A205" s="83" t="s">
        <v>182</v>
      </c>
      <c r="B205" s="78" t="s">
        <v>108</v>
      </c>
      <c r="C205" s="79" t="b">
        <f aca="false">FALSE()</f>
        <v>0</v>
      </c>
      <c r="D205" s="77" t="s">
        <v>182</v>
      </c>
      <c r="E205" s="78"/>
      <c r="F205" s="79" t="b">
        <f aca="false">FALSE()</f>
        <v>0</v>
      </c>
    </row>
    <row r="206" customFormat="false" ht="15" hidden="false" customHeight="false" outlineLevel="0" collapsed="false">
      <c r="A206" s="59" t="s">
        <v>173</v>
      </c>
      <c r="B206" s="78"/>
      <c r="C206" s="80" t="s">
        <v>174</v>
      </c>
      <c r="D206" s="59" t="s">
        <v>173</v>
      </c>
      <c r="E206" s="78"/>
      <c r="F206" s="80" t="s">
        <v>174</v>
      </c>
    </row>
    <row r="207" customFormat="false" ht="15" hidden="false" customHeight="false" outlineLevel="0" collapsed="false">
      <c r="A207" s="59" t="s">
        <v>176</v>
      </c>
      <c r="B207" s="78"/>
      <c r="C207" s="81" t="n">
        <v>10</v>
      </c>
      <c r="D207" s="59" t="s">
        <v>176</v>
      </c>
      <c r="E207" s="78"/>
      <c r="F207" s="81" t="n">
        <v>10</v>
      </c>
    </row>
    <row r="208" customFormat="false" ht="15" hidden="false" customHeight="false" outlineLevel="0" collapsed="false">
      <c r="A208" s="59" t="s">
        <v>178</v>
      </c>
      <c r="B208" s="78"/>
      <c r="C208" s="82"/>
      <c r="D208" s="59" t="s">
        <v>178</v>
      </c>
      <c r="E208" s="78"/>
      <c r="F208" s="82"/>
    </row>
    <row r="209" customFormat="false" ht="15" hidden="false" customHeight="false" outlineLevel="0" collapsed="false">
      <c r="A209" s="59" t="s">
        <v>179</v>
      </c>
      <c r="B209" s="78"/>
      <c r="C209" s="82"/>
      <c r="D209" s="59" t="s">
        <v>179</v>
      </c>
      <c r="E209" s="78"/>
      <c r="F209" s="82"/>
    </row>
    <row r="210" customFormat="false" ht="15" hidden="false" customHeight="false" outlineLevel="0" collapsed="false">
      <c r="A210" s="83" t="s">
        <v>183</v>
      </c>
      <c r="B210" s="78" t="s">
        <v>121</v>
      </c>
      <c r="C210" s="79" t="b">
        <f aca="false">FALSE()</f>
        <v>0</v>
      </c>
      <c r="D210" s="77" t="s">
        <v>183</v>
      </c>
      <c r="E210" s="78"/>
      <c r="F210" s="79" t="b">
        <f aca="false">FALSE()</f>
        <v>0</v>
      </c>
    </row>
    <row r="211" customFormat="false" ht="15" hidden="false" customHeight="false" outlineLevel="0" collapsed="false">
      <c r="A211" s="59" t="s">
        <v>173</v>
      </c>
      <c r="B211" s="78"/>
      <c r="C211" s="80" t="s">
        <v>174</v>
      </c>
      <c r="D211" s="59" t="s">
        <v>173</v>
      </c>
      <c r="E211" s="78"/>
      <c r="F211" s="80" t="s">
        <v>174</v>
      </c>
    </row>
    <row r="212" customFormat="false" ht="15" hidden="false" customHeight="false" outlineLevel="0" collapsed="false">
      <c r="A212" s="59" t="s">
        <v>176</v>
      </c>
      <c r="B212" s="78"/>
      <c r="C212" s="81" t="n">
        <v>10</v>
      </c>
      <c r="D212" s="59" t="s">
        <v>176</v>
      </c>
      <c r="E212" s="78"/>
      <c r="F212" s="81" t="n">
        <v>10</v>
      </c>
    </row>
    <row r="213" customFormat="false" ht="15" hidden="false" customHeight="false" outlineLevel="0" collapsed="false">
      <c r="A213" s="59" t="s">
        <v>178</v>
      </c>
      <c r="B213" s="78"/>
      <c r="C213" s="82"/>
      <c r="D213" s="59" t="s">
        <v>178</v>
      </c>
      <c r="E213" s="78"/>
      <c r="F213" s="82"/>
    </row>
    <row r="214" customFormat="false" ht="15" hidden="false" customHeight="false" outlineLevel="0" collapsed="false">
      <c r="A214" s="59" t="s">
        <v>179</v>
      </c>
      <c r="B214" s="78"/>
      <c r="C214" s="82"/>
      <c r="D214" s="59" t="s">
        <v>179</v>
      </c>
      <c r="E214" s="78"/>
      <c r="F214" s="82"/>
    </row>
    <row r="215" customFormat="false" ht="15" hidden="false" customHeight="false" outlineLevel="0" collapsed="false">
      <c r="A215" s="77" t="s">
        <v>184</v>
      </c>
      <c r="B215" s="78"/>
      <c r="C215" s="82"/>
      <c r="D215" s="77" t="s">
        <v>184</v>
      </c>
      <c r="E215" s="78"/>
      <c r="F215" s="82"/>
    </row>
    <row r="216" customFormat="false" ht="15" hidden="false" customHeight="false" outlineLevel="0" collapsed="false">
      <c r="A216" s="59" t="s">
        <v>173</v>
      </c>
      <c r="B216" s="78"/>
      <c r="C216" s="82"/>
      <c r="D216" s="59" t="s">
        <v>173</v>
      </c>
      <c r="E216" s="78"/>
      <c r="F216" s="82"/>
    </row>
    <row r="217" customFormat="false" ht="15" hidden="false" customHeight="false" outlineLevel="0" collapsed="false">
      <c r="A217" s="59" t="s">
        <v>176</v>
      </c>
      <c r="B217" s="78"/>
      <c r="C217" s="82"/>
      <c r="D217" s="59" t="s">
        <v>176</v>
      </c>
      <c r="E217" s="78"/>
      <c r="F217" s="82"/>
    </row>
    <row r="218" customFormat="false" ht="15" hidden="false" customHeight="false" outlineLevel="0" collapsed="false">
      <c r="A218" s="59" t="s">
        <v>178</v>
      </c>
      <c r="B218" s="78"/>
      <c r="C218" s="82"/>
      <c r="D218" s="59" t="s">
        <v>178</v>
      </c>
      <c r="E218" s="78"/>
      <c r="F218" s="82"/>
    </row>
    <row r="219" customFormat="false" ht="15" hidden="false" customHeight="false" outlineLevel="0" collapsed="false">
      <c r="A219" s="59" t="s">
        <v>179</v>
      </c>
      <c r="B219" s="78"/>
      <c r="C219" s="82"/>
      <c r="D219" s="59" t="s">
        <v>179</v>
      </c>
      <c r="E219" s="78"/>
      <c r="F219" s="82"/>
    </row>
    <row r="220" customFormat="false" ht="15" hidden="false" customHeight="false" outlineLevel="0" collapsed="false">
      <c r="A220" s="77" t="s">
        <v>185</v>
      </c>
      <c r="B220" s="78"/>
      <c r="C220" s="82"/>
      <c r="D220" s="77" t="s">
        <v>185</v>
      </c>
      <c r="E220" s="78"/>
      <c r="F220" s="82"/>
    </row>
    <row r="221" customFormat="false" ht="15" hidden="false" customHeight="false" outlineLevel="0" collapsed="false">
      <c r="A221" s="59" t="s">
        <v>173</v>
      </c>
      <c r="B221" s="78"/>
      <c r="C221" s="82"/>
      <c r="D221" s="59" t="s">
        <v>173</v>
      </c>
      <c r="E221" s="78"/>
      <c r="F221" s="82"/>
    </row>
    <row r="222" customFormat="false" ht="15" hidden="false" customHeight="false" outlineLevel="0" collapsed="false">
      <c r="A222" s="59" t="s">
        <v>176</v>
      </c>
      <c r="B222" s="78"/>
      <c r="C222" s="82"/>
      <c r="D222" s="59" t="s">
        <v>176</v>
      </c>
      <c r="E222" s="78"/>
      <c r="F222" s="82"/>
    </row>
    <row r="223" customFormat="false" ht="15" hidden="false" customHeight="false" outlineLevel="0" collapsed="false">
      <c r="A223" s="59" t="s">
        <v>178</v>
      </c>
      <c r="B223" s="78"/>
      <c r="C223" s="82"/>
      <c r="D223" s="59" t="s">
        <v>178</v>
      </c>
      <c r="E223" s="78"/>
      <c r="F223" s="82"/>
    </row>
    <row r="224" customFormat="false" ht="15" hidden="false" customHeight="false" outlineLevel="0" collapsed="false">
      <c r="A224" s="59" t="s">
        <v>179</v>
      </c>
      <c r="B224" s="78"/>
      <c r="C224" s="82"/>
      <c r="D224" s="59" t="s">
        <v>179</v>
      </c>
      <c r="E224" s="78"/>
      <c r="F224" s="82"/>
    </row>
    <row r="225" customFormat="false" ht="15" hidden="false" customHeight="false" outlineLevel="0" collapsed="false">
      <c r="A225" s="77" t="s">
        <v>186</v>
      </c>
      <c r="B225" s="78"/>
      <c r="C225" s="82"/>
      <c r="D225" s="77" t="s">
        <v>186</v>
      </c>
      <c r="E225" s="78"/>
      <c r="F225" s="82"/>
    </row>
    <row r="226" customFormat="false" ht="15" hidden="false" customHeight="false" outlineLevel="0" collapsed="false">
      <c r="A226" s="59" t="s">
        <v>173</v>
      </c>
      <c r="B226" s="78"/>
      <c r="C226" s="82"/>
      <c r="D226" s="59" t="s">
        <v>173</v>
      </c>
      <c r="E226" s="78"/>
      <c r="F226" s="82"/>
    </row>
    <row r="227" customFormat="false" ht="15" hidden="false" customHeight="false" outlineLevel="0" collapsed="false">
      <c r="A227" s="59" t="s">
        <v>176</v>
      </c>
      <c r="B227" s="78"/>
      <c r="C227" s="82"/>
      <c r="D227" s="59" t="s">
        <v>176</v>
      </c>
      <c r="E227" s="78"/>
      <c r="F227" s="82"/>
    </row>
    <row r="228" customFormat="false" ht="15" hidden="false" customHeight="false" outlineLevel="0" collapsed="false">
      <c r="A228" s="59" t="s">
        <v>178</v>
      </c>
      <c r="B228" s="78"/>
      <c r="C228" s="82"/>
      <c r="D228" s="59" t="s">
        <v>178</v>
      </c>
      <c r="E228" s="78"/>
      <c r="F228" s="82"/>
    </row>
    <row r="229" customFormat="false" ht="15" hidden="false" customHeight="false" outlineLevel="0" collapsed="false">
      <c r="A229" s="59" t="s">
        <v>179</v>
      </c>
      <c r="B229" s="78"/>
      <c r="C229" s="82"/>
      <c r="D229" s="59" t="s">
        <v>179</v>
      </c>
      <c r="E229" s="78"/>
      <c r="F229" s="82"/>
    </row>
    <row r="230" customFormat="false" ht="15" hidden="false" customHeight="false" outlineLevel="0" collapsed="false">
      <c r="B230" s="57"/>
      <c r="C230" s="82"/>
      <c r="E230" s="57"/>
      <c r="F230" s="82"/>
    </row>
    <row r="231" customFormat="false" ht="15" hidden="false" customHeight="false" outlineLevel="0" collapsed="false">
      <c r="A231" s="69" t="s">
        <v>128</v>
      </c>
      <c r="B231" s="73" t="s">
        <v>188</v>
      </c>
      <c r="C231" s="82"/>
      <c r="D231" s="84" t="s">
        <v>138</v>
      </c>
      <c r="E231" s="73"/>
      <c r="F231" s="82"/>
    </row>
    <row r="232" customFormat="false" ht="15" hidden="false" customHeight="false" outlineLevel="0" collapsed="false">
      <c r="A232" s="74" t="s">
        <v>167</v>
      </c>
      <c r="B232" s="75"/>
      <c r="C232" s="76"/>
      <c r="D232" s="74" t="s">
        <v>167</v>
      </c>
      <c r="E232" s="75"/>
      <c r="F232" s="76"/>
    </row>
    <row r="233" customFormat="false" ht="15" hidden="false" customHeight="false" outlineLevel="0" collapsed="false">
      <c r="A233" s="83" t="s">
        <v>170</v>
      </c>
      <c r="B233" s="78" t="s">
        <v>111</v>
      </c>
      <c r="C233" s="79" t="b">
        <f aca="false">FALSE()</f>
        <v>0</v>
      </c>
      <c r="D233" s="77" t="s">
        <v>170</v>
      </c>
      <c r="E233" s="78"/>
      <c r="F233" s="79" t="b">
        <f aca="false">FALSE()</f>
        <v>0</v>
      </c>
    </row>
    <row r="234" customFormat="false" ht="15" hidden="false" customHeight="false" outlineLevel="0" collapsed="false">
      <c r="A234" s="59" t="s">
        <v>173</v>
      </c>
      <c r="B234" s="78"/>
      <c r="C234" s="80" t="s">
        <v>174</v>
      </c>
      <c r="D234" s="59" t="s">
        <v>173</v>
      </c>
      <c r="E234" s="78"/>
      <c r="F234" s="80" t="s">
        <v>174</v>
      </c>
    </row>
    <row r="235" customFormat="false" ht="15" hidden="false" customHeight="false" outlineLevel="0" collapsed="false">
      <c r="A235" s="59" t="s">
        <v>176</v>
      </c>
      <c r="B235" s="78"/>
      <c r="C235" s="81" t="n">
        <v>10</v>
      </c>
      <c r="D235" s="59" t="s">
        <v>176</v>
      </c>
      <c r="E235" s="78"/>
      <c r="F235" s="81" t="n">
        <v>10</v>
      </c>
    </row>
    <row r="236" customFormat="false" ht="15" hidden="false" customHeight="false" outlineLevel="0" collapsed="false">
      <c r="A236" s="59" t="s">
        <v>178</v>
      </c>
      <c r="B236" s="78"/>
      <c r="C236" s="82"/>
      <c r="D236" s="59" t="s">
        <v>178</v>
      </c>
      <c r="E236" s="78"/>
      <c r="F236" s="82"/>
    </row>
    <row r="237" customFormat="false" ht="15" hidden="false" customHeight="false" outlineLevel="0" collapsed="false">
      <c r="A237" s="59" t="s">
        <v>179</v>
      </c>
      <c r="B237" s="78"/>
      <c r="C237" s="82"/>
      <c r="D237" s="59" t="s">
        <v>179</v>
      </c>
      <c r="E237" s="78"/>
      <c r="F237" s="82"/>
    </row>
    <row r="238" customFormat="false" ht="15" hidden="false" customHeight="false" outlineLevel="0" collapsed="false">
      <c r="A238" s="83" t="s">
        <v>180</v>
      </c>
      <c r="B238" s="78" t="s">
        <v>87</v>
      </c>
      <c r="C238" s="79" t="b">
        <f aca="false">FALSE()</f>
        <v>0</v>
      </c>
      <c r="D238" s="77" t="s">
        <v>180</v>
      </c>
      <c r="E238" s="78"/>
      <c r="F238" s="79" t="b">
        <f aca="false">FALSE()</f>
        <v>0</v>
      </c>
    </row>
    <row r="239" customFormat="false" ht="15" hidden="false" customHeight="false" outlineLevel="0" collapsed="false">
      <c r="A239" s="59" t="s">
        <v>173</v>
      </c>
      <c r="B239" s="78"/>
      <c r="C239" s="80" t="s">
        <v>174</v>
      </c>
      <c r="D239" s="59" t="s">
        <v>173</v>
      </c>
      <c r="E239" s="78"/>
      <c r="F239" s="80" t="s">
        <v>174</v>
      </c>
    </row>
    <row r="240" customFormat="false" ht="15" hidden="false" customHeight="false" outlineLevel="0" collapsed="false">
      <c r="A240" s="59" t="s">
        <v>176</v>
      </c>
      <c r="B240" s="78"/>
      <c r="C240" s="81" t="n">
        <v>10</v>
      </c>
      <c r="D240" s="59" t="s">
        <v>176</v>
      </c>
      <c r="E240" s="78"/>
      <c r="F240" s="81" t="n">
        <v>10</v>
      </c>
    </row>
    <row r="241" customFormat="false" ht="15" hidden="false" customHeight="false" outlineLevel="0" collapsed="false">
      <c r="A241" s="59" t="s">
        <v>178</v>
      </c>
      <c r="B241" s="78"/>
      <c r="C241" s="82"/>
      <c r="D241" s="59" t="s">
        <v>178</v>
      </c>
      <c r="E241" s="78"/>
      <c r="F241" s="82"/>
    </row>
    <row r="242" customFormat="false" ht="15" hidden="false" customHeight="false" outlineLevel="0" collapsed="false">
      <c r="A242" s="59" t="s">
        <v>179</v>
      </c>
      <c r="B242" s="78"/>
      <c r="C242" s="82"/>
      <c r="D242" s="59" t="s">
        <v>179</v>
      </c>
      <c r="E242" s="78"/>
      <c r="F242" s="82"/>
    </row>
    <row r="243" customFormat="false" ht="15" hidden="false" customHeight="false" outlineLevel="0" collapsed="false">
      <c r="A243" s="83" t="s">
        <v>181</v>
      </c>
      <c r="B243" s="78" t="s">
        <v>122</v>
      </c>
      <c r="C243" s="79" t="b">
        <f aca="false">FALSE()</f>
        <v>0</v>
      </c>
      <c r="D243" s="77" t="s">
        <v>181</v>
      </c>
      <c r="E243" s="78"/>
      <c r="F243" s="79" t="b">
        <f aca="false">FALSE()</f>
        <v>0</v>
      </c>
    </row>
    <row r="244" customFormat="false" ht="15" hidden="false" customHeight="false" outlineLevel="0" collapsed="false">
      <c r="A244" s="59" t="s">
        <v>173</v>
      </c>
      <c r="B244" s="78"/>
      <c r="C244" s="80" t="s">
        <v>174</v>
      </c>
      <c r="D244" s="59" t="s">
        <v>173</v>
      </c>
      <c r="E244" s="78"/>
      <c r="F244" s="80" t="s">
        <v>174</v>
      </c>
    </row>
    <row r="245" customFormat="false" ht="15" hidden="false" customHeight="false" outlineLevel="0" collapsed="false">
      <c r="A245" s="59" t="s">
        <v>176</v>
      </c>
      <c r="B245" s="78"/>
      <c r="C245" s="81" t="n">
        <v>10</v>
      </c>
      <c r="D245" s="59" t="s">
        <v>176</v>
      </c>
      <c r="E245" s="78"/>
      <c r="F245" s="81" t="n">
        <v>10</v>
      </c>
    </row>
    <row r="246" customFormat="false" ht="15" hidden="false" customHeight="false" outlineLevel="0" collapsed="false">
      <c r="A246" s="59" t="s">
        <v>178</v>
      </c>
      <c r="B246" s="78"/>
      <c r="C246" s="82"/>
      <c r="D246" s="59" t="s">
        <v>178</v>
      </c>
      <c r="E246" s="78"/>
      <c r="F246" s="82"/>
    </row>
    <row r="247" customFormat="false" ht="15" hidden="false" customHeight="false" outlineLevel="0" collapsed="false">
      <c r="A247" s="59" t="s">
        <v>179</v>
      </c>
      <c r="B247" s="78"/>
      <c r="C247" s="82"/>
      <c r="D247" s="59" t="s">
        <v>179</v>
      </c>
      <c r="E247" s="78"/>
      <c r="F247" s="82"/>
    </row>
    <row r="248" customFormat="false" ht="15" hidden="false" customHeight="false" outlineLevel="0" collapsed="false">
      <c r="A248" s="83" t="s">
        <v>182</v>
      </c>
      <c r="B248" s="78" t="s">
        <v>91</v>
      </c>
      <c r="C248" s="79" t="b">
        <f aca="false">FALSE()</f>
        <v>0</v>
      </c>
      <c r="D248" s="77" t="s">
        <v>182</v>
      </c>
      <c r="E248" s="78"/>
      <c r="F248" s="79" t="b">
        <f aca="false">FALSE()</f>
        <v>0</v>
      </c>
    </row>
    <row r="249" customFormat="false" ht="15" hidden="false" customHeight="false" outlineLevel="0" collapsed="false">
      <c r="A249" s="59" t="s">
        <v>173</v>
      </c>
      <c r="B249" s="78"/>
      <c r="C249" s="80" t="s">
        <v>174</v>
      </c>
      <c r="D249" s="59" t="s">
        <v>173</v>
      </c>
      <c r="E249" s="78"/>
      <c r="F249" s="80" t="s">
        <v>174</v>
      </c>
    </row>
    <row r="250" customFormat="false" ht="15" hidden="false" customHeight="false" outlineLevel="0" collapsed="false">
      <c r="A250" s="59" t="s">
        <v>176</v>
      </c>
      <c r="B250" s="78"/>
      <c r="C250" s="81" t="n">
        <v>10</v>
      </c>
      <c r="D250" s="59" t="s">
        <v>176</v>
      </c>
      <c r="E250" s="78"/>
      <c r="F250" s="81" t="n">
        <v>10</v>
      </c>
    </row>
    <row r="251" customFormat="false" ht="15" hidden="false" customHeight="false" outlineLevel="0" collapsed="false">
      <c r="A251" s="59" t="s">
        <v>178</v>
      </c>
      <c r="B251" s="78"/>
      <c r="C251" s="82"/>
      <c r="D251" s="59" t="s">
        <v>178</v>
      </c>
      <c r="E251" s="78"/>
      <c r="F251" s="82"/>
    </row>
    <row r="252" customFormat="false" ht="15" hidden="false" customHeight="false" outlineLevel="0" collapsed="false">
      <c r="A252" s="59" t="s">
        <v>179</v>
      </c>
      <c r="B252" s="78"/>
      <c r="C252" s="82"/>
      <c r="D252" s="59" t="s">
        <v>179</v>
      </c>
      <c r="E252" s="78"/>
      <c r="F252" s="82"/>
    </row>
    <row r="253" customFormat="false" ht="15" hidden="false" customHeight="false" outlineLevel="0" collapsed="false">
      <c r="A253" s="83" t="s">
        <v>183</v>
      </c>
      <c r="B253" s="78" t="s">
        <v>105</v>
      </c>
      <c r="C253" s="79" t="b">
        <f aca="false">FALSE()</f>
        <v>0</v>
      </c>
      <c r="D253" s="77" t="s">
        <v>183</v>
      </c>
      <c r="E253" s="78"/>
      <c r="F253" s="79" t="b">
        <f aca="false">FALSE()</f>
        <v>0</v>
      </c>
    </row>
    <row r="254" customFormat="false" ht="15" hidden="false" customHeight="false" outlineLevel="0" collapsed="false">
      <c r="A254" s="59" t="s">
        <v>173</v>
      </c>
      <c r="B254" s="78"/>
      <c r="C254" s="80" t="s">
        <v>174</v>
      </c>
      <c r="D254" s="59" t="s">
        <v>173</v>
      </c>
      <c r="E254" s="78"/>
      <c r="F254" s="80" t="s">
        <v>174</v>
      </c>
    </row>
    <row r="255" customFormat="false" ht="15" hidden="false" customHeight="false" outlineLevel="0" collapsed="false">
      <c r="A255" s="59" t="s">
        <v>176</v>
      </c>
      <c r="B255" s="78"/>
      <c r="C255" s="81" t="n">
        <v>10</v>
      </c>
      <c r="D255" s="59" t="s">
        <v>176</v>
      </c>
      <c r="E255" s="78"/>
      <c r="F255" s="81" t="n">
        <v>10</v>
      </c>
    </row>
    <row r="256" customFormat="false" ht="15" hidden="false" customHeight="false" outlineLevel="0" collapsed="false">
      <c r="A256" s="59" t="s">
        <v>178</v>
      </c>
      <c r="B256" s="78"/>
      <c r="C256" s="82"/>
      <c r="D256" s="59" t="s">
        <v>178</v>
      </c>
      <c r="E256" s="78"/>
      <c r="F256" s="82"/>
    </row>
    <row r="257" customFormat="false" ht="15" hidden="false" customHeight="false" outlineLevel="0" collapsed="false">
      <c r="A257" s="59" t="s">
        <v>179</v>
      </c>
      <c r="B257" s="78"/>
      <c r="C257" s="82"/>
      <c r="D257" s="59" t="s">
        <v>179</v>
      </c>
      <c r="E257" s="78"/>
      <c r="F257" s="82"/>
    </row>
    <row r="258" customFormat="false" ht="15" hidden="false" customHeight="false" outlineLevel="0" collapsed="false">
      <c r="A258" s="77" t="s">
        <v>184</v>
      </c>
      <c r="B258" s="78"/>
      <c r="C258" s="82"/>
      <c r="D258" s="77" t="s">
        <v>184</v>
      </c>
      <c r="E258" s="78"/>
      <c r="F258" s="82"/>
    </row>
    <row r="259" customFormat="false" ht="15" hidden="false" customHeight="false" outlineLevel="0" collapsed="false">
      <c r="A259" s="59" t="s">
        <v>173</v>
      </c>
      <c r="B259" s="78"/>
      <c r="C259" s="82"/>
      <c r="D259" s="59" t="s">
        <v>173</v>
      </c>
      <c r="E259" s="78"/>
      <c r="F259" s="82"/>
    </row>
    <row r="260" customFormat="false" ht="15" hidden="false" customHeight="false" outlineLevel="0" collapsed="false">
      <c r="A260" s="59" t="s">
        <v>176</v>
      </c>
      <c r="B260" s="78"/>
      <c r="C260" s="82"/>
      <c r="D260" s="59" t="s">
        <v>176</v>
      </c>
      <c r="E260" s="78"/>
      <c r="F260" s="82"/>
    </row>
    <row r="261" customFormat="false" ht="15" hidden="false" customHeight="false" outlineLevel="0" collapsed="false">
      <c r="A261" s="59" t="s">
        <v>178</v>
      </c>
      <c r="B261" s="78"/>
      <c r="C261" s="82"/>
      <c r="D261" s="59" t="s">
        <v>178</v>
      </c>
      <c r="E261" s="78"/>
      <c r="F261" s="82"/>
    </row>
    <row r="262" customFormat="false" ht="15" hidden="false" customHeight="false" outlineLevel="0" collapsed="false">
      <c r="A262" s="59" t="s">
        <v>179</v>
      </c>
      <c r="B262" s="78"/>
      <c r="C262" s="82"/>
      <c r="D262" s="59" t="s">
        <v>179</v>
      </c>
      <c r="E262" s="78"/>
      <c r="F262" s="82"/>
    </row>
    <row r="263" customFormat="false" ht="15" hidden="false" customHeight="false" outlineLevel="0" collapsed="false">
      <c r="A263" s="77" t="s">
        <v>185</v>
      </c>
      <c r="B263" s="78"/>
      <c r="C263" s="82"/>
      <c r="D263" s="77" t="s">
        <v>185</v>
      </c>
      <c r="E263" s="78"/>
      <c r="F263" s="82"/>
    </row>
    <row r="264" customFormat="false" ht="15" hidden="false" customHeight="false" outlineLevel="0" collapsed="false">
      <c r="A264" s="59" t="s">
        <v>173</v>
      </c>
      <c r="B264" s="78"/>
      <c r="C264" s="82"/>
      <c r="D264" s="59" t="s">
        <v>173</v>
      </c>
      <c r="E264" s="78"/>
      <c r="F264" s="82"/>
    </row>
    <row r="265" customFormat="false" ht="15" hidden="false" customHeight="false" outlineLevel="0" collapsed="false">
      <c r="A265" s="59" t="s">
        <v>176</v>
      </c>
      <c r="B265" s="78"/>
      <c r="C265" s="82"/>
      <c r="D265" s="59" t="s">
        <v>176</v>
      </c>
      <c r="E265" s="78"/>
      <c r="F265" s="82"/>
    </row>
    <row r="266" customFormat="false" ht="15" hidden="false" customHeight="false" outlineLevel="0" collapsed="false">
      <c r="A266" s="59" t="s">
        <v>178</v>
      </c>
      <c r="B266" s="78"/>
      <c r="C266" s="82"/>
      <c r="D266" s="59" t="s">
        <v>178</v>
      </c>
      <c r="E266" s="78"/>
      <c r="F266" s="82"/>
    </row>
    <row r="267" customFormat="false" ht="15" hidden="false" customHeight="false" outlineLevel="0" collapsed="false">
      <c r="A267" s="59" t="s">
        <v>179</v>
      </c>
      <c r="B267" s="78"/>
      <c r="C267" s="82"/>
      <c r="D267" s="59" t="s">
        <v>179</v>
      </c>
      <c r="E267" s="78"/>
      <c r="F267" s="82"/>
    </row>
    <row r="268" customFormat="false" ht="15" hidden="false" customHeight="false" outlineLevel="0" collapsed="false">
      <c r="A268" s="77" t="s">
        <v>186</v>
      </c>
      <c r="B268" s="78"/>
      <c r="C268" s="82"/>
      <c r="D268" s="77" t="s">
        <v>186</v>
      </c>
      <c r="E268" s="78"/>
      <c r="F268" s="82"/>
    </row>
    <row r="269" customFormat="false" ht="15" hidden="false" customHeight="false" outlineLevel="0" collapsed="false">
      <c r="A269" s="59" t="s">
        <v>173</v>
      </c>
      <c r="B269" s="78"/>
      <c r="C269" s="82"/>
      <c r="D269" s="59" t="s">
        <v>173</v>
      </c>
      <c r="E269" s="78"/>
      <c r="F269" s="82"/>
    </row>
    <row r="270" customFormat="false" ht="15" hidden="false" customHeight="false" outlineLevel="0" collapsed="false">
      <c r="A270" s="59" t="s">
        <v>176</v>
      </c>
      <c r="B270" s="78"/>
      <c r="C270" s="82"/>
      <c r="D270" s="59" t="s">
        <v>176</v>
      </c>
      <c r="E270" s="78"/>
      <c r="F270" s="82"/>
    </row>
    <row r="271" customFormat="false" ht="15" hidden="false" customHeight="false" outlineLevel="0" collapsed="false">
      <c r="A271" s="59" t="s">
        <v>178</v>
      </c>
      <c r="B271" s="78"/>
      <c r="C271" s="82"/>
      <c r="D271" s="59" t="s">
        <v>178</v>
      </c>
      <c r="E271" s="78"/>
      <c r="F271" s="82"/>
    </row>
    <row r="272" customFormat="false" ht="15" hidden="false" customHeight="false" outlineLevel="0" collapsed="false">
      <c r="A272" s="59" t="s">
        <v>179</v>
      </c>
      <c r="B272" s="78"/>
      <c r="C272" s="82"/>
      <c r="D272" s="59" t="s">
        <v>179</v>
      </c>
      <c r="E272" s="78"/>
      <c r="F272" s="82"/>
    </row>
    <row r="273" customFormat="false" ht="15" hidden="false" customHeight="false" outlineLevel="0" collapsed="false">
      <c r="B273" s="57"/>
      <c r="C273" s="82"/>
      <c r="E273" s="57"/>
      <c r="F273" s="82"/>
    </row>
    <row r="274" customFormat="false" ht="15" hidden="false" customHeight="false" outlineLevel="0" collapsed="false">
      <c r="A274" s="69" t="s">
        <v>129</v>
      </c>
      <c r="B274" s="73" t="s">
        <v>40</v>
      </c>
      <c r="C274" s="82"/>
      <c r="D274" s="84" t="s">
        <v>139</v>
      </c>
      <c r="E274" s="73"/>
      <c r="F274" s="82"/>
    </row>
    <row r="275" customFormat="false" ht="15" hidden="false" customHeight="false" outlineLevel="0" collapsed="false">
      <c r="A275" s="74" t="s">
        <v>167</v>
      </c>
      <c r="B275" s="75"/>
      <c r="C275" s="76"/>
      <c r="D275" s="74" t="s">
        <v>167</v>
      </c>
      <c r="E275" s="75"/>
      <c r="F275" s="76"/>
    </row>
    <row r="276" customFormat="false" ht="15" hidden="false" customHeight="false" outlineLevel="0" collapsed="false">
      <c r="A276" s="83" t="s">
        <v>170</v>
      </c>
      <c r="B276" s="78" t="s">
        <v>39</v>
      </c>
      <c r="C276" s="79" t="b">
        <f aca="false">FALSE()</f>
        <v>0</v>
      </c>
      <c r="D276" s="77" t="s">
        <v>170</v>
      </c>
      <c r="E276" s="78"/>
      <c r="F276" s="79" t="b">
        <f aca="false">FALSE()</f>
        <v>0</v>
      </c>
    </row>
    <row r="277" customFormat="false" ht="15" hidden="false" customHeight="false" outlineLevel="0" collapsed="false">
      <c r="A277" s="59" t="s">
        <v>173</v>
      </c>
      <c r="B277" s="78"/>
      <c r="C277" s="80" t="s">
        <v>174</v>
      </c>
      <c r="D277" s="59" t="s">
        <v>173</v>
      </c>
      <c r="E277" s="78"/>
      <c r="F277" s="80" t="s">
        <v>174</v>
      </c>
    </row>
    <row r="278" customFormat="false" ht="15" hidden="false" customHeight="false" outlineLevel="0" collapsed="false">
      <c r="A278" s="59" t="s">
        <v>176</v>
      </c>
      <c r="B278" s="78"/>
      <c r="C278" s="81" t="n">
        <v>10</v>
      </c>
      <c r="D278" s="59" t="s">
        <v>176</v>
      </c>
      <c r="E278" s="78"/>
      <c r="F278" s="81" t="n">
        <v>10</v>
      </c>
    </row>
    <row r="279" customFormat="false" ht="15" hidden="false" customHeight="false" outlineLevel="0" collapsed="false">
      <c r="A279" s="59" t="s">
        <v>178</v>
      </c>
      <c r="B279" s="78"/>
      <c r="C279" s="82"/>
      <c r="D279" s="59" t="s">
        <v>178</v>
      </c>
      <c r="E279" s="78"/>
      <c r="F279" s="82"/>
    </row>
    <row r="280" customFormat="false" ht="15" hidden="false" customHeight="false" outlineLevel="0" collapsed="false">
      <c r="A280" s="59" t="s">
        <v>179</v>
      </c>
      <c r="B280" s="78"/>
      <c r="C280" s="82"/>
      <c r="D280" s="59" t="s">
        <v>179</v>
      </c>
      <c r="E280" s="78"/>
      <c r="F280" s="82"/>
    </row>
    <row r="281" customFormat="false" ht="15" hidden="false" customHeight="false" outlineLevel="0" collapsed="false">
      <c r="A281" s="83" t="s">
        <v>180</v>
      </c>
      <c r="B281" s="78" t="s">
        <v>117</v>
      </c>
      <c r="C281" s="79" t="b">
        <f aca="false">FALSE()</f>
        <v>0</v>
      </c>
      <c r="D281" s="77" t="s">
        <v>180</v>
      </c>
      <c r="E281" s="78"/>
      <c r="F281" s="79" t="b">
        <f aca="false">FALSE()</f>
        <v>0</v>
      </c>
    </row>
    <row r="282" customFormat="false" ht="15" hidden="false" customHeight="false" outlineLevel="0" collapsed="false">
      <c r="A282" s="59" t="s">
        <v>173</v>
      </c>
      <c r="B282" s="78"/>
      <c r="C282" s="80" t="s">
        <v>174</v>
      </c>
      <c r="D282" s="59" t="s">
        <v>173</v>
      </c>
      <c r="E282" s="78"/>
      <c r="F282" s="80" t="s">
        <v>174</v>
      </c>
    </row>
    <row r="283" customFormat="false" ht="15" hidden="false" customHeight="false" outlineLevel="0" collapsed="false">
      <c r="A283" s="59" t="s">
        <v>176</v>
      </c>
      <c r="B283" s="78"/>
      <c r="C283" s="81" t="n">
        <v>10</v>
      </c>
      <c r="D283" s="59" t="s">
        <v>176</v>
      </c>
      <c r="E283" s="78"/>
      <c r="F283" s="81" t="n">
        <v>10</v>
      </c>
    </row>
    <row r="284" customFormat="false" ht="15" hidden="false" customHeight="false" outlineLevel="0" collapsed="false">
      <c r="A284" s="59" t="s">
        <v>178</v>
      </c>
      <c r="B284" s="78"/>
      <c r="C284" s="82"/>
      <c r="D284" s="59" t="s">
        <v>178</v>
      </c>
      <c r="E284" s="78"/>
      <c r="F284" s="82"/>
    </row>
    <row r="285" customFormat="false" ht="15" hidden="false" customHeight="false" outlineLevel="0" collapsed="false">
      <c r="A285" s="59" t="s">
        <v>179</v>
      </c>
      <c r="B285" s="78"/>
      <c r="C285" s="82"/>
      <c r="D285" s="59" t="s">
        <v>179</v>
      </c>
      <c r="E285" s="78"/>
      <c r="F285" s="82"/>
    </row>
    <row r="286" customFormat="false" ht="15" hidden="false" customHeight="false" outlineLevel="0" collapsed="false">
      <c r="A286" s="83" t="s">
        <v>181</v>
      </c>
      <c r="B286" s="78" t="s">
        <v>51</v>
      </c>
      <c r="C286" s="79" t="b">
        <f aca="false">FALSE()</f>
        <v>0</v>
      </c>
      <c r="D286" s="77" t="s">
        <v>181</v>
      </c>
      <c r="E286" s="78"/>
      <c r="F286" s="79" t="b">
        <f aca="false">FALSE()</f>
        <v>0</v>
      </c>
    </row>
    <row r="287" customFormat="false" ht="15" hidden="false" customHeight="false" outlineLevel="0" collapsed="false">
      <c r="A287" s="59" t="s">
        <v>173</v>
      </c>
      <c r="B287" s="78"/>
      <c r="C287" s="80" t="s">
        <v>174</v>
      </c>
      <c r="D287" s="59" t="s">
        <v>173</v>
      </c>
      <c r="E287" s="78"/>
      <c r="F287" s="80" t="s">
        <v>174</v>
      </c>
    </row>
    <row r="288" customFormat="false" ht="15" hidden="false" customHeight="false" outlineLevel="0" collapsed="false">
      <c r="A288" s="59" t="s">
        <v>176</v>
      </c>
      <c r="B288" s="78"/>
      <c r="C288" s="81" t="n">
        <v>10</v>
      </c>
      <c r="D288" s="59" t="s">
        <v>176</v>
      </c>
      <c r="E288" s="78"/>
      <c r="F288" s="81" t="n">
        <v>10</v>
      </c>
    </row>
    <row r="289" customFormat="false" ht="15" hidden="false" customHeight="false" outlineLevel="0" collapsed="false">
      <c r="A289" s="59" t="s">
        <v>178</v>
      </c>
      <c r="B289" s="78"/>
      <c r="C289" s="82"/>
      <c r="D289" s="59" t="s">
        <v>178</v>
      </c>
      <c r="E289" s="78"/>
      <c r="F289" s="82"/>
    </row>
    <row r="290" customFormat="false" ht="15" hidden="false" customHeight="false" outlineLevel="0" collapsed="false">
      <c r="A290" s="59" t="s">
        <v>179</v>
      </c>
      <c r="B290" s="78"/>
      <c r="C290" s="82"/>
      <c r="D290" s="59" t="s">
        <v>179</v>
      </c>
      <c r="E290" s="78"/>
      <c r="F290" s="82"/>
    </row>
    <row r="291" customFormat="false" ht="15" hidden="false" customHeight="false" outlineLevel="0" collapsed="false">
      <c r="A291" s="83" t="s">
        <v>182</v>
      </c>
      <c r="B291" s="78" t="s">
        <v>98</v>
      </c>
      <c r="C291" s="79" t="b">
        <f aca="false">FALSE()</f>
        <v>0</v>
      </c>
      <c r="D291" s="77" t="s">
        <v>182</v>
      </c>
      <c r="E291" s="78"/>
      <c r="F291" s="79" t="b">
        <f aca="false">FALSE()</f>
        <v>0</v>
      </c>
    </row>
    <row r="292" customFormat="false" ht="15" hidden="false" customHeight="false" outlineLevel="0" collapsed="false">
      <c r="A292" s="59" t="s">
        <v>173</v>
      </c>
      <c r="B292" s="78"/>
      <c r="C292" s="80" t="s">
        <v>174</v>
      </c>
      <c r="D292" s="59" t="s">
        <v>173</v>
      </c>
      <c r="E292" s="78"/>
      <c r="F292" s="80" t="s">
        <v>174</v>
      </c>
    </row>
    <row r="293" customFormat="false" ht="15" hidden="false" customHeight="false" outlineLevel="0" collapsed="false">
      <c r="A293" s="59" t="s">
        <v>176</v>
      </c>
      <c r="B293" s="78"/>
      <c r="C293" s="81" t="n">
        <v>10</v>
      </c>
      <c r="D293" s="59" t="s">
        <v>176</v>
      </c>
      <c r="E293" s="78"/>
      <c r="F293" s="81" t="n">
        <v>10</v>
      </c>
    </row>
    <row r="294" customFormat="false" ht="15" hidden="false" customHeight="false" outlineLevel="0" collapsed="false">
      <c r="A294" s="59" t="s">
        <v>178</v>
      </c>
      <c r="B294" s="78"/>
      <c r="C294" s="82"/>
      <c r="D294" s="59" t="s">
        <v>178</v>
      </c>
      <c r="E294" s="78"/>
      <c r="F294" s="82"/>
    </row>
    <row r="295" customFormat="false" ht="15" hidden="false" customHeight="false" outlineLevel="0" collapsed="false">
      <c r="A295" s="59" t="s">
        <v>179</v>
      </c>
      <c r="B295" s="78"/>
      <c r="C295" s="82"/>
      <c r="D295" s="59" t="s">
        <v>179</v>
      </c>
      <c r="E295" s="78"/>
      <c r="F295" s="82"/>
      <c r="BJ295" s="57"/>
    </row>
    <row r="296" customFormat="false" ht="15" hidden="false" customHeight="false" outlineLevel="0" collapsed="false">
      <c r="A296" s="83" t="s">
        <v>183</v>
      </c>
      <c r="B296" s="78" t="s">
        <v>54</v>
      </c>
      <c r="C296" s="79" t="b">
        <f aca="false">FALSE()</f>
        <v>0</v>
      </c>
      <c r="D296" s="77" t="s">
        <v>183</v>
      </c>
      <c r="E296" s="78"/>
      <c r="F296" s="79" t="b">
        <f aca="false">FALSE()</f>
        <v>0</v>
      </c>
      <c r="BJ296" s="57"/>
    </row>
    <row r="297" customFormat="false" ht="15" hidden="false" customHeight="false" outlineLevel="0" collapsed="false">
      <c r="A297" s="59" t="s">
        <v>173</v>
      </c>
      <c r="B297" s="78"/>
      <c r="C297" s="80" t="s">
        <v>174</v>
      </c>
      <c r="D297" s="59" t="s">
        <v>173</v>
      </c>
      <c r="E297" s="78"/>
      <c r="F297" s="80" t="s">
        <v>174</v>
      </c>
      <c r="BJ297" s="57"/>
    </row>
    <row r="298" customFormat="false" ht="15" hidden="false" customHeight="false" outlineLevel="0" collapsed="false">
      <c r="A298" s="59" t="s">
        <v>176</v>
      </c>
      <c r="B298" s="78"/>
      <c r="C298" s="81" t="n">
        <v>10</v>
      </c>
      <c r="D298" s="59" t="s">
        <v>176</v>
      </c>
      <c r="E298" s="78"/>
      <c r="F298" s="81" t="n">
        <v>10</v>
      </c>
      <c r="BJ298" s="57"/>
    </row>
    <row r="299" customFormat="false" ht="15" hidden="false" customHeight="false" outlineLevel="0" collapsed="false">
      <c r="A299" s="59" t="s">
        <v>178</v>
      </c>
      <c r="B299" s="78"/>
      <c r="C299" s="82"/>
      <c r="D299" s="59" t="s">
        <v>178</v>
      </c>
      <c r="E299" s="78"/>
      <c r="F299" s="82"/>
      <c r="BJ299" s="57"/>
    </row>
    <row r="300" customFormat="false" ht="15" hidden="false" customHeight="false" outlineLevel="0" collapsed="false">
      <c r="A300" s="59" t="s">
        <v>179</v>
      </c>
      <c r="B300" s="78"/>
      <c r="C300" s="82"/>
      <c r="D300" s="59" t="s">
        <v>179</v>
      </c>
      <c r="E300" s="78"/>
      <c r="F300" s="82"/>
      <c r="BJ300" s="57"/>
    </row>
    <row r="301" customFormat="false" ht="15" hidden="false" customHeight="false" outlineLevel="0" collapsed="false">
      <c r="A301" s="77" t="s">
        <v>184</v>
      </c>
      <c r="B301" s="78"/>
      <c r="C301" s="82"/>
      <c r="D301" s="77" t="s">
        <v>184</v>
      </c>
      <c r="E301" s="78"/>
      <c r="F301" s="82"/>
      <c r="BJ301" s="57"/>
    </row>
    <row r="302" customFormat="false" ht="15" hidden="false" customHeight="false" outlineLevel="0" collapsed="false">
      <c r="A302" s="59" t="s">
        <v>173</v>
      </c>
      <c r="B302" s="78"/>
      <c r="C302" s="82"/>
      <c r="D302" s="59" t="s">
        <v>173</v>
      </c>
      <c r="E302" s="78"/>
      <c r="F302" s="82"/>
      <c r="BJ302" s="57"/>
    </row>
    <row r="303" customFormat="false" ht="15" hidden="false" customHeight="false" outlineLevel="0" collapsed="false">
      <c r="A303" s="59" t="s">
        <v>176</v>
      </c>
      <c r="B303" s="78"/>
      <c r="C303" s="82"/>
      <c r="D303" s="59" t="s">
        <v>176</v>
      </c>
      <c r="E303" s="78"/>
      <c r="F303" s="82"/>
      <c r="BJ303" s="57"/>
    </row>
    <row r="304" customFormat="false" ht="15" hidden="false" customHeight="false" outlineLevel="0" collapsed="false">
      <c r="A304" s="59" t="s">
        <v>178</v>
      </c>
      <c r="B304" s="78"/>
      <c r="C304" s="82"/>
      <c r="D304" s="59" t="s">
        <v>178</v>
      </c>
      <c r="E304" s="78"/>
      <c r="F304" s="82"/>
      <c r="BJ304" s="57"/>
    </row>
    <row r="305" customFormat="false" ht="15" hidden="false" customHeight="false" outlineLevel="0" collapsed="false">
      <c r="A305" s="59" t="s">
        <v>179</v>
      </c>
      <c r="B305" s="78"/>
      <c r="C305" s="82"/>
      <c r="D305" s="59" t="s">
        <v>179</v>
      </c>
      <c r="E305" s="78"/>
      <c r="F305" s="82"/>
      <c r="BJ305" s="57"/>
    </row>
    <row r="306" customFormat="false" ht="15" hidden="false" customHeight="false" outlineLevel="0" collapsed="false">
      <c r="A306" s="77" t="s">
        <v>185</v>
      </c>
      <c r="B306" s="78"/>
      <c r="C306" s="82"/>
      <c r="D306" s="77" t="s">
        <v>185</v>
      </c>
      <c r="E306" s="78"/>
      <c r="F306" s="82"/>
      <c r="BJ306" s="57"/>
    </row>
    <row r="307" customFormat="false" ht="15" hidden="false" customHeight="false" outlineLevel="0" collapsed="false">
      <c r="A307" s="59" t="s">
        <v>173</v>
      </c>
      <c r="B307" s="78"/>
      <c r="C307" s="82"/>
      <c r="D307" s="59" t="s">
        <v>173</v>
      </c>
      <c r="E307" s="78"/>
      <c r="F307" s="82"/>
      <c r="BJ307" s="57"/>
    </row>
    <row r="308" customFormat="false" ht="15" hidden="false" customHeight="false" outlineLevel="0" collapsed="false">
      <c r="A308" s="59" t="s">
        <v>176</v>
      </c>
      <c r="B308" s="78"/>
      <c r="C308" s="82"/>
      <c r="D308" s="59" t="s">
        <v>176</v>
      </c>
      <c r="E308" s="78"/>
      <c r="F308" s="82"/>
      <c r="BJ308" s="57"/>
    </row>
    <row r="309" customFormat="false" ht="15" hidden="false" customHeight="false" outlineLevel="0" collapsed="false">
      <c r="A309" s="59" t="s">
        <v>178</v>
      </c>
      <c r="B309" s="78"/>
      <c r="C309" s="82"/>
      <c r="D309" s="59" t="s">
        <v>178</v>
      </c>
      <c r="E309" s="78"/>
      <c r="F309" s="82"/>
      <c r="BJ309" s="57"/>
    </row>
    <row r="310" customFormat="false" ht="15" hidden="false" customHeight="false" outlineLevel="0" collapsed="false">
      <c r="A310" s="59" t="s">
        <v>179</v>
      </c>
      <c r="B310" s="78"/>
      <c r="C310" s="82"/>
      <c r="D310" s="59" t="s">
        <v>179</v>
      </c>
      <c r="E310" s="78"/>
      <c r="F310" s="82"/>
      <c r="BJ310" s="57"/>
    </row>
    <row r="311" customFormat="false" ht="15" hidden="false" customHeight="false" outlineLevel="0" collapsed="false">
      <c r="A311" s="77" t="s">
        <v>186</v>
      </c>
      <c r="B311" s="78"/>
      <c r="C311" s="82"/>
      <c r="D311" s="77" t="s">
        <v>186</v>
      </c>
      <c r="E311" s="78"/>
      <c r="F311" s="82"/>
      <c r="BJ311" s="57"/>
    </row>
    <row r="312" customFormat="false" ht="15" hidden="false" customHeight="false" outlineLevel="0" collapsed="false">
      <c r="A312" s="59" t="s">
        <v>173</v>
      </c>
      <c r="B312" s="78"/>
      <c r="C312" s="82"/>
      <c r="D312" s="59" t="s">
        <v>173</v>
      </c>
      <c r="E312" s="78"/>
      <c r="F312" s="82"/>
      <c r="BJ312" s="57"/>
    </row>
    <row r="313" customFormat="false" ht="15" hidden="false" customHeight="false" outlineLevel="0" collapsed="false">
      <c r="A313" s="59" t="s">
        <v>176</v>
      </c>
      <c r="B313" s="78"/>
      <c r="C313" s="82"/>
      <c r="D313" s="59" t="s">
        <v>176</v>
      </c>
      <c r="E313" s="78"/>
      <c r="F313" s="82"/>
      <c r="BJ313" s="57"/>
    </row>
    <row r="314" customFormat="false" ht="15" hidden="false" customHeight="false" outlineLevel="0" collapsed="false">
      <c r="A314" s="59" t="s">
        <v>178</v>
      </c>
      <c r="B314" s="78"/>
      <c r="C314" s="82"/>
      <c r="D314" s="59" t="s">
        <v>178</v>
      </c>
      <c r="E314" s="78"/>
      <c r="F314" s="82"/>
      <c r="BJ314" s="57"/>
    </row>
    <row r="315" customFormat="false" ht="15" hidden="false" customHeight="false" outlineLevel="0" collapsed="false">
      <c r="A315" s="59" t="s">
        <v>179</v>
      </c>
      <c r="B315" s="78"/>
      <c r="C315" s="82"/>
      <c r="D315" s="59" t="s">
        <v>179</v>
      </c>
      <c r="E315" s="78"/>
      <c r="F315" s="82"/>
      <c r="BJ315" s="57"/>
    </row>
    <row r="316" customFormat="false" ht="15" hidden="false" customHeight="false" outlineLevel="0" collapsed="false">
      <c r="B316" s="57"/>
      <c r="C316" s="82"/>
      <c r="E316" s="57"/>
      <c r="F316" s="82"/>
      <c r="BJ316" s="57"/>
    </row>
    <row r="317" customFormat="false" ht="15" hidden="false" customHeight="false" outlineLevel="0" collapsed="false">
      <c r="A317" s="69" t="s">
        <v>130</v>
      </c>
      <c r="B317" s="73" t="s">
        <v>49</v>
      </c>
      <c r="C317" s="82"/>
      <c r="D317" s="84" t="s">
        <v>140</v>
      </c>
      <c r="E317" s="73"/>
      <c r="F317" s="82"/>
      <c r="BJ317" s="57"/>
    </row>
    <row r="318" customFormat="false" ht="15" hidden="false" customHeight="false" outlineLevel="0" collapsed="false">
      <c r="A318" s="74" t="s">
        <v>167</v>
      </c>
      <c r="B318" s="75"/>
      <c r="C318" s="76"/>
      <c r="D318" s="74" t="s">
        <v>167</v>
      </c>
      <c r="E318" s="75"/>
      <c r="F318" s="76"/>
      <c r="BJ318" s="57"/>
    </row>
    <row r="319" customFormat="false" ht="15" hidden="false" customHeight="false" outlineLevel="0" collapsed="false">
      <c r="A319" s="83" t="s">
        <v>170</v>
      </c>
      <c r="B319" s="78" t="s">
        <v>103</v>
      </c>
      <c r="C319" s="79" t="b">
        <f aca="false">FALSE()</f>
        <v>0</v>
      </c>
      <c r="D319" s="77" t="s">
        <v>170</v>
      </c>
      <c r="E319" s="78"/>
      <c r="F319" s="79" t="b">
        <f aca="false">FALSE()</f>
        <v>0</v>
      </c>
      <c r="BJ319" s="57"/>
    </row>
    <row r="320" customFormat="false" ht="15" hidden="false" customHeight="false" outlineLevel="0" collapsed="false">
      <c r="A320" s="59" t="s">
        <v>173</v>
      </c>
      <c r="B320" s="78"/>
      <c r="C320" s="80" t="s">
        <v>174</v>
      </c>
      <c r="D320" s="59" t="s">
        <v>173</v>
      </c>
      <c r="E320" s="78"/>
      <c r="F320" s="80" t="s">
        <v>174</v>
      </c>
      <c r="BJ320" s="57"/>
    </row>
    <row r="321" customFormat="false" ht="15" hidden="false" customHeight="false" outlineLevel="0" collapsed="false">
      <c r="A321" s="59" t="s">
        <v>176</v>
      </c>
      <c r="B321" s="78"/>
      <c r="C321" s="81" t="n">
        <v>10</v>
      </c>
      <c r="D321" s="59" t="s">
        <v>176</v>
      </c>
      <c r="E321" s="78"/>
      <c r="F321" s="81" t="n">
        <v>10</v>
      </c>
      <c r="BJ321" s="57"/>
    </row>
    <row r="322" customFormat="false" ht="15" hidden="false" customHeight="false" outlineLevel="0" collapsed="false">
      <c r="A322" s="59" t="s">
        <v>178</v>
      </c>
      <c r="B322" s="78"/>
      <c r="C322" s="82"/>
      <c r="D322" s="59" t="s">
        <v>178</v>
      </c>
      <c r="E322" s="78"/>
      <c r="F322" s="82"/>
      <c r="BJ322" s="57"/>
    </row>
    <row r="323" customFormat="false" ht="15" hidden="false" customHeight="false" outlineLevel="0" collapsed="false">
      <c r="A323" s="59" t="s">
        <v>179</v>
      </c>
      <c r="B323" s="78"/>
      <c r="C323" s="82"/>
      <c r="D323" s="59" t="s">
        <v>179</v>
      </c>
      <c r="E323" s="78"/>
      <c r="F323" s="82"/>
      <c r="BJ323" s="57"/>
    </row>
    <row r="324" customFormat="false" ht="15" hidden="false" customHeight="false" outlineLevel="0" collapsed="false">
      <c r="A324" s="83" t="s">
        <v>180</v>
      </c>
      <c r="B324" s="78" t="s">
        <v>76</v>
      </c>
      <c r="C324" s="79" t="b">
        <f aca="false">FALSE()</f>
        <v>0</v>
      </c>
      <c r="D324" s="77" t="s">
        <v>180</v>
      </c>
      <c r="E324" s="78"/>
      <c r="F324" s="79" t="b">
        <f aca="false">FALSE()</f>
        <v>0</v>
      </c>
      <c r="BJ324" s="57"/>
    </row>
    <row r="325" customFormat="false" ht="15" hidden="false" customHeight="false" outlineLevel="0" collapsed="false">
      <c r="A325" s="59" t="s">
        <v>173</v>
      </c>
      <c r="B325" s="78"/>
      <c r="C325" s="80" t="s">
        <v>174</v>
      </c>
      <c r="D325" s="59" t="s">
        <v>173</v>
      </c>
      <c r="E325" s="78"/>
      <c r="F325" s="80" t="s">
        <v>174</v>
      </c>
      <c r="BJ325" s="57"/>
    </row>
    <row r="326" customFormat="false" ht="15" hidden="false" customHeight="false" outlineLevel="0" collapsed="false">
      <c r="A326" s="59" t="s">
        <v>176</v>
      </c>
      <c r="B326" s="78"/>
      <c r="C326" s="81" t="n">
        <v>10</v>
      </c>
      <c r="D326" s="59" t="s">
        <v>176</v>
      </c>
      <c r="E326" s="78"/>
      <c r="F326" s="81" t="n">
        <v>10</v>
      </c>
      <c r="BJ326" s="57"/>
    </row>
    <row r="327" customFormat="false" ht="15" hidden="false" customHeight="false" outlineLevel="0" collapsed="false">
      <c r="A327" s="59" t="s">
        <v>178</v>
      </c>
      <c r="B327" s="78"/>
      <c r="C327" s="82"/>
      <c r="D327" s="59" t="s">
        <v>178</v>
      </c>
      <c r="E327" s="78"/>
      <c r="F327" s="82"/>
      <c r="BJ327" s="57"/>
    </row>
    <row r="328" customFormat="false" ht="15" hidden="false" customHeight="false" outlineLevel="0" collapsed="false">
      <c r="A328" s="59" t="s">
        <v>179</v>
      </c>
      <c r="B328" s="78"/>
      <c r="C328" s="82"/>
      <c r="D328" s="59" t="s">
        <v>179</v>
      </c>
      <c r="E328" s="78"/>
      <c r="F328" s="82"/>
      <c r="BJ328" s="57"/>
    </row>
    <row r="329" customFormat="false" ht="15" hidden="false" customHeight="false" outlineLevel="0" collapsed="false">
      <c r="A329" s="83" t="s">
        <v>181</v>
      </c>
      <c r="B329" s="78" t="s">
        <v>65</v>
      </c>
      <c r="C329" s="79" t="b">
        <f aca="false">FALSE()</f>
        <v>0</v>
      </c>
      <c r="D329" s="77" t="s">
        <v>181</v>
      </c>
      <c r="E329" s="78"/>
      <c r="F329" s="79" t="b">
        <f aca="false">FALSE()</f>
        <v>0</v>
      </c>
      <c r="BJ329" s="57"/>
    </row>
    <row r="330" customFormat="false" ht="15" hidden="false" customHeight="false" outlineLevel="0" collapsed="false">
      <c r="A330" s="59" t="s">
        <v>173</v>
      </c>
      <c r="B330" s="78"/>
      <c r="C330" s="80" t="s">
        <v>174</v>
      </c>
      <c r="D330" s="59" t="s">
        <v>173</v>
      </c>
      <c r="E330" s="78"/>
      <c r="F330" s="80" t="s">
        <v>174</v>
      </c>
      <c r="BJ330" s="57"/>
    </row>
    <row r="331" customFormat="false" ht="15" hidden="false" customHeight="false" outlineLevel="0" collapsed="false">
      <c r="A331" s="59" t="s">
        <v>176</v>
      </c>
      <c r="B331" s="78"/>
      <c r="C331" s="81" t="n">
        <v>10</v>
      </c>
      <c r="D331" s="59" t="s">
        <v>176</v>
      </c>
      <c r="E331" s="78"/>
      <c r="F331" s="81" t="n">
        <v>10</v>
      </c>
      <c r="BJ331" s="57"/>
    </row>
    <row r="332" customFormat="false" ht="15" hidden="false" customHeight="false" outlineLevel="0" collapsed="false">
      <c r="A332" s="59" t="s">
        <v>178</v>
      </c>
      <c r="B332" s="78"/>
      <c r="C332" s="82"/>
      <c r="D332" s="59" t="s">
        <v>178</v>
      </c>
      <c r="E332" s="78"/>
      <c r="F332" s="82"/>
      <c r="BJ332" s="57"/>
    </row>
    <row r="333" customFormat="false" ht="15" hidden="false" customHeight="false" outlineLevel="0" collapsed="false">
      <c r="A333" s="59" t="s">
        <v>179</v>
      </c>
      <c r="B333" s="78"/>
      <c r="C333" s="82"/>
      <c r="D333" s="59" t="s">
        <v>179</v>
      </c>
      <c r="E333" s="78"/>
      <c r="F333" s="82"/>
      <c r="BJ333" s="57"/>
    </row>
    <row r="334" customFormat="false" ht="15" hidden="false" customHeight="false" outlineLevel="0" collapsed="false">
      <c r="A334" s="83" t="s">
        <v>182</v>
      </c>
      <c r="B334" s="78" t="s">
        <v>116</v>
      </c>
      <c r="C334" s="79" t="b">
        <f aca="false">FALSE()</f>
        <v>0</v>
      </c>
      <c r="D334" s="77" t="s">
        <v>182</v>
      </c>
      <c r="E334" s="78"/>
      <c r="F334" s="79" t="b">
        <f aca="false">FALSE()</f>
        <v>0</v>
      </c>
      <c r="BJ334" s="57"/>
    </row>
    <row r="335" customFormat="false" ht="15" hidden="false" customHeight="false" outlineLevel="0" collapsed="false">
      <c r="A335" s="59" t="s">
        <v>173</v>
      </c>
      <c r="B335" s="78"/>
      <c r="C335" s="80" t="s">
        <v>174</v>
      </c>
      <c r="D335" s="59" t="s">
        <v>173</v>
      </c>
      <c r="E335" s="78"/>
      <c r="F335" s="80" t="s">
        <v>174</v>
      </c>
      <c r="BJ335" s="57"/>
    </row>
    <row r="336" customFormat="false" ht="15" hidden="false" customHeight="false" outlineLevel="0" collapsed="false">
      <c r="A336" s="59" t="s">
        <v>176</v>
      </c>
      <c r="B336" s="78"/>
      <c r="C336" s="81" t="n">
        <v>10</v>
      </c>
      <c r="D336" s="59" t="s">
        <v>176</v>
      </c>
      <c r="E336" s="78"/>
      <c r="F336" s="81" t="n">
        <v>10</v>
      </c>
      <c r="BJ336" s="57"/>
    </row>
    <row r="337" customFormat="false" ht="15" hidden="false" customHeight="false" outlineLevel="0" collapsed="false">
      <c r="A337" s="59" t="s">
        <v>178</v>
      </c>
      <c r="B337" s="78"/>
      <c r="C337" s="82"/>
      <c r="D337" s="59" t="s">
        <v>178</v>
      </c>
      <c r="E337" s="78"/>
      <c r="F337" s="82"/>
      <c r="BJ337" s="57"/>
    </row>
    <row r="338" customFormat="false" ht="15" hidden="false" customHeight="false" outlineLevel="0" collapsed="false">
      <c r="A338" s="59" t="s">
        <v>179</v>
      </c>
      <c r="B338" s="78"/>
      <c r="C338" s="82"/>
      <c r="D338" s="59" t="s">
        <v>179</v>
      </c>
      <c r="E338" s="78"/>
      <c r="F338" s="82"/>
      <c r="BJ338" s="57"/>
    </row>
    <row r="339" customFormat="false" ht="15" hidden="false" customHeight="false" outlineLevel="0" collapsed="false">
      <c r="A339" s="83" t="s">
        <v>183</v>
      </c>
      <c r="B339" s="78" t="s">
        <v>100</v>
      </c>
      <c r="C339" s="79" t="b">
        <f aca="false">FALSE()</f>
        <v>0</v>
      </c>
      <c r="D339" s="77" t="s">
        <v>183</v>
      </c>
      <c r="E339" s="78"/>
      <c r="F339" s="79" t="b">
        <f aca="false">FALSE()</f>
        <v>0</v>
      </c>
      <c r="BJ339" s="57"/>
    </row>
    <row r="340" customFormat="false" ht="15" hidden="false" customHeight="false" outlineLevel="0" collapsed="false">
      <c r="A340" s="59" t="s">
        <v>173</v>
      </c>
      <c r="B340" s="78"/>
      <c r="C340" s="80" t="s">
        <v>174</v>
      </c>
      <c r="D340" s="59" t="s">
        <v>173</v>
      </c>
      <c r="E340" s="78"/>
      <c r="F340" s="80" t="s">
        <v>174</v>
      </c>
      <c r="BJ340" s="57"/>
    </row>
    <row r="341" customFormat="false" ht="15" hidden="false" customHeight="false" outlineLevel="0" collapsed="false">
      <c r="A341" s="59" t="s">
        <v>176</v>
      </c>
      <c r="B341" s="78"/>
      <c r="C341" s="81" t="n">
        <v>10</v>
      </c>
      <c r="D341" s="59" t="s">
        <v>176</v>
      </c>
      <c r="E341" s="78"/>
      <c r="F341" s="81" t="n">
        <v>10</v>
      </c>
      <c r="BJ341" s="57"/>
    </row>
    <row r="342" customFormat="false" ht="15" hidden="false" customHeight="false" outlineLevel="0" collapsed="false">
      <c r="A342" s="59" t="s">
        <v>178</v>
      </c>
      <c r="B342" s="78"/>
      <c r="C342" s="82"/>
      <c r="D342" s="59" t="s">
        <v>178</v>
      </c>
      <c r="E342" s="78"/>
      <c r="F342" s="82"/>
      <c r="BJ342" s="57"/>
    </row>
    <row r="343" customFormat="false" ht="15" hidden="false" customHeight="false" outlineLevel="0" collapsed="false">
      <c r="A343" s="59" t="s">
        <v>179</v>
      </c>
      <c r="B343" s="78"/>
      <c r="C343" s="82"/>
      <c r="D343" s="59" t="s">
        <v>179</v>
      </c>
      <c r="E343" s="78"/>
      <c r="F343" s="82"/>
      <c r="BJ343" s="57"/>
    </row>
    <row r="344" customFormat="false" ht="15" hidden="false" customHeight="false" outlineLevel="0" collapsed="false">
      <c r="A344" s="77" t="s">
        <v>184</v>
      </c>
      <c r="B344" s="78"/>
      <c r="C344" s="82"/>
      <c r="D344" s="77" t="s">
        <v>184</v>
      </c>
      <c r="E344" s="78"/>
      <c r="F344" s="82"/>
      <c r="BJ344" s="57"/>
    </row>
    <row r="345" customFormat="false" ht="15" hidden="false" customHeight="false" outlineLevel="0" collapsed="false">
      <c r="A345" s="59" t="s">
        <v>173</v>
      </c>
      <c r="B345" s="78"/>
      <c r="C345" s="82"/>
      <c r="D345" s="59" t="s">
        <v>173</v>
      </c>
      <c r="E345" s="78"/>
      <c r="F345" s="82"/>
      <c r="BJ345" s="57"/>
    </row>
    <row r="346" customFormat="false" ht="15" hidden="false" customHeight="false" outlineLevel="0" collapsed="false">
      <c r="A346" s="59" t="s">
        <v>176</v>
      </c>
      <c r="B346" s="78"/>
      <c r="C346" s="82"/>
      <c r="D346" s="59" t="s">
        <v>176</v>
      </c>
      <c r="E346" s="78"/>
      <c r="F346" s="82"/>
      <c r="BJ346" s="57"/>
    </row>
    <row r="347" customFormat="false" ht="15" hidden="false" customHeight="false" outlineLevel="0" collapsed="false">
      <c r="A347" s="59" t="s">
        <v>178</v>
      </c>
      <c r="B347" s="78"/>
      <c r="C347" s="82"/>
      <c r="D347" s="59" t="s">
        <v>178</v>
      </c>
      <c r="E347" s="78"/>
      <c r="F347" s="82"/>
      <c r="BJ347" s="57"/>
    </row>
    <row r="348" customFormat="false" ht="15" hidden="false" customHeight="false" outlineLevel="0" collapsed="false">
      <c r="A348" s="59" t="s">
        <v>179</v>
      </c>
      <c r="B348" s="78"/>
      <c r="C348" s="82"/>
      <c r="D348" s="59" t="s">
        <v>179</v>
      </c>
      <c r="E348" s="78"/>
      <c r="F348" s="82"/>
      <c r="BJ348" s="57"/>
    </row>
    <row r="349" customFormat="false" ht="15" hidden="false" customHeight="false" outlineLevel="0" collapsed="false">
      <c r="A349" s="77" t="s">
        <v>185</v>
      </c>
      <c r="B349" s="78"/>
      <c r="C349" s="82"/>
      <c r="D349" s="77" t="s">
        <v>185</v>
      </c>
      <c r="E349" s="78"/>
      <c r="F349" s="82"/>
      <c r="BJ349" s="57"/>
    </row>
    <row r="350" customFormat="false" ht="15" hidden="false" customHeight="false" outlineLevel="0" collapsed="false">
      <c r="A350" s="59" t="s">
        <v>173</v>
      </c>
      <c r="B350" s="78"/>
      <c r="C350" s="82"/>
      <c r="D350" s="59" t="s">
        <v>173</v>
      </c>
      <c r="E350" s="78"/>
      <c r="F350" s="82"/>
      <c r="BJ350" s="57"/>
    </row>
    <row r="351" customFormat="false" ht="15" hidden="false" customHeight="false" outlineLevel="0" collapsed="false">
      <c r="A351" s="59" t="s">
        <v>176</v>
      </c>
      <c r="B351" s="78"/>
      <c r="C351" s="82"/>
      <c r="D351" s="59" t="s">
        <v>176</v>
      </c>
      <c r="E351" s="78"/>
      <c r="F351" s="82"/>
      <c r="BJ351" s="57"/>
    </row>
    <row r="352" customFormat="false" ht="15" hidden="false" customHeight="false" outlineLevel="0" collapsed="false">
      <c r="A352" s="59" t="s">
        <v>178</v>
      </c>
      <c r="B352" s="78"/>
      <c r="C352" s="82"/>
      <c r="D352" s="59" t="s">
        <v>178</v>
      </c>
      <c r="E352" s="78"/>
      <c r="F352" s="82"/>
      <c r="BJ352" s="57"/>
    </row>
    <row r="353" customFormat="false" ht="15" hidden="false" customHeight="false" outlineLevel="0" collapsed="false">
      <c r="A353" s="59" t="s">
        <v>179</v>
      </c>
      <c r="B353" s="78"/>
      <c r="C353" s="82"/>
      <c r="D353" s="59" t="s">
        <v>179</v>
      </c>
      <c r="E353" s="78"/>
      <c r="F353" s="82"/>
      <c r="BJ353" s="57"/>
    </row>
    <row r="354" customFormat="false" ht="15" hidden="false" customHeight="false" outlineLevel="0" collapsed="false">
      <c r="A354" s="77" t="s">
        <v>186</v>
      </c>
      <c r="B354" s="78"/>
      <c r="C354" s="82"/>
      <c r="D354" s="77" t="s">
        <v>186</v>
      </c>
      <c r="E354" s="78"/>
      <c r="F354" s="82"/>
      <c r="BJ354" s="57"/>
    </row>
    <row r="355" customFormat="false" ht="15" hidden="false" customHeight="false" outlineLevel="0" collapsed="false">
      <c r="A355" s="59" t="s">
        <v>173</v>
      </c>
      <c r="B355" s="78"/>
      <c r="C355" s="82"/>
      <c r="D355" s="59" t="s">
        <v>173</v>
      </c>
      <c r="E355" s="78"/>
      <c r="F355" s="82"/>
      <c r="BJ355" s="57"/>
    </row>
    <row r="356" customFormat="false" ht="15" hidden="false" customHeight="false" outlineLevel="0" collapsed="false">
      <c r="A356" s="59" t="s">
        <v>176</v>
      </c>
      <c r="B356" s="78"/>
      <c r="C356" s="82"/>
      <c r="D356" s="59" t="s">
        <v>176</v>
      </c>
      <c r="E356" s="78"/>
      <c r="F356" s="82"/>
      <c r="BJ356" s="57"/>
    </row>
    <row r="357" customFormat="false" ht="15" hidden="false" customHeight="false" outlineLevel="0" collapsed="false">
      <c r="A357" s="59" t="s">
        <v>178</v>
      </c>
      <c r="B357" s="78"/>
      <c r="C357" s="82"/>
      <c r="D357" s="59" t="s">
        <v>178</v>
      </c>
      <c r="E357" s="78"/>
      <c r="F357" s="82"/>
      <c r="BJ357" s="57"/>
    </row>
    <row r="358" customFormat="false" ht="15" hidden="false" customHeight="false" outlineLevel="0" collapsed="false">
      <c r="A358" s="59" t="s">
        <v>179</v>
      </c>
      <c r="B358" s="78"/>
      <c r="C358" s="82"/>
      <c r="D358" s="59" t="s">
        <v>179</v>
      </c>
      <c r="E358" s="78"/>
      <c r="F358" s="82"/>
      <c r="BJ358" s="57"/>
    </row>
    <row r="359" customFormat="false" ht="15" hidden="false" customHeight="false" outlineLevel="0" collapsed="false">
      <c r="B359" s="57"/>
      <c r="C359" s="82"/>
      <c r="E359" s="57"/>
      <c r="F359" s="82"/>
      <c r="BJ359" s="57"/>
    </row>
    <row r="360" customFormat="false" ht="15" hidden="false" customHeight="false" outlineLevel="0" collapsed="false">
      <c r="A360" s="69" t="s">
        <v>131</v>
      </c>
      <c r="B360" s="73" t="s">
        <v>43</v>
      </c>
      <c r="C360" s="82"/>
      <c r="D360" s="84" t="s">
        <v>141</v>
      </c>
      <c r="E360" s="73"/>
      <c r="F360" s="82"/>
      <c r="BJ360" s="57"/>
    </row>
    <row r="361" customFormat="false" ht="15" hidden="false" customHeight="false" outlineLevel="0" collapsed="false">
      <c r="A361" s="74" t="s">
        <v>167</v>
      </c>
      <c r="B361" s="75"/>
      <c r="C361" s="76"/>
      <c r="D361" s="74" t="s">
        <v>167</v>
      </c>
      <c r="E361" s="75"/>
      <c r="F361" s="76"/>
      <c r="BJ361" s="57"/>
    </row>
    <row r="362" customFormat="false" ht="15" hidden="false" customHeight="false" outlineLevel="0" collapsed="false">
      <c r="A362" s="83" t="s">
        <v>170</v>
      </c>
      <c r="B362" s="78" t="s">
        <v>72</v>
      </c>
      <c r="C362" s="79" t="b">
        <f aca="false">FALSE()</f>
        <v>0</v>
      </c>
      <c r="D362" s="77" t="s">
        <v>170</v>
      </c>
      <c r="E362" s="78"/>
      <c r="F362" s="79" t="b">
        <f aca="false">FALSE()</f>
        <v>0</v>
      </c>
      <c r="BJ362" s="57"/>
    </row>
    <row r="363" customFormat="false" ht="15" hidden="false" customHeight="false" outlineLevel="0" collapsed="false">
      <c r="A363" s="59" t="s">
        <v>173</v>
      </c>
      <c r="B363" s="78"/>
      <c r="C363" s="80" t="s">
        <v>174</v>
      </c>
      <c r="D363" s="59" t="s">
        <v>173</v>
      </c>
      <c r="E363" s="78"/>
      <c r="F363" s="80" t="s">
        <v>174</v>
      </c>
      <c r="BJ363" s="57"/>
    </row>
    <row r="364" customFormat="false" ht="15" hidden="false" customHeight="false" outlineLevel="0" collapsed="false">
      <c r="A364" s="59" t="s">
        <v>176</v>
      </c>
      <c r="B364" s="78"/>
      <c r="C364" s="81" t="n">
        <v>10</v>
      </c>
      <c r="D364" s="59" t="s">
        <v>176</v>
      </c>
      <c r="E364" s="78"/>
      <c r="F364" s="81" t="n">
        <v>10</v>
      </c>
      <c r="BJ364" s="57"/>
    </row>
    <row r="365" customFormat="false" ht="15" hidden="false" customHeight="false" outlineLevel="0" collapsed="false">
      <c r="A365" s="59" t="s">
        <v>178</v>
      </c>
      <c r="B365" s="78"/>
      <c r="C365" s="82"/>
      <c r="D365" s="59" t="s">
        <v>178</v>
      </c>
      <c r="E365" s="78"/>
      <c r="F365" s="82"/>
      <c r="BJ365" s="57"/>
    </row>
    <row r="366" customFormat="false" ht="15" hidden="false" customHeight="false" outlineLevel="0" collapsed="false">
      <c r="A366" s="59" t="s">
        <v>179</v>
      </c>
      <c r="B366" s="78"/>
      <c r="C366" s="82"/>
      <c r="D366" s="59" t="s">
        <v>179</v>
      </c>
      <c r="E366" s="78"/>
      <c r="F366" s="82"/>
      <c r="BJ366" s="57"/>
    </row>
    <row r="367" customFormat="false" ht="15" hidden="false" customHeight="false" outlineLevel="0" collapsed="false">
      <c r="A367" s="83" t="s">
        <v>180</v>
      </c>
      <c r="B367" s="78" t="s">
        <v>98</v>
      </c>
      <c r="C367" s="79" t="b">
        <f aca="false">FALSE()</f>
        <v>0</v>
      </c>
      <c r="D367" s="77" t="s">
        <v>180</v>
      </c>
      <c r="E367" s="78"/>
      <c r="F367" s="79" t="b">
        <f aca="false">FALSE()</f>
        <v>0</v>
      </c>
      <c r="BJ367" s="57"/>
    </row>
    <row r="368" customFormat="false" ht="15" hidden="false" customHeight="false" outlineLevel="0" collapsed="false">
      <c r="A368" s="59" t="s">
        <v>173</v>
      </c>
      <c r="B368" s="78"/>
      <c r="C368" s="80" t="s">
        <v>174</v>
      </c>
      <c r="D368" s="59" t="s">
        <v>173</v>
      </c>
      <c r="E368" s="78"/>
      <c r="F368" s="80" t="s">
        <v>174</v>
      </c>
      <c r="BJ368" s="57"/>
    </row>
    <row r="369" customFormat="false" ht="15" hidden="false" customHeight="false" outlineLevel="0" collapsed="false">
      <c r="A369" s="59" t="s">
        <v>176</v>
      </c>
      <c r="B369" s="78"/>
      <c r="C369" s="81" t="n">
        <v>10</v>
      </c>
      <c r="D369" s="59" t="s">
        <v>176</v>
      </c>
      <c r="E369" s="78"/>
      <c r="F369" s="81" t="n">
        <v>10</v>
      </c>
      <c r="BJ369" s="57"/>
    </row>
    <row r="370" customFormat="false" ht="15" hidden="false" customHeight="false" outlineLevel="0" collapsed="false">
      <c r="A370" s="59" t="s">
        <v>178</v>
      </c>
      <c r="B370" s="78"/>
      <c r="C370" s="82"/>
      <c r="D370" s="59" t="s">
        <v>178</v>
      </c>
      <c r="E370" s="78"/>
      <c r="F370" s="82"/>
      <c r="BJ370" s="57"/>
    </row>
    <row r="371" customFormat="false" ht="15" hidden="false" customHeight="false" outlineLevel="0" collapsed="false">
      <c r="A371" s="59" t="s">
        <v>179</v>
      </c>
      <c r="B371" s="78"/>
      <c r="C371" s="82"/>
      <c r="D371" s="59" t="s">
        <v>179</v>
      </c>
      <c r="E371" s="78"/>
      <c r="F371" s="82"/>
      <c r="BJ371" s="57"/>
    </row>
    <row r="372" customFormat="false" ht="15" hidden="false" customHeight="false" outlineLevel="0" collapsed="false">
      <c r="A372" s="83" t="s">
        <v>181</v>
      </c>
      <c r="B372" s="78" t="s">
        <v>118</v>
      </c>
      <c r="C372" s="79" t="b">
        <f aca="false">FALSE()</f>
        <v>0</v>
      </c>
      <c r="D372" s="77" t="s">
        <v>181</v>
      </c>
      <c r="E372" s="78"/>
      <c r="F372" s="79" t="b">
        <f aca="false">FALSE()</f>
        <v>0</v>
      </c>
      <c r="BJ372" s="57"/>
    </row>
    <row r="373" customFormat="false" ht="15" hidden="false" customHeight="false" outlineLevel="0" collapsed="false">
      <c r="A373" s="59" t="s">
        <v>173</v>
      </c>
      <c r="B373" s="78"/>
      <c r="C373" s="80" t="s">
        <v>174</v>
      </c>
      <c r="D373" s="59" t="s">
        <v>173</v>
      </c>
      <c r="E373" s="78"/>
      <c r="F373" s="80" t="s">
        <v>174</v>
      </c>
      <c r="BJ373" s="57"/>
    </row>
    <row r="374" customFormat="false" ht="15" hidden="false" customHeight="false" outlineLevel="0" collapsed="false">
      <c r="A374" s="59" t="s">
        <v>176</v>
      </c>
      <c r="B374" s="78"/>
      <c r="C374" s="81" t="n">
        <v>10</v>
      </c>
      <c r="D374" s="59" t="s">
        <v>176</v>
      </c>
      <c r="E374" s="78"/>
      <c r="F374" s="81" t="n">
        <v>10</v>
      </c>
      <c r="BJ374" s="57"/>
    </row>
    <row r="375" customFormat="false" ht="15" hidden="false" customHeight="false" outlineLevel="0" collapsed="false">
      <c r="A375" s="59" t="s">
        <v>178</v>
      </c>
      <c r="B375" s="78"/>
      <c r="C375" s="82"/>
      <c r="D375" s="59" t="s">
        <v>178</v>
      </c>
      <c r="E375" s="78"/>
      <c r="F375" s="82"/>
      <c r="BJ375" s="57"/>
    </row>
    <row r="376" customFormat="false" ht="15" hidden="false" customHeight="false" outlineLevel="0" collapsed="false">
      <c r="A376" s="59" t="s">
        <v>179</v>
      </c>
      <c r="B376" s="78"/>
      <c r="C376" s="82"/>
      <c r="D376" s="59" t="s">
        <v>179</v>
      </c>
      <c r="E376" s="78"/>
      <c r="F376" s="82"/>
      <c r="BJ376" s="57"/>
    </row>
    <row r="377" customFormat="false" ht="15" hidden="false" customHeight="false" outlineLevel="0" collapsed="false">
      <c r="A377" s="83" t="s">
        <v>182</v>
      </c>
      <c r="B377" s="78" t="s">
        <v>109</v>
      </c>
      <c r="C377" s="79" t="b">
        <f aca="false">FALSE()</f>
        <v>0</v>
      </c>
      <c r="D377" s="77" t="s">
        <v>182</v>
      </c>
      <c r="E377" s="78"/>
      <c r="F377" s="79" t="b">
        <f aca="false">FALSE()</f>
        <v>0</v>
      </c>
      <c r="BJ377" s="57"/>
    </row>
    <row r="378" customFormat="false" ht="15" hidden="false" customHeight="false" outlineLevel="0" collapsed="false">
      <c r="A378" s="59" t="s">
        <v>173</v>
      </c>
      <c r="B378" s="78"/>
      <c r="C378" s="80" t="s">
        <v>174</v>
      </c>
      <c r="D378" s="59" t="s">
        <v>173</v>
      </c>
      <c r="E378" s="78"/>
      <c r="F378" s="80" t="s">
        <v>174</v>
      </c>
      <c r="BJ378" s="57"/>
    </row>
    <row r="379" customFormat="false" ht="15" hidden="false" customHeight="false" outlineLevel="0" collapsed="false">
      <c r="A379" s="59" t="s">
        <v>176</v>
      </c>
      <c r="B379" s="78"/>
      <c r="C379" s="81" t="n">
        <v>10</v>
      </c>
      <c r="D379" s="59" t="s">
        <v>176</v>
      </c>
      <c r="E379" s="78"/>
      <c r="F379" s="81" t="n">
        <v>10</v>
      </c>
      <c r="BJ379" s="57"/>
    </row>
    <row r="380" customFormat="false" ht="15" hidden="false" customHeight="false" outlineLevel="0" collapsed="false">
      <c r="A380" s="59" t="s">
        <v>178</v>
      </c>
      <c r="B380" s="78"/>
      <c r="C380" s="82"/>
      <c r="D380" s="59" t="s">
        <v>178</v>
      </c>
      <c r="E380" s="78"/>
      <c r="F380" s="82"/>
      <c r="BJ380" s="57"/>
    </row>
    <row r="381" customFormat="false" ht="15" hidden="false" customHeight="false" outlineLevel="0" collapsed="false">
      <c r="A381" s="59" t="s">
        <v>179</v>
      </c>
      <c r="B381" s="78"/>
      <c r="C381" s="82"/>
      <c r="D381" s="59" t="s">
        <v>179</v>
      </c>
      <c r="E381" s="78"/>
      <c r="F381" s="82"/>
      <c r="BJ381" s="57"/>
    </row>
    <row r="382" customFormat="false" ht="15" hidden="false" customHeight="false" outlineLevel="0" collapsed="false">
      <c r="A382" s="83" t="s">
        <v>183</v>
      </c>
      <c r="B382" s="78" t="s">
        <v>42</v>
      </c>
      <c r="C382" s="79" t="b">
        <f aca="false">FALSE()</f>
        <v>0</v>
      </c>
      <c r="D382" s="77" t="s">
        <v>183</v>
      </c>
      <c r="E382" s="78"/>
      <c r="F382" s="79" t="b">
        <f aca="false">FALSE()</f>
        <v>0</v>
      </c>
      <c r="BJ382" s="57"/>
    </row>
    <row r="383" customFormat="false" ht="15" hidden="false" customHeight="false" outlineLevel="0" collapsed="false">
      <c r="A383" s="59" t="s">
        <v>173</v>
      </c>
      <c r="B383" s="78"/>
      <c r="C383" s="80" t="s">
        <v>174</v>
      </c>
      <c r="D383" s="59" t="s">
        <v>173</v>
      </c>
      <c r="E383" s="78"/>
      <c r="F383" s="80" t="s">
        <v>174</v>
      </c>
      <c r="BJ383" s="57"/>
    </row>
    <row r="384" customFormat="false" ht="15" hidden="false" customHeight="false" outlineLevel="0" collapsed="false">
      <c r="A384" s="59" t="s">
        <v>176</v>
      </c>
      <c r="B384" s="78"/>
      <c r="C384" s="81" t="n">
        <v>10</v>
      </c>
      <c r="D384" s="59" t="s">
        <v>176</v>
      </c>
      <c r="E384" s="78"/>
      <c r="F384" s="81" t="n">
        <v>10</v>
      </c>
      <c r="BJ384" s="57"/>
    </row>
    <row r="385" customFormat="false" ht="15" hidden="false" customHeight="false" outlineLevel="0" collapsed="false">
      <c r="A385" s="59" t="s">
        <v>178</v>
      </c>
      <c r="B385" s="78"/>
      <c r="C385" s="82"/>
      <c r="D385" s="59" t="s">
        <v>178</v>
      </c>
      <c r="E385" s="78"/>
      <c r="F385" s="82"/>
      <c r="BJ385" s="57"/>
    </row>
    <row r="386" customFormat="false" ht="15" hidden="false" customHeight="false" outlineLevel="0" collapsed="false">
      <c r="A386" s="59" t="s">
        <v>179</v>
      </c>
      <c r="B386" s="78"/>
      <c r="C386" s="82"/>
      <c r="D386" s="59" t="s">
        <v>179</v>
      </c>
      <c r="E386" s="78"/>
      <c r="F386" s="82"/>
      <c r="BJ386" s="57"/>
    </row>
    <row r="387" customFormat="false" ht="15" hidden="false" customHeight="false" outlineLevel="0" collapsed="false">
      <c r="A387" s="77" t="s">
        <v>184</v>
      </c>
      <c r="B387" s="78"/>
      <c r="C387" s="82"/>
      <c r="D387" s="77" t="s">
        <v>184</v>
      </c>
      <c r="E387" s="78"/>
      <c r="F387" s="82"/>
      <c r="BJ387" s="57"/>
    </row>
    <row r="388" customFormat="false" ht="15" hidden="false" customHeight="false" outlineLevel="0" collapsed="false">
      <c r="A388" s="59" t="s">
        <v>173</v>
      </c>
      <c r="B388" s="78"/>
      <c r="C388" s="82"/>
      <c r="D388" s="59" t="s">
        <v>173</v>
      </c>
      <c r="E388" s="78"/>
      <c r="F388" s="82"/>
      <c r="BJ388" s="57"/>
    </row>
    <row r="389" customFormat="false" ht="15" hidden="false" customHeight="false" outlineLevel="0" collapsed="false">
      <c r="A389" s="59" t="s">
        <v>176</v>
      </c>
      <c r="B389" s="78"/>
      <c r="C389" s="82"/>
      <c r="D389" s="59" t="s">
        <v>176</v>
      </c>
      <c r="E389" s="78"/>
      <c r="F389" s="82"/>
      <c r="BJ389" s="57"/>
    </row>
    <row r="390" customFormat="false" ht="15" hidden="false" customHeight="false" outlineLevel="0" collapsed="false">
      <c r="A390" s="59" t="s">
        <v>178</v>
      </c>
      <c r="B390" s="78"/>
      <c r="C390" s="82"/>
      <c r="D390" s="59" t="s">
        <v>178</v>
      </c>
      <c r="E390" s="78"/>
      <c r="F390" s="82"/>
      <c r="BJ390" s="57"/>
    </row>
    <row r="391" customFormat="false" ht="15" hidden="false" customHeight="false" outlineLevel="0" collapsed="false">
      <c r="A391" s="59" t="s">
        <v>179</v>
      </c>
      <c r="B391" s="78"/>
      <c r="C391" s="82"/>
      <c r="D391" s="59" t="s">
        <v>179</v>
      </c>
      <c r="E391" s="78"/>
      <c r="F391" s="82"/>
      <c r="BJ391" s="57"/>
    </row>
    <row r="392" customFormat="false" ht="15" hidden="false" customHeight="false" outlineLevel="0" collapsed="false">
      <c r="A392" s="77" t="s">
        <v>185</v>
      </c>
      <c r="B392" s="78"/>
      <c r="C392" s="82"/>
      <c r="D392" s="77" t="s">
        <v>185</v>
      </c>
      <c r="E392" s="78"/>
      <c r="F392" s="82"/>
      <c r="BJ392" s="57"/>
    </row>
    <row r="393" customFormat="false" ht="15" hidden="false" customHeight="false" outlineLevel="0" collapsed="false">
      <c r="A393" s="59" t="s">
        <v>173</v>
      </c>
      <c r="B393" s="78"/>
      <c r="C393" s="82"/>
      <c r="D393" s="59" t="s">
        <v>173</v>
      </c>
      <c r="E393" s="78"/>
      <c r="F393" s="82"/>
      <c r="BJ393" s="57"/>
    </row>
    <row r="394" customFormat="false" ht="15" hidden="false" customHeight="false" outlineLevel="0" collapsed="false">
      <c r="A394" s="59" t="s">
        <v>176</v>
      </c>
      <c r="B394" s="78"/>
      <c r="C394" s="82"/>
      <c r="D394" s="59" t="s">
        <v>176</v>
      </c>
      <c r="E394" s="78"/>
      <c r="F394" s="82"/>
      <c r="BJ394" s="57"/>
    </row>
    <row r="395" customFormat="false" ht="15" hidden="false" customHeight="false" outlineLevel="0" collapsed="false">
      <c r="A395" s="59" t="s">
        <v>178</v>
      </c>
      <c r="B395" s="78"/>
      <c r="C395" s="82"/>
      <c r="D395" s="59" t="s">
        <v>178</v>
      </c>
      <c r="E395" s="78"/>
      <c r="F395" s="82"/>
      <c r="BJ395" s="57"/>
    </row>
    <row r="396" customFormat="false" ht="15" hidden="false" customHeight="false" outlineLevel="0" collapsed="false">
      <c r="A396" s="59" t="s">
        <v>179</v>
      </c>
      <c r="B396" s="78"/>
      <c r="C396" s="82"/>
      <c r="D396" s="59" t="s">
        <v>179</v>
      </c>
      <c r="E396" s="78"/>
      <c r="F396" s="82"/>
      <c r="BJ396" s="57"/>
    </row>
    <row r="397" customFormat="false" ht="15" hidden="false" customHeight="false" outlineLevel="0" collapsed="false">
      <c r="A397" s="77" t="s">
        <v>186</v>
      </c>
      <c r="B397" s="78"/>
      <c r="C397" s="82"/>
      <c r="D397" s="77" t="s">
        <v>186</v>
      </c>
      <c r="E397" s="78"/>
      <c r="F397" s="82"/>
      <c r="BJ397" s="57"/>
    </row>
    <row r="398" customFormat="false" ht="15" hidden="false" customHeight="false" outlineLevel="0" collapsed="false">
      <c r="A398" s="59" t="s">
        <v>173</v>
      </c>
      <c r="B398" s="78"/>
      <c r="C398" s="82"/>
      <c r="D398" s="59" t="s">
        <v>173</v>
      </c>
      <c r="E398" s="78"/>
      <c r="F398" s="82"/>
      <c r="BJ398" s="57"/>
    </row>
    <row r="399" customFormat="false" ht="15" hidden="false" customHeight="false" outlineLevel="0" collapsed="false">
      <c r="A399" s="59" t="s">
        <v>176</v>
      </c>
      <c r="B399" s="78"/>
      <c r="C399" s="82"/>
      <c r="D399" s="59" t="s">
        <v>176</v>
      </c>
      <c r="E399" s="78"/>
      <c r="F399" s="82"/>
      <c r="BJ399" s="57"/>
    </row>
    <row r="400" customFormat="false" ht="15" hidden="false" customHeight="false" outlineLevel="0" collapsed="false">
      <c r="A400" s="59" t="s">
        <v>178</v>
      </c>
      <c r="B400" s="78"/>
      <c r="C400" s="82"/>
      <c r="D400" s="59" t="s">
        <v>178</v>
      </c>
      <c r="E400" s="78"/>
      <c r="F400" s="82"/>
      <c r="BJ400" s="57"/>
    </row>
    <row r="401" customFormat="false" ht="15" hidden="false" customHeight="false" outlineLevel="0" collapsed="false">
      <c r="A401" s="59" t="s">
        <v>179</v>
      </c>
      <c r="B401" s="78"/>
      <c r="C401" s="82"/>
      <c r="D401" s="59" t="s">
        <v>179</v>
      </c>
      <c r="E401" s="78"/>
      <c r="F401" s="82"/>
      <c r="BJ401" s="57"/>
    </row>
    <row r="402" customFormat="false" ht="15" hidden="false" customHeight="false" outlineLevel="0" collapsed="false">
      <c r="B402" s="57"/>
      <c r="C402" s="82"/>
      <c r="E402" s="57"/>
      <c r="F402" s="82"/>
      <c r="BJ402" s="57"/>
    </row>
    <row r="403" customFormat="false" ht="15" hidden="false" customHeight="false" outlineLevel="0" collapsed="false">
      <c r="A403" s="69" t="s">
        <v>132</v>
      </c>
      <c r="B403" s="73" t="s">
        <v>37</v>
      </c>
      <c r="C403" s="82"/>
      <c r="D403" s="84" t="s">
        <v>142</v>
      </c>
      <c r="E403" s="73"/>
      <c r="F403" s="82"/>
      <c r="BJ403" s="57"/>
    </row>
    <row r="404" customFormat="false" ht="15" hidden="false" customHeight="false" outlineLevel="0" collapsed="false">
      <c r="A404" s="74" t="s">
        <v>167</v>
      </c>
      <c r="B404" s="75"/>
      <c r="C404" s="76"/>
      <c r="D404" s="74" t="s">
        <v>167</v>
      </c>
      <c r="E404" s="75"/>
      <c r="F404" s="76"/>
      <c r="BJ404" s="57"/>
    </row>
    <row r="405" customFormat="false" ht="15" hidden="false" customHeight="false" outlineLevel="0" collapsed="false">
      <c r="A405" s="83" t="s">
        <v>170</v>
      </c>
      <c r="B405" s="78" t="s">
        <v>45</v>
      </c>
      <c r="C405" s="79" t="b">
        <f aca="false">FALSE()</f>
        <v>0</v>
      </c>
      <c r="D405" s="77" t="s">
        <v>170</v>
      </c>
      <c r="E405" s="78"/>
      <c r="F405" s="79" t="b">
        <f aca="false">FALSE()</f>
        <v>0</v>
      </c>
      <c r="BJ405" s="57"/>
    </row>
    <row r="406" customFormat="false" ht="15" hidden="false" customHeight="false" outlineLevel="0" collapsed="false">
      <c r="A406" s="59" t="s">
        <v>173</v>
      </c>
      <c r="B406" s="78"/>
      <c r="C406" s="80" t="s">
        <v>174</v>
      </c>
      <c r="D406" s="59" t="s">
        <v>173</v>
      </c>
      <c r="E406" s="78"/>
      <c r="F406" s="80" t="s">
        <v>174</v>
      </c>
      <c r="BJ406" s="57"/>
    </row>
    <row r="407" customFormat="false" ht="15" hidden="false" customHeight="false" outlineLevel="0" collapsed="false">
      <c r="A407" s="59" t="s">
        <v>176</v>
      </c>
      <c r="B407" s="78"/>
      <c r="C407" s="81" t="n">
        <v>10</v>
      </c>
      <c r="D407" s="59" t="s">
        <v>176</v>
      </c>
      <c r="E407" s="78"/>
      <c r="F407" s="81" t="n">
        <v>10</v>
      </c>
      <c r="BJ407" s="57"/>
    </row>
    <row r="408" customFormat="false" ht="15" hidden="false" customHeight="false" outlineLevel="0" collapsed="false">
      <c r="A408" s="59" t="s">
        <v>178</v>
      </c>
      <c r="B408" s="78"/>
      <c r="C408" s="82"/>
      <c r="D408" s="59" t="s">
        <v>178</v>
      </c>
      <c r="E408" s="78"/>
      <c r="F408" s="82"/>
      <c r="BJ408" s="57"/>
    </row>
    <row r="409" customFormat="false" ht="15" hidden="false" customHeight="false" outlineLevel="0" collapsed="false">
      <c r="A409" s="59" t="s">
        <v>179</v>
      </c>
      <c r="B409" s="78"/>
      <c r="C409" s="82"/>
      <c r="D409" s="59" t="s">
        <v>179</v>
      </c>
      <c r="E409" s="78"/>
      <c r="F409" s="82"/>
      <c r="BJ409" s="57"/>
    </row>
    <row r="410" customFormat="false" ht="15" hidden="false" customHeight="false" outlineLevel="0" collapsed="false">
      <c r="A410" s="83" t="s">
        <v>180</v>
      </c>
      <c r="B410" s="78" t="s">
        <v>36</v>
      </c>
      <c r="C410" s="79" t="b">
        <f aca="false">FALSE()</f>
        <v>0</v>
      </c>
      <c r="D410" s="77" t="s">
        <v>180</v>
      </c>
      <c r="E410" s="78"/>
      <c r="F410" s="79" t="b">
        <f aca="false">FALSE()</f>
        <v>0</v>
      </c>
      <c r="BJ410" s="57"/>
    </row>
    <row r="411" customFormat="false" ht="15" hidden="false" customHeight="false" outlineLevel="0" collapsed="false">
      <c r="A411" s="59" t="s">
        <v>173</v>
      </c>
      <c r="B411" s="78"/>
      <c r="C411" s="80" t="s">
        <v>174</v>
      </c>
      <c r="D411" s="59" t="s">
        <v>173</v>
      </c>
      <c r="E411" s="78"/>
      <c r="F411" s="80" t="s">
        <v>174</v>
      </c>
      <c r="BJ411" s="57"/>
    </row>
    <row r="412" customFormat="false" ht="15" hidden="false" customHeight="false" outlineLevel="0" collapsed="false">
      <c r="A412" s="59" t="s">
        <v>176</v>
      </c>
      <c r="B412" s="78"/>
      <c r="C412" s="81" t="n">
        <v>10</v>
      </c>
      <c r="D412" s="59" t="s">
        <v>176</v>
      </c>
      <c r="E412" s="78"/>
      <c r="F412" s="81" t="n">
        <v>10</v>
      </c>
      <c r="BJ412" s="57"/>
    </row>
    <row r="413" customFormat="false" ht="15" hidden="false" customHeight="false" outlineLevel="0" collapsed="false">
      <c r="A413" s="59" t="s">
        <v>178</v>
      </c>
      <c r="B413" s="78"/>
      <c r="C413" s="82"/>
      <c r="D413" s="59" t="s">
        <v>178</v>
      </c>
      <c r="E413" s="78"/>
      <c r="F413" s="82"/>
      <c r="BJ413" s="57"/>
    </row>
    <row r="414" customFormat="false" ht="15" hidden="false" customHeight="false" outlineLevel="0" collapsed="false">
      <c r="A414" s="59" t="s">
        <v>179</v>
      </c>
      <c r="B414" s="78"/>
      <c r="C414" s="82"/>
      <c r="D414" s="59" t="s">
        <v>179</v>
      </c>
      <c r="E414" s="78"/>
      <c r="F414" s="82"/>
      <c r="BJ414" s="57"/>
    </row>
    <row r="415" customFormat="false" ht="15" hidden="false" customHeight="false" outlineLevel="0" collapsed="false">
      <c r="A415" s="83" t="s">
        <v>181</v>
      </c>
      <c r="B415" s="78" t="s">
        <v>93</v>
      </c>
      <c r="C415" s="79" t="b">
        <f aca="false">FALSE()</f>
        <v>0</v>
      </c>
      <c r="D415" s="77" t="s">
        <v>181</v>
      </c>
      <c r="E415" s="78"/>
      <c r="F415" s="79" t="b">
        <f aca="false">FALSE()</f>
        <v>0</v>
      </c>
      <c r="BJ415" s="57"/>
    </row>
    <row r="416" customFormat="false" ht="15" hidden="false" customHeight="false" outlineLevel="0" collapsed="false">
      <c r="A416" s="59" t="s">
        <v>173</v>
      </c>
      <c r="B416" s="78"/>
      <c r="C416" s="80" t="s">
        <v>174</v>
      </c>
      <c r="D416" s="59" t="s">
        <v>173</v>
      </c>
      <c r="E416" s="78"/>
      <c r="F416" s="80" t="s">
        <v>174</v>
      </c>
      <c r="BJ416" s="57"/>
    </row>
    <row r="417" customFormat="false" ht="15" hidden="false" customHeight="false" outlineLevel="0" collapsed="false">
      <c r="A417" s="59" t="s">
        <v>176</v>
      </c>
      <c r="B417" s="78"/>
      <c r="C417" s="81" t="n">
        <v>10</v>
      </c>
      <c r="D417" s="59" t="s">
        <v>176</v>
      </c>
      <c r="E417" s="78"/>
      <c r="F417" s="81" t="n">
        <v>10</v>
      </c>
      <c r="BJ417" s="57"/>
    </row>
    <row r="418" customFormat="false" ht="15" hidden="false" customHeight="false" outlineLevel="0" collapsed="false">
      <c r="A418" s="59" t="s">
        <v>178</v>
      </c>
      <c r="B418" s="78"/>
      <c r="C418" s="82"/>
      <c r="D418" s="59" t="s">
        <v>178</v>
      </c>
      <c r="E418" s="78"/>
      <c r="F418" s="82"/>
      <c r="BJ418" s="57"/>
    </row>
    <row r="419" customFormat="false" ht="15" hidden="false" customHeight="false" outlineLevel="0" collapsed="false">
      <c r="A419" s="59" t="s">
        <v>179</v>
      </c>
      <c r="B419" s="78"/>
      <c r="C419" s="82"/>
      <c r="D419" s="59" t="s">
        <v>179</v>
      </c>
      <c r="E419" s="78"/>
      <c r="F419" s="82"/>
      <c r="BJ419" s="57"/>
    </row>
    <row r="420" customFormat="false" ht="15" hidden="false" customHeight="false" outlineLevel="0" collapsed="false">
      <c r="A420" s="83" t="s">
        <v>182</v>
      </c>
      <c r="B420" s="78" t="s">
        <v>78</v>
      </c>
      <c r="C420" s="79" t="b">
        <f aca="false">FALSE()</f>
        <v>0</v>
      </c>
      <c r="D420" s="77" t="s">
        <v>182</v>
      </c>
      <c r="E420" s="78"/>
      <c r="F420" s="79" t="b">
        <f aca="false">FALSE()</f>
        <v>0</v>
      </c>
      <c r="BJ420" s="57"/>
    </row>
    <row r="421" customFormat="false" ht="15" hidden="false" customHeight="false" outlineLevel="0" collapsed="false">
      <c r="A421" s="59" t="s">
        <v>173</v>
      </c>
      <c r="B421" s="78"/>
      <c r="C421" s="80" t="s">
        <v>174</v>
      </c>
      <c r="D421" s="59" t="s">
        <v>173</v>
      </c>
      <c r="E421" s="78"/>
      <c r="F421" s="80" t="s">
        <v>174</v>
      </c>
      <c r="BJ421" s="57"/>
    </row>
    <row r="422" customFormat="false" ht="15" hidden="false" customHeight="false" outlineLevel="0" collapsed="false">
      <c r="A422" s="59" t="s">
        <v>176</v>
      </c>
      <c r="B422" s="78"/>
      <c r="C422" s="81" t="n">
        <v>10</v>
      </c>
      <c r="D422" s="59" t="s">
        <v>176</v>
      </c>
      <c r="E422" s="78"/>
      <c r="F422" s="81" t="n">
        <v>10</v>
      </c>
      <c r="BJ422" s="57"/>
    </row>
    <row r="423" customFormat="false" ht="15" hidden="false" customHeight="false" outlineLevel="0" collapsed="false">
      <c r="A423" s="59" t="s">
        <v>178</v>
      </c>
      <c r="B423" s="78"/>
      <c r="C423" s="82"/>
      <c r="D423" s="59" t="s">
        <v>178</v>
      </c>
      <c r="E423" s="78"/>
      <c r="F423" s="82"/>
      <c r="BJ423" s="57"/>
    </row>
    <row r="424" customFormat="false" ht="15" hidden="false" customHeight="false" outlineLevel="0" collapsed="false">
      <c r="A424" s="59" t="s">
        <v>179</v>
      </c>
      <c r="B424" s="78"/>
      <c r="C424" s="82"/>
      <c r="D424" s="59" t="s">
        <v>179</v>
      </c>
      <c r="E424" s="78"/>
      <c r="F424" s="82"/>
      <c r="BJ424" s="57"/>
    </row>
    <row r="425" customFormat="false" ht="15" hidden="false" customHeight="false" outlineLevel="0" collapsed="false">
      <c r="A425" s="83" t="s">
        <v>183</v>
      </c>
      <c r="B425" s="78" t="s">
        <v>80</v>
      </c>
      <c r="C425" s="79" t="b">
        <f aca="false">FALSE()</f>
        <v>0</v>
      </c>
      <c r="D425" s="77" t="s">
        <v>183</v>
      </c>
      <c r="E425" s="78"/>
      <c r="F425" s="79" t="b">
        <f aca="false">FALSE()</f>
        <v>0</v>
      </c>
      <c r="BJ425" s="57"/>
    </row>
    <row r="426" customFormat="false" ht="15" hidden="false" customHeight="false" outlineLevel="0" collapsed="false">
      <c r="A426" s="59" t="s">
        <v>173</v>
      </c>
      <c r="B426" s="78"/>
      <c r="C426" s="80" t="s">
        <v>174</v>
      </c>
      <c r="D426" s="59" t="s">
        <v>173</v>
      </c>
      <c r="E426" s="78"/>
      <c r="F426" s="80" t="s">
        <v>174</v>
      </c>
      <c r="BJ426" s="57"/>
    </row>
    <row r="427" customFormat="false" ht="15" hidden="false" customHeight="false" outlineLevel="0" collapsed="false">
      <c r="A427" s="59" t="s">
        <v>176</v>
      </c>
      <c r="B427" s="78"/>
      <c r="C427" s="81" t="n">
        <v>10</v>
      </c>
      <c r="D427" s="59" t="s">
        <v>176</v>
      </c>
      <c r="E427" s="78"/>
      <c r="F427" s="81" t="n">
        <v>10</v>
      </c>
      <c r="BJ427" s="57"/>
    </row>
    <row r="428" customFormat="false" ht="15" hidden="false" customHeight="false" outlineLevel="0" collapsed="false">
      <c r="A428" s="59" t="s">
        <v>178</v>
      </c>
      <c r="B428" s="78"/>
      <c r="C428" s="82"/>
      <c r="D428" s="59" t="s">
        <v>178</v>
      </c>
      <c r="E428" s="78"/>
      <c r="F428" s="82"/>
      <c r="BJ428" s="57"/>
    </row>
    <row r="429" customFormat="false" ht="15" hidden="false" customHeight="false" outlineLevel="0" collapsed="false">
      <c r="A429" s="59" t="s">
        <v>179</v>
      </c>
      <c r="B429" s="78"/>
      <c r="C429" s="82"/>
      <c r="D429" s="59" t="s">
        <v>179</v>
      </c>
      <c r="E429" s="78"/>
      <c r="F429" s="82"/>
      <c r="BJ429" s="57"/>
    </row>
    <row r="430" customFormat="false" ht="15" hidden="false" customHeight="false" outlineLevel="0" collapsed="false">
      <c r="A430" s="77" t="s">
        <v>184</v>
      </c>
      <c r="B430" s="78"/>
      <c r="C430" s="82"/>
      <c r="D430" s="77" t="s">
        <v>184</v>
      </c>
      <c r="E430" s="78"/>
      <c r="F430" s="82"/>
      <c r="BJ430" s="57"/>
    </row>
    <row r="431" customFormat="false" ht="15" hidden="false" customHeight="false" outlineLevel="0" collapsed="false">
      <c r="A431" s="59" t="s">
        <v>173</v>
      </c>
      <c r="B431" s="78"/>
      <c r="C431" s="82"/>
      <c r="D431" s="59" t="s">
        <v>173</v>
      </c>
      <c r="E431" s="78"/>
      <c r="F431" s="82"/>
      <c r="BJ431" s="57"/>
    </row>
    <row r="432" customFormat="false" ht="15" hidden="false" customHeight="false" outlineLevel="0" collapsed="false">
      <c r="A432" s="59" t="s">
        <v>176</v>
      </c>
      <c r="B432" s="78"/>
      <c r="C432" s="82"/>
      <c r="D432" s="59" t="s">
        <v>176</v>
      </c>
      <c r="E432" s="78"/>
      <c r="F432" s="82"/>
      <c r="BJ432" s="57"/>
    </row>
    <row r="433" customFormat="false" ht="15" hidden="false" customHeight="false" outlineLevel="0" collapsed="false">
      <c r="A433" s="59" t="s">
        <v>178</v>
      </c>
      <c r="B433" s="78"/>
      <c r="C433" s="82"/>
      <c r="D433" s="59" t="s">
        <v>178</v>
      </c>
      <c r="E433" s="78"/>
      <c r="F433" s="82"/>
      <c r="BJ433" s="57"/>
    </row>
    <row r="434" customFormat="false" ht="15" hidden="false" customHeight="false" outlineLevel="0" collapsed="false">
      <c r="A434" s="59" t="s">
        <v>179</v>
      </c>
      <c r="B434" s="78"/>
      <c r="C434" s="82"/>
      <c r="D434" s="59" t="s">
        <v>179</v>
      </c>
      <c r="E434" s="78"/>
      <c r="F434" s="82"/>
      <c r="BJ434" s="57"/>
    </row>
    <row r="435" customFormat="false" ht="15" hidden="false" customHeight="false" outlineLevel="0" collapsed="false">
      <c r="A435" s="77" t="s">
        <v>185</v>
      </c>
      <c r="B435" s="78"/>
      <c r="C435" s="82"/>
      <c r="D435" s="77" t="s">
        <v>185</v>
      </c>
      <c r="E435" s="78"/>
      <c r="F435" s="82"/>
      <c r="BJ435" s="57"/>
    </row>
    <row r="436" customFormat="false" ht="15" hidden="false" customHeight="false" outlineLevel="0" collapsed="false">
      <c r="A436" s="59" t="s">
        <v>173</v>
      </c>
      <c r="B436" s="78"/>
      <c r="C436" s="82"/>
      <c r="D436" s="59" t="s">
        <v>173</v>
      </c>
      <c r="E436" s="78"/>
      <c r="F436" s="82"/>
      <c r="BJ436" s="57"/>
    </row>
    <row r="437" customFormat="false" ht="15" hidden="false" customHeight="false" outlineLevel="0" collapsed="false">
      <c r="A437" s="59" t="s">
        <v>176</v>
      </c>
      <c r="B437" s="78"/>
      <c r="C437" s="82"/>
      <c r="D437" s="59" t="s">
        <v>176</v>
      </c>
      <c r="E437" s="78"/>
      <c r="F437" s="82"/>
      <c r="G437" s="85"/>
      <c r="BJ437" s="57"/>
    </row>
    <row r="438" customFormat="false" ht="15" hidden="false" customHeight="false" outlineLevel="0" collapsed="false">
      <c r="A438" s="59" t="s">
        <v>178</v>
      </c>
      <c r="B438" s="78"/>
      <c r="C438" s="82"/>
      <c r="D438" s="59" t="s">
        <v>178</v>
      </c>
      <c r="E438" s="78"/>
      <c r="F438" s="82"/>
      <c r="M438" s="85"/>
      <c r="BJ438" s="57"/>
    </row>
    <row r="439" customFormat="false" ht="15" hidden="false" customHeight="false" outlineLevel="0" collapsed="false">
      <c r="A439" s="59" t="s">
        <v>179</v>
      </c>
      <c r="B439" s="78"/>
      <c r="C439" s="82"/>
      <c r="D439" s="59" t="s">
        <v>179</v>
      </c>
      <c r="E439" s="78"/>
      <c r="F439" s="82"/>
      <c r="BJ439" s="57"/>
    </row>
    <row r="440" customFormat="false" ht="15" hidden="false" customHeight="false" outlineLevel="0" collapsed="false">
      <c r="A440" s="77" t="s">
        <v>186</v>
      </c>
      <c r="B440" s="78"/>
      <c r="C440" s="82"/>
      <c r="D440" s="77" t="s">
        <v>186</v>
      </c>
      <c r="E440" s="78"/>
      <c r="F440" s="82"/>
      <c r="BJ440" s="57"/>
    </row>
    <row r="441" customFormat="false" ht="15" hidden="false" customHeight="false" outlineLevel="0" collapsed="false">
      <c r="A441" s="59" t="s">
        <v>173</v>
      </c>
      <c r="B441" s="78"/>
      <c r="C441" s="82"/>
      <c r="D441" s="59" t="s">
        <v>173</v>
      </c>
      <c r="E441" s="78"/>
      <c r="F441" s="82"/>
      <c r="BJ441" s="57"/>
    </row>
    <row r="442" customFormat="false" ht="15" hidden="false" customHeight="false" outlineLevel="0" collapsed="false">
      <c r="A442" s="59" t="s">
        <v>176</v>
      </c>
      <c r="B442" s="78"/>
      <c r="C442" s="82"/>
      <c r="D442" s="59" t="s">
        <v>176</v>
      </c>
      <c r="E442" s="78"/>
      <c r="F442" s="82"/>
      <c r="BJ442" s="57"/>
    </row>
    <row r="443" customFormat="false" ht="15" hidden="false" customHeight="false" outlineLevel="0" collapsed="false">
      <c r="A443" s="59" t="s">
        <v>178</v>
      </c>
      <c r="B443" s="78"/>
      <c r="C443" s="82"/>
      <c r="D443" s="59" t="s">
        <v>178</v>
      </c>
      <c r="E443" s="78"/>
      <c r="F443" s="82"/>
      <c r="BJ443" s="57"/>
    </row>
    <row r="444" customFormat="false" ht="15" hidden="false" customHeight="false" outlineLevel="0" collapsed="false">
      <c r="A444" s="59" t="s">
        <v>179</v>
      </c>
      <c r="B444" s="78"/>
      <c r="C444" s="82"/>
      <c r="D444" s="59" t="s">
        <v>179</v>
      </c>
      <c r="E444" s="78"/>
      <c r="F444" s="82"/>
      <c r="BJ444" s="57"/>
    </row>
    <row r="445" customFormat="false" ht="22.05" hidden="false" customHeight="false" outlineLevel="0" collapsed="false">
      <c r="G445" s="86" t="str">
        <f aca="false">"Clicks "&amp;$C$3&amp;":"&amp;" "&amp;$C$10&amp;" "&amp;$C$9&amp;" League Score Sheet"</f>
        <v>Clicks Tucson: Get-a-Cue 8-Ball League Score Sheet</v>
      </c>
      <c r="Z445" s="87" t="s">
        <v>189</v>
      </c>
      <c r="BJ445" s="57"/>
    </row>
    <row r="446" customFormat="false" ht="15" hidden="false" customHeight="false" outlineLevel="0" collapsed="false">
      <c r="BJ446" s="57"/>
    </row>
    <row r="447" customFormat="false" ht="24.75" hidden="false" customHeight="true" outlineLevel="0" collapsed="false">
      <c r="G447" s="88" t="n">
        <f aca="true">TODAY()</f>
        <v>46171</v>
      </c>
      <c r="H447" s="88"/>
      <c r="I447" s="89" t="s">
        <v>190</v>
      </c>
      <c r="J447" s="90"/>
      <c r="K447" s="91" t="n">
        <f aca="false">A!$AW$13+1</f>
        <v>7</v>
      </c>
      <c r="L447" s="90" t="s">
        <v>191</v>
      </c>
      <c r="M447" s="90"/>
      <c r="N447" s="92" t="n">
        <f aca="false">$C$4</f>
        <v>335</v>
      </c>
      <c r="S447" s="89" t="s">
        <v>192</v>
      </c>
      <c r="T447" s="90"/>
      <c r="U447" s="90"/>
      <c r="V447" s="90"/>
      <c r="W447" s="89"/>
      <c r="X447" s="90"/>
      <c r="Y447" s="91" t="str">
        <f aca="true">INDEX(INDIRECT("Sched_"&amp;TEXT($C$5,"0")&amp;"_Matches"),1,1)</f>
        <v>2 &amp; 3</v>
      </c>
      <c r="Z447" s="91"/>
      <c r="BJ447" s="57"/>
    </row>
    <row r="448" customFormat="false" ht="24.75" hidden="false" customHeight="true" outlineLevel="0" collapsed="false">
      <c r="BJ448" s="57"/>
    </row>
    <row r="449" customFormat="false" ht="24.75" hidden="false" customHeight="true" outlineLevel="0" collapsed="false">
      <c r="G449" s="93" t="s">
        <v>193</v>
      </c>
      <c r="H449" s="94" t="n">
        <f aca="true">IF($K447&lt;&gt;$C$8,INDEX(INDIRECT(AB687),$K447,1),VLOOKUP(LARGE(A!$BK$5:$BK$24,1),Team_Score,2,FALSE()))</f>
        <v>9</v>
      </c>
      <c r="I449" s="95" t="s">
        <v>194</v>
      </c>
      <c r="J449" s="96" t="str">
        <f aca="true">INDIRECT("Team"&amp;TEXT(H449,"0")&amp;"Name")</f>
        <v>THE DOUGERNAUTS</v>
      </c>
      <c r="K449" s="96"/>
      <c r="L449" s="96"/>
      <c r="M449" s="96"/>
      <c r="N449" s="96"/>
      <c r="O449" s="97" t="s">
        <v>195</v>
      </c>
      <c r="Q449" s="93" t="s">
        <v>196</v>
      </c>
      <c r="R449" s="98"/>
      <c r="S449" s="94" t="n">
        <f aca="true">IF($K447&lt;&gt;$C$8,INDEX(INDIRECT(AB687),$K447,2),VLOOKUP(LARGE(A!$BK$5:$BK$24,2),Team_Score,2,FALSE()))</f>
        <v>1</v>
      </c>
      <c r="T449" s="95" t="s">
        <v>194</v>
      </c>
      <c r="U449" s="96" t="str">
        <f aca="true">INDIRECT("Team"&amp;TEXT(S449,"0")&amp;"Name")</f>
        <v>PIRATES OF THE TABLE</v>
      </c>
      <c r="V449" s="96"/>
      <c r="W449" s="96"/>
      <c r="X449" s="96"/>
      <c r="Y449" s="96"/>
      <c r="Z449" s="97" t="s">
        <v>195</v>
      </c>
      <c r="BJ449" s="57"/>
    </row>
    <row r="450" customFormat="false" ht="24.75" hidden="false" customHeight="true" outlineLevel="0" collapsed="false">
      <c r="G450" s="99" t="s">
        <v>197</v>
      </c>
      <c r="H450" s="100" t="s">
        <v>198</v>
      </c>
      <c r="I450" s="101" t="s">
        <v>199</v>
      </c>
      <c r="J450" s="101" t="s">
        <v>200</v>
      </c>
      <c r="K450" s="101" t="s">
        <v>201</v>
      </c>
      <c r="L450" s="101" t="s">
        <v>202</v>
      </c>
      <c r="M450" s="101" t="s">
        <v>203</v>
      </c>
      <c r="N450" s="101" t="s">
        <v>31</v>
      </c>
      <c r="O450" s="102" t="s">
        <v>204</v>
      </c>
      <c r="Q450" s="99" t="s">
        <v>197</v>
      </c>
      <c r="R450" s="103"/>
      <c r="S450" s="100" t="s">
        <v>198</v>
      </c>
      <c r="T450" s="101" t="s">
        <v>199</v>
      </c>
      <c r="U450" s="101" t="s">
        <v>200</v>
      </c>
      <c r="V450" s="101" t="s">
        <v>201</v>
      </c>
      <c r="W450" s="101" t="s">
        <v>202</v>
      </c>
      <c r="X450" s="101" t="s">
        <v>203</v>
      </c>
      <c r="Y450" s="101" t="s">
        <v>31</v>
      </c>
      <c r="Z450" s="102" t="s">
        <v>204</v>
      </c>
      <c r="BJ450" s="57"/>
    </row>
    <row r="451" customFormat="false" ht="24.75" hidden="false" customHeight="true" outlineLevel="0" collapsed="false">
      <c r="G451" s="104" t="str">
        <f aca="true" t="array" ref="G451:G455">IF(ISBLANK(H449),"Empty",INDIRECT("Team"&amp;TEXT(H449,"0")&amp;"Players"))</f>
        <v>MICHAEL</v>
      </c>
      <c r="H451" s="105"/>
      <c r="I451" s="106" t="s">
        <v>199</v>
      </c>
      <c r="J451" s="107" t="s">
        <v>200</v>
      </c>
      <c r="K451" s="106" t="s">
        <v>201</v>
      </c>
      <c r="L451" s="107" t="s">
        <v>202</v>
      </c>
      <c r="M451" s="108" t="s">
        <v>203</v>
      </c>
      <c r="N451" s="109"/>
      <c r="O451" s="5"/>
      <c r="Q451" s="110" t="n">
        <v>1</v>
      </c>
      <c r="R451" s="111" t="str">
        <f aca="true" t="array" ref="R451:R455">IF(ISBLANK(S449),"Empty",INDIRECT("Team"&amp;TEXT(S449,"0")&amp;"Players"))</f>
        <v>JASON</v>
      </c>
      <c r="S451" s="44"/>
      <c r="T451" s="112"/>
      <c r="U451" s="113"/>
      <c r="V451" s="112"/>
      <c r="W451" s="113"/>
      <c r="X451" s="112"/>
      <c r="Y451" s="109"/>
      <c r="Z451" s="5"/>
      <c r="BJ451" s="57"/>
    </row>
    <row r="452" customFormat="false" ht="24.75" hidden="false" customHeight="true" outlineLevel="0" collapsed="false">
      <c r="G452" s="114" t="str">
        <v>JIM</v>
      </c>
      <c r="H452" s="5"/>
      <c r="I452" s="106" t="s">
        <v>200</v>
      </c>
      <c r="J452" s="107" t="s">
        <v>201</v>
      </c>
      <c r="K452" s="106" t="s">
        <v>202</v>
      </c>
      <c r="L452" s="107" t="s">
        <v>203</v>
      </c>
      <c r="M452" s="108" t="s">
        <v>199</v>
      </c>
      <c r="N452" s="115"/>
      <c r="O452" s="5"/>
      <c r="Q452" s="116" t="n">
        <v>2</v>
      </c>
      <c r="R452" s="117" t="str">
        <v>TRAYE</v>
      </c>
      <c r="S452" s="44"/>
      <c r="T452" s="112"/>
      <c r="U452" s="113"/>
      <c r="V452" s="112"/>
      <c r="W452" s="113"/>
      <c r="X452" s="112"/>
      <c r="Y452" s="115"/>
      <c r="Z452" s="5"/>
      <c r="BJ452" s="57"/>
    </row>
    <row r="453" customFormat="false" ht="24.75" hidden="false" customHeight="true" outlineLevel="0" collapsed="false">
      <c r="G453" s="114" t="str">
        <v>DOUG</v>
      </c>
      <c r="H453" s="5"/>
      <c r="I453" s="106" t="s">
        <v>201</v>
      </c>
      <c r="J453" s="107" t="s">
        <v>202</v>
      </c>
      <c r="K453" s="106" t="s">
        <v>203</v>
      </c>
      <c r="L453" s="107" t="s">
        <v>199</v>
      </c>
      <c r="M453" s="108" t="s">
        <v>200</v>
      </c>
      <c r="N453" s="115"/>
      <c r="O453" s="5"/>
      <c r="Q453" s="116" t="n">
        <v>3</v>
      </c>
      <c r="R453" s="117" t="str">
        <v>WC</v>
      </c>
      <c r="S453" s="44"/>
      <c r="T453" s="112"/>
      <c r="U453" s="113"/>
      <c r="V453" s="112"/>
      <c r="W453" s="113"/>
      <c r="X453" s="112"/>
      <c r="Y453" s="115"/>
      <c r="Z453" s="5"/>
      <c r="BJ453" s="57"/>
    </row>
    <row r="454" customFormat="false" ht="24.75" hidden="false" customHeight="true" outlineLevel="0" collapsed="false">
      <c r="G454" s="114" t="str">
        <v>SARAH</v>
      </c>
      <c r="H454" s="5"/>
      <c r="I454" s="106" t="s">
        <v>202</v>
      </c>
      <c r="J454" s="107" t="s">
        <v>203</v>
      </c>
      <c r="K454" s="106" t="s">
        <v>199</v>
      </c>
      <c r="L454" s="107" t="s">
        <v>200</v>
      </c>
      <c r="M454" s="108" t="s">
        <v>201</v>
      </c>
      <c r="N454" s="115"/>
      <c r="O454" s="5"/>
      <c r="Q454" s="116" t="n">
        <v>4</v>
      </c>
      <c r="R454" s="117" t="str">
        <v>DON</v>
      </c>
      <c r="S454" s="44"/>
      <c r="T454" s="112"/>
      <c r="U454" s="113"/>
      <c r="V454" s="112"/>
      <c r="W454" s="113"/>
      <c r="X454" s="112"/>
      <c r="Y454" s="115"/>
      <c r="Z454" s="5"/>
      <c r="BJ454" s="57"/>
    </row>
    <row r="455" customFormat="false" ht="24.75" hidden="false" customHeight="true" outlineLevel="0" collapsed="false">
      <c r="G455" s="114" t="str">
        <v>KASH</v>
      </c>
      <c r="H455" s="118"/>
      <c r="I455" s="106" t="s">
        <v>203</v>
      </c>
      <c r="J455" s="107" t="s">
        <v>199</v>
      </c>
      <c r="K455" s="106" t="s">
        <v>200</v>
      </c>
      <c r="L455" s="107" t="s">
        <v>201</v>
      </c>
      <c r="M455" s="108" t="s">
        <v>202</v>
      </c>
      <c r="N455" s="119"/>
      <c r="O455" s="5"/>
      <c r="Q455" s="116" t="n">
        <v>5</v>
      </c>
      <c r="R455" s="120" t="str">
        <v>SAM</v>
      </c>
      <c r="S455" s="121"/>
      <c r="T455" s="112"/>
      <c r="U455" s="113"/>
      <c r="V455" s="112"/>
      <c r="W455" s="113"/>
      <c r="X455" s="112"/>
      <c r="Y455" s="119"/>
      <c r="Z455" s="5"/>
      <c r="BJ455" s="57"/>
    </row>
    <row r="456" customFormat="false" ht="24.75" hidden="false" customHeight="true" outlineLevel="0" collapsed="false">
      <c r="H456" s="122" t="s">
        <v>60</v>
      </c>
      <c r="I456" s="123"/>
      <c r="J456" s="123"/>
      <c r="K456" s="123"/>
      <c r="L456" s="123"/>
      <c r="M456" s="123"/>
      <c r="N456" s="118"/>
      <c r="O456" s="118"/>
      <c r="S456" s="122" t="s">
        <v>60</v>
      </c>
      <c r="T456" s="123"/>
      <c r="U456" s="123"/>
      <c r="V456" s="123"/>
      <c r="W456" s="123"/>
      <c r="X456" s="123"/>
      <c r="Y456" s="118"/>
      <c r="Z456" s="118"/>
      <c r="BJ456" s="57"/>
    </row>
    <row r="457" customFormat="false" ht="24.75" hidden="false" customHeight="true" outlineLevel="0" collapsed="false">
      <c r="H457" s="122" t="s">
        <v>205</v>
      </c>
      <c r="I457" s="5" t="n">
        <f aca="false">INT(N457/5)</f>
        <v>0</v>
      </c>
      <c r="J457" s="5" t="n">
        <f aca="false">INT(N457/5)</f>
        <v>0</v>
      </c>
      <c r="K457" s="5" t="n">
        <f aca="false">INT(N457/5)</f>
        <v>0</v>
      </c>
      <c r="L457" s="5" t="n">
        <f aca="false">INT(N457/5)</f>
        <v>0</v>
      </c>
      <c r="M457" s="5" t="n">
        <f aca="false">MOD(N457,5)+INT(N457/5)</f>
        <v>0</v>
      </c>
      <c r="N457" s="5" t="n">
        <f aca="true">IF(INDIRECT("Team"&amp;TEXT(H449,"0")&amp;"Average")&gt;INDIRECT("Team"&amp;TEXT(S449,"0")&amp;"Average"),0,C13*(INDIRECT("Team"&amp;TEXT(S449,"0")&amp;"Average")-INDIRECT("Team"&amp;TEXT(H449,"0")&amp;"Average")))</f>
        <v>0</v>
      </c>
      <c r="O457" s="118"/>
      <c r="S457" s="122" t="s">
        <v>205</v>
      </c>
      <c r="T457" s="5" t="n">
        <f aca="false">INT(Y457/5)</f>
        <v>4</v>
      </c>
      <c r="U457" s="5" t="n">
        <f aca="false">INT(Y457/5)</f>
        <v>4</v>
      </c>
      <c r="V457" s="5" t="n">
        <f aca="false">INT(Y457/5)</f>
        <v>4</v>
      </c>
      <c r="W457" s="5" t="n">
        <f aca="false">INT(Y457/5)</f>
        <v>4</v>
      </c>
      <c r="X457" s="5" t="n">
        <f aca="false">MOD(Y457,5)+INT(Y457/5)</f>
        <v>6.95</v>
      </c>
      <c r="Y457" s="5" t="n">
        <f aca="true">IF(INDIRECT("Team"&amp;TEXT(S449,"0")&amp;"Average")&gt;INDIRECT("Team"&amp;TEXT(H449,"0")&amp;"Average"),0,C13*(INDIRECT("Team"&amp;TEXT(H449,"0")&amp;"Average")-INDIRECT("Team"&amp;TEXT(S449,"0")&amp;"Average")))</f>
        <v>22.95</v>
      </c>
      <c r="Z457" s="118"/>
      <c r="BJ457" s="57"/>
    </row>
    <row r="458" customFormat="false" ht="24.75" hidden="false" customHeight="true" outlineLevel="0" collapsed="false">
      <c r="H458" s="122" t="s">
        <v>31</v>
      </c>
      <c r="I458" s="123"/>
      <c r="J458" s="123"/>
      <c r="K458" s="123"/>
      <c r="L458" s="123"/>
      <c r="M458" s="124"/>
      <c r="N458" s="125"/>
      <c r="O458" s="121"/>
      <c r="S458" s="122" t="s">
        <v>31</v>
      </c>
      <c r="T458" s="123"/>
      <c r="U458" s="123"/>
      <c r="V458" s="123"/>
      <c r="W458" s="123"/>
      <c r="X458" s="126"/>
      <c r="Y458" s="125"/>
      <c r="Z458" s="118"/>
      <c r="BJ458" s="57"/>
    </row>
    <row r="459" customFormat="false" ht="15" hidden="false" customHeight="false" outlineLevel="0" collapsed="false">
      <c r="G459" s="127"/>
      <c r="BJ459" s="57"/>
    </row>
    <row r="460" customFormat="false" ht="9.75" hidden="false" customHeight="true" outlineLevel="0" collapsed="false">
      <c r="I460" s="128" t="s">
        <v>206</v>
      </c>
      <c r="J460" s="44"/>
      <c r="K460" s="128" t="s">
        <v>31</v>
      </c>
      <c r="L460" s="44"/>
      <c r="T460" s="128" t="s">
        <v>207</v>
      </c>
      <c r="U460" s="44"/>
      <c r="V460" s="128" t="s">
        <v>31</v>
      </c>
      <c r="W460" s="44"/>
      <c r="BJ460" s="57"/>
    </row>
    <row r="461" customFormat="false" ht="9.75" hidden="false" customHeight="true" outlineLevel="0" collapsed="false">
      <c r="I461" s="129" t="s">
        <v>208</v>
      </c>
      <c r="J461" s="130"/>
      <c r="K461" s="129" t="s">
        <v>209</v>
      </c>
      <c r="L461" s="130"/>
      <c r="T461" s="129" t="s">
        <v>208</v>
      </c>
      <c r="U461" s="130"/>
      <c r="V461" s="129" t="s">
        <v>209</v>
      </c>
      <c r="W461" s="130"/>
      <c r="BJ461" s="57"/>
    </row>
    <row r="462" customFormat="false" ht="15" hidden="false" customHeight="false" outlineLevel="0" collapsed="false">
      <c r="BJ462" s="57"/>
    </row>
    <row r="463" customFormat="false" ht="15" hidden="false" customHeight="false" outlineLevel="0" collapsed="false">
      <c r="BJ463" s="57"/>
    </row>
    <row r="464" customFormat="false" ht="15" hidden="false" customHeight="false" outlineLevel="0" collapsed="false">
      <c r="G464" s="131" t="s">
        <v>210</v>
      </c>
      <c r="BJ464" s="57"/>
    </row>
    <row r="465" customFormat="false" ht="24.75" hidden="false" customHeight="true" outlineLevel="0" collapsed="false">
      <c r="G465" s="66" t="s">
        <v>211</v>
      </c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BJ465" s="57"/>
    </row>
    <row r="466" customFormat="false" ht="24.75" hidden="false" customHeight="true" outlineLevel="0" collapsed="false"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BJ466" s="57"/>
    </row>
    <row r="467" customFormat="false" ht="24.75" hidden="false" customHeight="true" outlineLevel="0" collapsed="false"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BJ467" s="57"/>
    </row>
    <row r="468" customFormat="false" ht="24.75" hidden="false" customHeight="true" outlineLevel="0" collapsed="false"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BJ468" s="57"/>
    </row>
    <row r="469" customFormat="false" ht="22.05" hidden="false" customHeight="false" outlineLevel="0" collapsed="false">
      <c r="G469" s="86" t="str">
        <f aca="false">"Clicks "&amp;$C$3&amp;":"&amp;" "&amp;$C$10&amp;" "&amp;$C$9&amp;" League Score Sheet"</f>
        <v>Clicks Tucson: Get-a-Cue 8-Ball League Score Sheet</v>
      </c>
      <c r="Z469" s="87" t="s">
        <v>212</v>
      </c>
      <c r="BJ469" s="57"/>
    </row>
    <row r="470" customFormat="false" ht="15" hidden="false" customHeight="false" outlineLevel="0" collapsed="false">
      <c r="BJ470" s="57"/>
    </row>
    <row r="471" customFormat="false" ht="24.75" hidden="false" customHeight="true" outlineLevel="0" collapsed="false">
      <c r="G471" s="88" t="n">
        <f aca="true">TODAY()</f>
        <v>46171</v>
      </c>
      <c r="H471" s="88"/>
      <c r="I471" s="89" t="s">
        <v>190</v>
      </c>
      <c r="J471" s="90"/>
      <c r="K471" s="91" t="n">
        <f aca="false">A!$AW$13+1</f>
        <v>7</v>
      </c>
      <c r="L471" s="90" t="s">
        <v>191</v>
      </c>
      <c r="M471" s="90"/>
      <c r="N471" s="92" t="n">
        <f aca="false">$C$4</f>
        <v>335</v>
      </c>
      <c r="S471" s="89" t="s">
        <v>192</v>
      </c>
      <c r="T471" s="90"/>
      <c r="U471" s="90"/>
      <c r="V471" s="90"/>
      <c r="W471" s="89"/>
      <c r="X471" s="90"/>
      <c r="Y471" s="91" t="str">
        <f aca="true">INDEX(INDIRECT("Sched_"&amp;TEXT($C$5,"0")&amp;"_Matches"),1,3)</f>
        <v>4 &amp; 5</v>
      </c>
      <c r="Z471" s="91"/>
      <c r="BJ471" s="57"/>
    </row>
    <row r="472" customFormat="false" ht="24.75" hidden="false" customHeight="true" outlineLevel="0" collapsed="false">
      <c r="BJ472" s="57"/>
    </row>
    <row r="473" customFormat="false" ht="24.75" hidden="false" customHeight="true" outlineLevel="0" collapsed="false">
      <c r="G473" s="93" t="s">
        <v>193</v>
      </c>
      <c r="H473" s="94" t="n">
        <f aca="true">IF($K447&lt;&gt;$C$8,INDEX(INDIRECT(AB687),$K447,3),VLOOKUP(LARGE(A!$BK$5:$BK$24,3),Team_Score,2,FALSE()))</f>
        <v>7</v>
      </c>
      <c r="I473" s="95" t="s">
        <v>194</v>
      </c>
      <c r="J473" s="96" t="str">
        <f aca="true">INDIRECT("Team"&amp;TEXT(H473,"0")&amp;"Name")</f>
        <v>YOUNG BLOODS</v>
      </c>
      <c r="K473" s="96"/>
      <c r="L473" s="96"/>
      <c r="M473" s="96"/>
      <c r="N473" s="96"/>
      <c r="O473" s="97" t="s">
        <v>195</v>
      </c>
      <c r="Q473" s="93" t="s">
        <v>196</v>
      </c>
      <c r="R473" s="98"/>
      <c r="S473" s="94" t="n">
        <f aca="true">IF($K447&lt;&gt;$C$8,INDEX(INDIRECT(AB687),$K447,4),VLOOKUP(LARGE(A!$BK$5:$BK$24,4),Team_Score,2,FALSE()))</f>
        <v>11</v>
      </c>
      <c r="T473" s="95" t="s">
        <v>194</v>
      </c>
      <c r="U473" s="96" t="str">
        <f aca="true">INDIRECT("Team"&amp;TEXT(S473,"0")&amp;"Name")</f>
        <v>SPAM FO LUNCH</v>
      </c>
      <c r="V473" s="96"/>
      <c r="W473" s="96"/>
      <c r="X473" s="96"/>
      <c r="Y473" s="96"/>
      <c r="Z473" s="97" t="s">
        <v>195</v>
      </c>
      <c r="BJ473" s="57"/>
    </row>
    <row r="474" customFormat="false" ht="24.75" hidden="false" customHeight="true" outlineLevel="0" collapsed="false">
      <c r="G474" s="99" t="s">
        <v>197</v>
      </c>
      <c r="H474" s="100" t="s">
        <v>198</v>
      </c>
      <c r="I474" s="101" t="s">
        <v>199</v>
      </c>
      <c r="J474" s="101" t="s">
        <v>200</v>
      </c>
      <c r="K474" s="101" t="s">
        <v>201</v>
      </c>
      <c r="L474" s="101" t="s">
        <v>202</v>
      </c>
      <c r="M474" s="101" t="s">
        <v>203</v>
      </c>
      <c r="N474" s="101" t="s">
        <v>31</v>
      </c>
      <c r="O474" s="102" t="s">
        <v>204</v>
      </c>
      <c r="Q474" s="99" t="s">
        <v>197</v>
      </c>
      <c r="R474" s="103"/>
      <c r="S474" s="100" t="s">
        <v>198</v>
      </c>
      <c r="T474" s="101" t="s">
        <v>199</v>
      </c>
      <c r="U474" s="101" t="s">
        <v>200</v>
      </c>
      <c r="V474" s="101" t="s">
        <v>201</v>
      </c>
      <c r="W474" s="101" t="s">
        <v>202</v>
      </c>
      <c r="X474" s="101" t="s">
        <v>203</v>
      </c>
      <c r="Y474" s="101" t="s">
        <v>31</v>
      </c>
      <c r="Z474" s="102" t="s">
        <v>204</v>
      </c>
      <c r="BJ474" s="57"/>
    </row>
    <row r="475" customFormat="false" ht="24.75" hidden="false" customHeight="true" outlineLevel="0" collapsed="false">
      <c r="G475" s="104" t="str">
        <f aca="true" t="array" ref="G475:G479">IF(ISBLANK(H473),"Empty",INDIRECT("Team"&amp;TEXT(H473,"0")&amp;"Players"))</f>
        <v>GARY</v>
      </c>
      <c r="H475" s="105"/>
      <c r="I475" s="106" t="s">
        <v>199</v>
      </c>
      <c r="J475" s="107" t="s">
        <v>200</v>
      </c>
      <c r="K475" s="106" t="s">
        <v>201</v>
      </c>
      <c r="L475" s="107" t="s">
        <v>202</v>
      </c>
      <c r="M475" s="106" t="s">
        <v>203</v>
      </c>
      <c r="N475" s="109"/>
      <c r="O475" s="5"/>
      <c r="Q475" s="110" t="n">
        <v>1</v>
      </c>
      <c r="R475" s="111" t="str">
        <f aca="true" t="array" ref="R475:R479">IF(ISBLANK(S473),"Empty",INDIRECT("Team"&amp;TEXT(S473,"0")&amp;"Players"))</f>
        <v>PABLO</v>
      </c>
      <c r="S475" s="44"/>
      <c r="T475" s="112"/>
      <c r="U475" s="113"/>
      <c r="V475" s="112"/>
      <c r="W475" s="113"/>
      <c r="X475" s="112"/>
      <c r="Y475" s="109"/>
      <c r="Z475" s="5"/>
      <c r="BJ475" s="57"/>
    </row>
    <row r="476" customFormat="false" ht="24.75" hidden="false" customHeight="true" outlineLevel="0" collapsed="false">
      <c r="G476" s="114" t="str">
        <v>RICH</v>
      </c>
      <c r="H476" s="5"/>
      <c r="I476" s="106" t="s">
        <v>200</v>
      </c>
      <c r="J476" s="107" t="s">
        <v>201</v>
      </c>
      <c r="K476" s="106" t="s">
        <v>202</v>
      </c>
      <c r="L476" s="107" t="s">
        <v>203</v>
      </c>
      <c r="M476" s="106" t="s">
        <v>199</v>
      </c>
      <c r="N476" s="115"/>
      <c r="O476" s="5"/>
      <c r="Q476" s="116" t="n">
        <v>2</v>
      </c>
      <c r="R476" s="117" t="str">
        <v>ERIC</v>
      </c>
      <c r="S476" s="44"/>
      <c r="T476" s="112"/>
      <c r="U476" s="113"/>
      <c r="V476" s="112"/>
      <c r="W476" s="113"/>
      <c r="X476" s="112"/>
      <c r="Y476" s="115"/>
      <c r="Z476" s="5"/>
      <c r="BJ476" s="57"/>
    </row>
    <row r="477" customFormat="false" ht="24.75" hidden="false" customHeight="true" outlineLevel="0" collapsed="false">
      <c r="G477" s="114" t="str">
        <v>VIC</v>
      </c>
      <c r="H477" s="5"/>
      <c r="I477" s="106" t="s">
        <v>201</v>
      </c>
      <c r="J477" s="107" t="s">
        <v>202</v>
      </c>
      <c r="K477" s="106" t="s">
        <v>203</v>
      </c>
      <c r="L477" s="107" t="s">
        <v>199</v>
      </c>
      <c r="M477" s="106" t="s">
        <v>200</v>
      </c>
      <c r="N477" s="115"/>
      <c r="O477" s="5"/>
      <c r="Q477" s="116" t="n">
        <v>3</v>
      </c>
      <c r="R477" s="117" t="str">
        <v>SABRINA</v>
      </c>
      <c r="S477" s="44"/>
      <c r="T477" s="112"/>
      <c r="U477" s="113"/>
      <c r="V477" s="112"/>
      <c r="W477" s="113"/>
      <c r="X477" s="112"/>
      <c r="Y477" s="115"/>
      <c r="Z477" s="5"/>
      <c r="BJ477" s="57"/>
    </row>
    <row r="478" customFormat="false" ht="24.75" hidden="false" customHeight="true" outlineLevel="0" collapsed="false">
      <c r="G478" s="114" t="str">
        <v>JIM</v>
      </c>
      <c r="H478" s="5"/>
      <c r="I478" s="106" t="s">
        <v>202</v>
      </c>
      <c r="J478" s="107" t="s">
        <v>203</v>
      </c>
      <c r="K478" s="106" t="s">
        <v>199</v>
      </c>
      <c r="L478" s="107" t="s">
        <v>200</v>
      </c>
      <c r="M478" s="106" t="s">
        <v>201</v>
      </c>
      <c r="N478" s="115"/>
      <c r="O478" s="5"/>
      <c r="Q478" s="116" t="n">
        <v>4</v>
      </c>
      <c r="R478" s="117" t="str">
        <v>NICK</v>
      </c>
      <c r="S478" s="44"/>
      <c r="T478" s="112"/>
      <c r="U478" s="113"/>
      <c r="V478" s="112"/>
      <c r="W478" s="113"/>
      <c r="X478" s="112"/>
      <c r="Y478" s="115"/>
      <c r="Z478" s="5"/>
      <c r="BJ478" s="57"/>
    </row>
    <row r="479" customFormat="false" ht="24.75" hidden="false" customHeight="true" outlineLevel="0" collapsed="false">
      <c r="G479" s="114" t="str">
        <v>PAM</v>
      </c>
      <c r="H479" s="118"/>
      <c r="I479" s="106" t="s">
        <v>203</v>
      </c>
      <c r="J479" s="107" t="s">
        <v>199</v>
      </c>
      <c r="K479" s="106" t="s">
        <v>200</v>
      </c>
      <c r="L479" s="107" t="s">
        <v>201</v>
      </c>
      <c r="M479" s="106" t="s">
        <v>202</v>
      </c>
      <c r="N479" s="119"/>
      <c r="O479" s="5"/>
      <c r="Q479" s="116" t="n">
        <v>5</v>
      </c>
      <c r="R479" s="120" t="str">
        <v>LON</v>
      </c>
      <c r="S479" s="121"/>
      <c r="T479" s="112"/>
      <c r="U479" s="113"/>
      <c r="V479" s="112"/>
      <c r="W479" s="113"/>
      <c r="X479" s="112"/>
      <c r="Y479" s="119"/>
      <c r="Z479" s="5"/>
      <c r="BJ479" s="57"/>
    </row>
    <row r="480" customFormat="false" ht="24.75" hidden="false" customHeight="true" outlineLevel="0" collapsed="false">
      <c r="H480" s="122" t="s">
        <v>60</v>
      </c>
      <c r="I480" s="123"/>
      <c r="J480" s="123"/>
      <c r="K480" s="123"/>
      <c r="L480" s="123"/>
      <c r="M480" s="123"/>
      <c r="N480" s="118"/>
      <c r="O480" s="118"/>
      <c r="S480" s="122" t="s">
        <v>60</v>
      </c>
      <c r="T480" s="123"/>
      <c r="U480" s="123"/>
      <c r="V480" s="123"/>
      <c r="W480" s="123"/>
      <c r="X480" s="123"/>
      <c r="Y480" s="118"/>
      <c r="Z480" s="118"/>
      <c r="BJ480" s="57"/>
    </row>
    <row r="481" customFormat="false" ht="24.75" hidden="false" customHeight="true" outlineLevel="0" collapsed="false">
      <c r="H481" s="122" t="s">
        <v>205</v>
      </c>
      <c r="I481" s="5" t="n">
        <f aca="false">INT(N481/5)</f>
        <v>0</v>
      </c>
      <c r="J481" s="5" t="n">
        <f aca="false">INT(N481/5)</f>
        <v>0</v>
      </c>
      <c r="K481" s="5" t="n">
        <f aca="false">INT(N481/5)</f>
        <v>0</v>
      </c>
      <c r="L481" s="5" t="n">
        <f aca="false">INT(N481/5)</f>
        <v>0</v>
      </c>
      <c r="M481" s="5" t="n">
        <f aca="false">MOD(N481,5)+INT(N481/5)</f>
        <v>0</v>
      </c>
      <c r="N481" s="5" t="n">
        <f aca="true">IF(INDIRECT("Team"&amp;TEXT(H473,"0")&amp;"Average")&gt;INDIRECT("Team"&amp;TEXT(S473,"0")&amp;"Average"),0,C13*(INDIRECT("Team"&amp;TEXT(S473,"0")&amp;"Average")-INDIRECT("Team"&amp;TEXT(H473,"0")&amp;"Average")))</f>
        <v>0</v>
      </c>
      <c r="O481" s="118"/>
      <c r="S481" s="122" t="s">
        <v>205</v>
      </c>
      <c r="T481" s="5" t="n">
        <f aca="false">INT(Y481/5)</f>
        <v>1</v>
      </c>
      <c r="U481" s="5" t="n">
        <f aca="false">INT(Y481/5)</f>
        <v>1</v>
      </c>
      <c r="V481" s="5" t="n">
        <f aca="false">INT(Y481/5)</f>
        <v>1</v>
      </c>
      <c r="W481" s="5" t="n">
        <f aca="false">INT(Y481/5)</f>
        <v>1</v>
      </c>
      <c r="X481" s="5" t="n">
        <f aca="false">MOD(Y481,5)+INT(Y481/5)</f>
        <v>4.69999999999999</v>
      </c>
      <c r="Y481" s="5" t="n">
        <f aca="true">IF(INDIRECT("Team"&amp;TEXT(S473,"0")&amp;"Average")&gt;INDIRECT("Team"&amp;TEXT(H473,"0")&amp;"Average"),0,C13*(INDIRECT("Team"&amp;TEXT(H473,"0")&amp;"Average")-INDIRECT("Team"&amp;TEXT(S473,"0")&amp;"Average")))</f>
        <v>8.69999999999999</v>
      </c>
      <c r="Z481" s="118"/>
      <c r="BJ481" s="57"/>
    </row>
    <row r="482" customFormat="false" ht="24.75" hidden="false" customHeight="true" outlineLevel="0" collapsed="false">
      <c r="H482" s="122" t="s">
        <v>31</v>
      </c>
      <c r="I482" s="123"/>
      <c r="J482" s="123"/>
      <c r="K482" s="123"/>
      <c r="L482" s="123"/>
      <c r="M482" s="124"/>
      <c r="N482" s="125"/>
      <c r="O482" s="118"/>
      <c r="S482" s="122" t="s">
        <v>31</v>
      </c>
      <c r="T482" s="123"/>
      <c r="U482" s="123"/>
      <c r="V482" s="123"/>
      <c r="W482" s="123"/>
      <c r="X482" s="124"/>
      <c r="Y482" s="125"/>
      <c r="Z482" s="118"/>
      <c r="BJ482" s="57"/>
    </row>
    <row r="483" customFormat="false" ht="15" hidden="false" customHeight="false" outlineLevel="0" collapsed="false">
      <c r="G483" s="127"/>
      <c r="BJ483" s="57"/>
    </row>
    <row r="484" customFormat="false" ht="9.75" hidden="false" customHeight="true" outlineLevel="0" collapsed="false">
      <c r="I484" s="128" t="s">
        <v>206</v>
      </c>
      <c r="J484" s="44"/>
      <c r="K484" s="128" t="s">
        <v>31</v>
      </c>
      <c r="L484" s="44"/>
      <c r="T484" s="128" t="s">
        <v>207</v>
      </c>
      <c r="U484" s="44"/>
      <c r="V484" s="128" t="s">
        <v>31</v>
      </c>
      <c r="W484" s="44"/>
      <c r="BJ484" s="57"/>
    </row>
    <row r="485" customFormat="false" ht="9.75" hidden="false" customHeight="true" outlineLevel="0" collapsed="false">
      <c r="I485" s="129" t="s">
        <v>208</v>
      </c>
      <c r="J485" s="130"/>
      <c r="K485" s="129" t="s">
        <v>209</v>
      </c>
      <c r="L485" s="130"/>
      <c r="T485" s="129" t="s">
        <v>208</v>
      </c>
      <c r="U485" s="130"/>
      <c r="V485" s="129" t="s">
        <v>209</v>
      </c>
      <c r="W485" s="130"/>
      <c r="BJ485" s="57"/>
    </row>
    <row r="486" customFormat="false" ht="15" hidden="false" customHeight="false" outlineLevel="0" collapsed="false">
      <c r="BJ486" s="57"/>
    </row>
    <row r="487" customFormat="false" ht="15" hidden="false" customHeight="false" outlineLevel="0" collapsed="false">
      <c r="BJ487" s="57"/>
    </row>
    <row r="488" customFormat="false" ht="15" hidden="false" customHeight="false" outlineLevel="0" collapsed="false">
      <c r="G488" s="131" t="s">
        <v>210</v>
      </c>
      <c r="BJ488" s="57"/>
    </row>
    <row r="489" customFormat="false" ht="24.75" hidden="false" customHeight="true" outlineLevel="0" collapsed="false">
      <c r="G489" s="66" t="s">
        <v>211</v>
      </c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BJ489" s="57"/>
    </row>
    <row r="490" customFormat="false" ht="24.75" hidden="false" customHeight="true" outlineLevel="0" collapsed="false"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BJ490" s="57"/>
    </row>
    <row r="491" customFormat="false" ht="24.75" hidden="false" customHeight="true" outlineLevel="0" collapsed="false"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BJ491" s="57"/>
    </row>
    <row r="492" customFormat="false" ht="24.75" hidden="false" customHeight="true" outlineLevel="0" collapsed="false"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BJ492" s="57"/>
    </row>
    <row r="493" customFormat="false" ht="22.05" hidden="false" customHeight="false" outlineLevel="0" collapsed="false">
      <c r="G493" s="86" t="str">
        <f aca="false">"Clicks "&amp;$C$3&amp;":"&amp;" "&amp;$C$10&amp;" "&amp;$C$9&amp;" League Score Sheet"</f>
        <v>Clicks Tucson: Get-a-Cue 8-Ball League Score Sheet</v>
      </c>
      <c r="Z493" s="87" t="s">
        <v>213</v>
      </c>
      <c r="BJ493" s="57"/>
    </row>
    <row r="494" customFormat="false" ht="15" hidden="false" customHeight="false" outlineLevel="0" collapsed="false">
      <c r="BJ494" s="57"/>
    </row>
    <row r="495" customFormat="false" ht="24.75" hidden="false" customHeight="true" outlineLevel="0" collapsed="false">
      <c r="G495" s="88" t="n">
        <f aca="true">TODAY()</f>
        <v>46171</v>
      </c>
      <c r="H495" s="88"/>
      <c r="I495" s="89" t="s">
        <v>190</v>
      </c>
      <c r="J495" s="90"/>
      <c r="K495" s="91" t="n">
        <f aca="false">A!$AW$13+1</f>
        <v>7</v>
      </c>
      <c r="L495" s="90" t="s">
        <v>191</v>
      </c>
      <c r="M495" s="90"/>
      <c r="N495" s="92" t="n">
        <f aca="false">$C$4</f>
        <v>335</v>
      </c>
      <c r="S495" s="89" t="s">
        <v>192</v>
      </c>
      <c r="T495" s="90"/>
      <c r="U495" s="90"/>
      <c r="V495" s="90"/>
      <c r="W495" s="89"/>
      <c r="X495" s="90"/>
      <c r="Y495" s="91" t="str">
        <f aca="true">INDEX(INDIRECT("Sched_"&amp;TEXT($C$5,"0")&amp;"_Matches"),1,5)</f>
        <v>11 &amp; 12</v>
      </c>
      <c r="Z495" s="91"/>
      <c r="BJ495" s="57"/>
    </row>
    <row r="496" customFormat="false" ht="24.75" hidden="false" customHeight="true" outlineLevel="0" collapsed="false">
      <c r="BJ496" s="57"/>
    </row>
    <row r="497" customFormat="false" ht="24.75" hidden="false" customHeight="true" outlineLevel="0" collapsed="false">
      <c r="G497" s="93" t="s">
        <v>193</v>
      </c>
      <c r="H497" s="94" t="n">
        <f aca="true">IF($K447&lt;&gt;$C$8,INDEX(INDIRECT(AB687),$K447,5),VLOOKUP(LARGE(A!$BK$5:$BK$24,5),Team_Score,2,FALSE()))</f>
        <v>3</v>
      </c>
      <c r="I497" s="95" t="s">
        <v>194</v>
      </c>
      <c r="J497" s="96" t="str">
        <f aca="true">INDIRECT("Team"&amp;TEXT(H497,"0")&amp;"Name")</f>
        <v>RACK PACK</v>
      </c>
      <c r="K497" s="96"/>
      <c r="L497" s="96"/>
      <c r="M497" s="96"/>
      <c r="N497" s="96"/>
      <c r="O497" s="97" t="s">
        <v>195</v>
      </c>
      <c r="Q497" s="93" t="s">
        <v>196</v>
      </c>
      <c r="R497" s="98"/>
      <c r="S497" s="94" t="n">
        <f aca="true">IF($K447&lt;&gt;$C$8,INDEX(INDIRECT(AB687),$K447,6),VLOOKUP(LARGE(A!$BK$5:$BK$24,6),Team_Score,2,FALSE()))</f>
        <v>10</v>
      </c>
      <c r="T497" s="95" t="s">
        <v>194</v>
      </c>
      <c r="U497" s="96" t="str">
        <f aca="true">INDIRECT("Team"&amp;TEXT(S497,"0")&amp;"Name")</f>
        <v>CRAZY TRAIN</v>
      </c>
      <c r="V497" s="96"/>
      <c r="W497" s="96"/>
      <c r="X497" s="96"/>
      <c r="Y497" s="96"/>
      <c r="Z497" s="97" t="s">
        <v>195</v>
      </c>
      <c r="BJ497" s="57"/>
    </row>
    <row r="498" customFormat="false" ht="24.75" hidden="false" customHeight="true" outlineLevel="0" collapsed="false">
      <c r="G498" s="99" t="s">
        <v>197</v>
      </c>
      <c r="H498" s="100" t="s">
        <v>198</v>
      </c>
      <c r="I498" s="101" t="s">
        <v>199</v>
      </c>
      <c r="J498" s="101" t="s">
        <v>200</v>
      </c>
      <c r="K498" s="101" t="s">
        <v>201</v>
      </c>
      <c r="L498" s="101" t="s">
        <v>202</v>
      </c>
      <c r="M498" s="101" t="s">
        <v>203</v>
      </c>
      <c r="N498" s="101" t="s">
        <v>31</v>
      </c>
      <c r="O498" s="102" t="s">
        <v>204</v>
      </c>
      <c r="Q498" s="99" t="s">
        <v>197</v>
      </c>
      <c r="R498" s="103"/>
      <c r="S498" s="100" t="s">
        <v>198</v>
      </c>
      <c r="T498" s="101" t="s">
        <v>199</v>
      </c>
      <c r="U498" s="101" t="s">
        <v>200</v>
      </c>
      <c r="V498" s="101" t="s">
        <v>201</v>
      </c>
      <c r="W498" s="101" t="s">
        <v>202</v>
      </c>
      <c r="X498" s="101" t="s">
        <v>203</v>
      </c>
      <c r="Y498" s="101" t="s">
        <v>31</v>
      </c>
      <c r="Z498" s="102" t="s">
        <v>204</v>
      </c>
      <c r="BJ498" s="57"/>
    </row>
    <row r="499" customFormat="false" ht="24.75" hidden="false" customHeight="true" outlineLevel="0" collapsed="false">
      <c r="G499" s="104" t="str">
        <f aca="true" t="array" ref="G499:G503">IF(ISBLANK(H497),"Empty",INDIRECT("Team"&amp;TEXT(H497,"0")&amp;"Players"))</f>
        <v>BRENNEN</v>
      </c>
      <c r="H499" s="105"/>
      <c r="I499" s="106" t="s">
        <v>199</v>
      </c>
      <c r="J499" s="107" t="s">
        <v>200</v>
      </c>
      <c r="K499" s="106" t="s">
        <v>201</v>
      </c>
      <c r="L499" s="107" t="s">
        <v>202</v>
      </c>
      <c r="M499" s="106" t="s">
        <v>203</v>
      </c>
      <c r="N499" s="109"/>
      <c r="O499" s="5"/>
      <c r="Q499" s="110" t="n">
        <v>1</v>
      </c>
      <c r="R499" s="111" t="str">
        <f aca="true" t="array" ref="R499:R503">IF(ISBLANK(S497),"Empty",INDIRECT("Team"&amp;TEXT(S497,"0")&amp;"Players"))</f>
        <v>DARRIC</v>
      </c>
      <c r="S499" s="44"/>
      <c r="T499" s="112"/>
      <c r="U499" s="113"/>
      <c r="V499" s="112"/>
      <c r="W499" s="113"/>
      <c r="X499" s="112"/>
      <c r="Y499" s="109"/>
      <c r="Z499" s="5"/>
      <c r="BJ499" s="57"/>
    </row>
    <row r="500" customFormat="false" ht="24.75" hidden="false" customHeight="true" outlineLevel="0" collapsed="false">
      <c r="G500" s="114" t="str">
        <v>NICK</v>
      </c>
      <c r="H500" s="5"/>
      <c r="I500" s="106" t="s">
        <v>200</v>
      </c>
      <c r="J500" s="107" t="s">
        <v>201</v>
      </c>
      <c r="K500" s="106" t="s">
        <v>202</v>
      </c>
      <c r="L500" s="107" t="s">
        <v>203</v>
      </c>
      <c r="M500" s="106" t="s">
        <v>199</v>
      </c>
      <c r="N500" s="115"/>
      <c r="O500" s="5"/>
      <c r="Q500" s="116" t="n">
        <v>2</v>
      </c>
      <c r="R500" s="117" t="str">
        <v>CHRIS</v>
      </c>
      <c r="S500" s="44"/>
      <c r="T500" s="112"/>
      <c r="U500" s="113"/>
      <c r="V500" s="112"/>
      <c r="W500" s="113"/>
      <c r="X500" s="112"/>
      <c r="Y500" s="115"/>
      <c r="Z500" s="5"/>
      <c r="BJ500" s="57"/>
    </row>
    <row r="501" customFormat="false" ht="24.75" hidden="false" customHeight="true" outlineLevel="0" collapsed="false">
      <c r="G501" s="114" t="str">
        <v>IAN</v>
      </c>
      <c r="H501" s="5"/>
      <c r="I501" s="106" t="s">
        <v>201</v>
      </c>
      <c r="J501" s="107" t="s">
        <v>202</v>
      </c>
      <c r="K501" s="106" t="s">
        <v>203</v>
      </c>
      <c r="L501" s="107" t="s">
        <v>199</v>
      </c>
      <c r="M501" s="106" t="s">
        <v>200</v>
      </c>
      <c r="N501" s="115"/>
      <c r="O501" s="5"/>
      <c r="Q501" s="116" t="n">
        <v>3</v>
      </c>
      <c r="R501" s="117" t="str">
        <v>MIKE R.</v>
      </c>
      <c r="S501" s="44"/>
      <c r="T501" s="112"/>
      <c r="U501" s="113"/>
      <c r="V501" s="112"/>
      <c r="W501" s="113"/>
      <c r="X501" s="112"/>
      <c r="Y501" s="115"/>
      <c r="Z501" s="5"/>
      <c r="BJ501" s="57"/>
    </row>
    <row r="502" customFormat="false" ht="24.75" hidden="false" customHeight="true" outlineLevel="0" collapsed="false">
      <c r="G502" s="114" t="str">
        <v>SCOTT</v>
      </c>
      <c r="H502" s="5"/>
      <c r="I502" s="106" t="s">
        <v>202</v>
      </c>
      <c r="J502" s="107" t="s">
        <v>203</v>
      </c>
      <c r="K502" s="106" t="s">
        <v>199</v>
      </c>
      <c r="L502" s="107" t="s">
        <v>200</v>
      </c>
      <c r="M502" s="106" t="s">
        <v>201</v>
      </c>
      <c r="N502" s="115"/>
      <c r="O502" s="5"/>
      <c r="Q502" s="116" t="n">
        <v>4</v>
      </c>
      <c r="R502" s="117" t="str">
        <v>SERGEI</v>
      </c>
      <c r="S502" s="44"/>
      <c r="T502" s="112"/>
      <c r="U502" s="113"/>
      <c r="V502" s="112"/>
      <c r="W502" s="113"/>
      <c r="X502" s="112"/>
      <c r="Y502" s="115"/>
      <c r="Z502" s="5"/>
      <c r="BJ502" s="57"/>
    </row>
    <row r="503" customFormat="false" ht="24.75" hidden="false" customHeight="true" outlineLevel="0" collapsed="false">
      <c r="G503" s="114" t="str">
        <v>TIM</v>
      </c>
      <c r="H503" s="118"/>
      <c r="I503" s="106" t="s">
        <v>203</v>
      </c>
      <c r="J503" s="107" t="s">
        <v>199</v>
      </c>
      <c r="K503" s="106" t="s">
        <v>200</v>
      </c>
      <c r="L503" s="107" t="s">
        <v>201</v>
      </c>
      <c r="M503" s="106" t="s">
        <v>202</v>
      </c>
      <c r="N503" s="119"/>
      <c r="O503" s="5"/>
      <c r="Q503" s="116" t="n">
        <v>5</v>
      </c>
      <c r="R503" s="120" t="str">
        <v>JORDAN</v>
      </c>
      <c r="S503" s="121"/>
      <c r="T503" s="112"/>
      <c r="U503" s="113"/>
      <c r="V503" s="112"/>
      <c r="W503" s="113"/>
      <c r="X503" s="112"/>
      <c r="Y503" s="119"/>
      <c r="Z503" s="5"/>
      <c r="BJ503" s="57"/>
    </row>
    <row r="504" customFormat="false" ht="24.75" hidden="false" customHeight="true" outlineLevel="0" collapsed="false">
      <c r="H504" s="122" t="s">
        <v>60</v>
      </c>
      <c r="I504" s="123"/>
      <c r="J504" s="123"/>
      <c r="K504" s="123"/>
      <c r="L504" s="123"/>
      <c r="M504" s="123"/>
      <c r="N504" s="118"/>
      <c r="O504" s="118"/>
      <c r="S504" s="122" t="s">
        <v>60</v>
      </c>
      <c r="T504" s="123"/>
      <c r="U504" s="123"/>
      <c r="V504" s="123"/>
      <c r="W504" s="123"/>
      <c r="X504" s="123"/>
      <c r="Y504" s="118"/>
      <c r="Z504" s="118"/>
      <c r="BJ504" s="57"/>
    </row>
    <row r="505" customFormat="false" ht="24.75" hidden="false" customHeight="true" outlineLevel="0" collapsed="false">
      <c r="H505" s="122" t="s">
        <v>205</v>
      </c>
      <c r="I505" s="5" t="n">
        <f aca="false">INT(N505/5)</f>
        <v>2</v>
      </c>
      <c r="J505" s="5" t="n">
        <f aca="false">INT(N505/5)</f>
        <v>2</v>
      </c>
      <c r="K505" s="5" t="n">
        <f aca="false">INT(N505/5)</f>
        <v>2</v>
      </c>
      <c r="L505" s="5" t="n">
        <f aca="false">INT(N505/5)</f>
        <v>2</v>
      </c>
      <c r="M505" s="5" t="n">
        <f aca="false">MOD(N505,5)+INT(N505/5)</f>
        <v>6.54999999999999</v>
      </c>
      <c r="N505" s="5" t="n">
        <f aca="true">IF(INDIRECT("Team"&amp;TEXT(H497,"0")&amp;"Average")&gt;INDIRECT("Team"&amp;TEXT(S497,"0")&amp;"Average"),0,C13*(INDIRECT("Team"&amp;TEXT(S497,"0")&amp;"Average")-INDIRECT("Team"&amp;TEXT(H497,"0")&amp;"Average")))</f>
        <v>14.55</v>
      </c>
      <c r="O505" s="118"/>
      <c r="S505" s="122" t="s">
        <v>205</v>
      </c>
      <c r="T505" s="5" t="n">
        <f aca="false">INT(Y505/5)</f>
        <v>0</v>
      </c>
      <c r="U505" s="5" t="n">
        <f aca="false">INT(Y505/5)</f>
        <v>0</v>
      </c>
      <c r="V505" s="5" t="n">
        <f aca="false">INT(Y505/5)</f>
        <v>0</v>
      </c>
      <c r="W505" s="5" t="n">
        <f aca="false">INT(Y505/5)</f>
        <v>0</v>
      </c>
      <c r="X505" s="5" t="n">
        <f aca="false">MOD(Y505,5)+INT(Y505/5)</f>
        <v>0</v>
      </c>
      <c r="Y505" s="5" t="n">
        <f aca="true">IF(INDIRECT("Team"&amp;TEXT(S497,"0")&amp;"Average")&gt;INDIRECT("Team"&amp;TEXT(H497,"0")&amp;"Average"),0,C13*(INDIRECT("Team"&amp;TEXT(H497,"0")&amp;"Average")-INDIRECT("Team"&amp;TEXT(S497,"0")&amp;"Average")))</f>
        <v>0</v>
      </c>
      <c r="Z505" s="118"/>
      <c r="BJ505" s="57"/>
    </row>
    <row r="506" customFormat="false" ht="24.75" hidden="false" customHeight="true" outlineLevel="0" collapsed="false">
      <c r="H506" s="122" t="s">
        <v>31</v>
      </c>
      <c r="I506" s="123"/>
      <c r="J506" s="123"/>
      <c r="K506" s="123"/>
      <c r="L506" s="123"/>
      <c r="M506" s="124"/>
      <c r="N506" s="125"/>
      <c r="O506" s="118"/>
      <c r="S506" s="122" t="s">
        <v>31</v>
      </c>
      <c r="T506" s="123"/>
      <c r="U506" s="123"/>
      <c r="V506" s="123"/>
      <c r="W506" s="123"/>
      <c r="X506" s="124"/>
      <c r="Y506" s="125"/>
      <c r="Z506" s="118"/>
      <c r="BJ506" s="57"/>
    </row>
    <row r="507" customFormat="false" ht="15" hidden="false" customHeight="false" outlineLevel="0" collapsed="false">
      <c r="G507" s="127"/>
      <c r="BJ507" s="57"/>
    </row>
    <row r="508" customFormat="false" ht="9.75" hidden="false" customHeight="true" outlineLevel="0" collapsed="false">
      <c r="I508" s="128" t="s">
        <v>206</v>
      </c>
      <c r="J508" s="44"/>
      <c r="K508" s="128" t="s">
        <v>31</v>
      </c>
      <c r="L508" s="44"/>
      <c r="T508" s="128" t="s">
        <v>207</v>
      </c>
      <c r="U508" s="44"/>
      <c r="V508" s="128" t="s">
        <v>31</v>
      </c>
      <c r="W508" s="44"/>
      <c r="BJ508" s="57"/>
    </row>
    <row r="509" customFormat="false" ht="9.75" hidden="false" customHeight="true" outlineLevel="0" collapsed="false">
      <c r="I509" s="129" t="s">
        <v>208</v>
      </c>
      <c r="J509" s="130"/>
      <c r="K509" s="129" t="s">
        <v>209</v>
      </c>
      <c r="L509" s="130"/>
      <c r="T509" s="129" t="s">
        <v>208</v>
      </c>
      <c r="U509" s="130"/>
      <c r="V509" s="129" t="s">
        <v>209</v>
      </c>
      <c r="W509" s="130"/>
      <c r="BJ509" s="57"/>
    </row>
    <row r="510" customFormat="false" ht="15" hidden="false" customHeight="false" outlineLevel="0" collapsed="false">
      <c r="BJ510" s="57"/>
    </row>
    <row r="511" customFormat="false" ht="15" hidden="false" customHeight="false" outlineLevel="0" collapsed="false">
      <c r="BJ511" s="57"/>
    </row>
    <row r="512" customFormat="false" ht="15" hidden="false" customHeight="false" outlineLevel="0" collapsed="false">
      <c r="G512" s="131" t="s">
        <v>210</v>
      </c>
      <c r="BJ512" s="57"/>
    </row>
    <row r="513" customFormat="false" ht="24.75" hidden="false" customHeight="true" outlineLevel="0" collapsed="false">
      <c r="G513" s="66" t="s">
        <v>211</v>
      </c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BJ513" s="57"/>
    </row>
    <row r="514" customFormat="false" ht="24.75" hidden="false" customHeight="true" outlineLevel="0" collapsed="false"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BJ514" s="57"/>
    </row>
    <row r="515" customFormat="false" ht="24.75" hidden="false" customHeight="true" outlineLevel="0" collapsed="false"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BJ515" s="57"/>
    </row>
    <row r="516" customFormat="false" ht="24.75" hidden="false" customHeight="true" outlineLevel="0" collapsed="false"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BJ516" s="57"/>
    </row>
    <row r="517" customFormat="false" ht="22.05" hidden="false" customHeight="false" outlineLevel="0" collapsed="false">
      <c r="G517" s="86" t="str">
        <f aca="false">"Clicks "&amp;$C$3&amp;":"&amp;" "&amp;$C$10&amp;" "&amp;$C$9&amp;" League Score Sheet"</f>
        <v>Clicks Tucson: Get-a-Cue 8-Ball League Score Sheet</v>
      </c>
      <c r="Z517" s="87" t="s">
        <v>214</v>
      </c>
      <c r="BJ517" s="57"/>
    </row>
    <row r="518" customFormat="false" ht="15" hidden="false" customHeight="false" outlineLevel="0" collapsed="false">
      <c r="BJ518" s="57"/>
    </row>
    <row r="519" customFormat="false" ht="24.75" hidden="false" customHeight="true" outlineLevel="0" collapsed="false">
      <c r="G519" s="88" t="n">
        <f aca="true">TODAY()</f>
        <v>46171</v>
      </c>
      <c r="H519" s="88"/>
      <c r="I519" s="89" t="s">
        <v>190</v>
      </c>
      <c r="J519" s="90"/>
      <c r="K519" s="91" t="n">
        <f aca="false">A!$AW$13+1</f>
        <v>7</v>
      </c>
      <c r="L519" s="90" t="s">
        <v>191</v>
      </c>
      <c r="M519" s="90"/>
      <c r="N519" s="92" t="n">
        <f aca="false">$C$4</f>
        <v>335</v>
      </c>
      <c r="S519" s="89" t="s">
        <v>192</v>
      </c>
      <c r="T519" s="90"/>
      <c r="U519" s="90"/>
      <c r="V519" s="90"/>
      <c r="W519" s="89"/>
      <c r="X519" s="90"/>
      <c r="Y519" s="91" t="str">
        <f aca="true">INDEX(INDIRECT("Sched_"&amp;TEXT($C$5,"0")&amp;"_Matches"),1,7)</f>
        <v>13 &amp; 14</v>
      </c>
      <c r="Z519" s="91"/>
      <c r="BJ519" s="57"/>
    </row>
    <row r="520" customFormat="false" ht="24.75" hidden="false" customHeight="true" outlineLevel="0" collapsed="false">
      <c r="BJ520" s="57"/>
    </row>
    <row r="521" customFormat="false" ht="24.75" hidden="false" customHeight="true" outlineLevel="0" collapsed="false">
      <c r="G521" s="93" t="s">
        <v>193</v>
      </c>
      <c r="H521" s="94" t="n">
        <f aca="true">IF($K447&lt;&gt;$C$8,INDEX(INDIRECT(AB687),$K447,7),VLOOKUP(LARGE(A!$BK$5:$BK$24,7),Team_Score,2,FALSE()))</f>
        <v>6</v>
      </c>
      <c r="I521" s="95" t="s">
        <v>194</v>
      </c>
      <c r="J521" s="96" t="str">
        <f aca="true">INDIRECT("Team"&amp;TEXT(H521,"0")&amp;"Name")</f>
        <v>FFFFF&lt;sup&gt;10&lt;/sup&gt;</v>
      </c>
      <c r="K521" s="96"/>
      <c r="L521" s="96"/>
      <c r="M521" s="96"/>
      <c r="N521" s="96"/>
      <c r="O521" s="97" t="s">
        <v>195</v>
      </c>
      <c r="Q521" s="93" t="s">
        <v>196</v>
      </c>
      <c r="R521" s="98"/>
      <c r="S521" s="94" t="n">
        <f aca="true">IF($K447&lt;&gt;$C$8,INDEX(INDIRECT(AB687),$K447,8),VLOOKUP(LARGE(A!$BK$5:$BK$24,8),Team_Score,2,FALSE()))</f>
        <v>12</v>
      </c>
      <c r="T521" s="95" t="s">
        <v>194</v>
      </c>
      <c r="U521" s="96" t="str">
        <f aca="true">INDIRECT("Team"&amp;TEXT(S521,"0")&amp;"Name")</f>
        <v>BYE</v>
      </c>
      <c r="V521" s="96"/>
      <c r="W521" s="96"/>
      <c r="X521" s="96"/>
      <c r="Y521" s="96"/>
      <c r="Z521" s="97" t="s">
        <v>195</v>
      </c>
      <c r="BJ521" s="57"/>
    </row>
    <row r="522" customFormat="false" ht="24.75" hidden="false" customHeight="true" outlineLevel="0" collapsed="false">
      <c r="G522" s="99" t="s">
        <v>197</v>
      </c>
      <c r="H522" s="100" t="s">
        <v>198</v>
      </c>
      <c r="I522" s="101" t="s">
        <v>199</v>
      </c>
      <c r="J522" s="101" t="s">
        <v>200</v>
      </c>
      <c r="K522" s="101" t="s">
        <v>201</v>
      </c>
      <c r="L522" s="101" t="s">
        <v>202</v>
      </c>
      <c r="M522" s="101" t="s">
        <v>203</v>
      </c>
      <c r="N522" s="101" t="s">
        <v>31</v>
      </c>
      <c r="O522" s="102" t="s">
        <v>204</v>
      </c>
      <c r="Q522" s="99" t="s">
        <v>197</v>
      </c>
      <c r="R522" s="103"/>
      <c r="S522" s="100" t="s">
        <v>198</v>
      </c>
      <c r="T522" s="101" t="s">
        <v>199</v>
      </c>
      <c r="U522" s="101" t="s">
        <v>200</v>
      </c>
      <c r="V522" s="101" t="s">
        <v>201</v>
      </c>
      <c r="W522" s="101" t="s">
        <v>202</v>
      </c>
      <c r="X522" s="101" t="s">
        <v>203</v>
      </c>
      <c r="Y522" s="101" t="s">
        <v>31</v>
      </c>
      <c r="Z522" s="102" t="s">
        <v>204</v>
      </c>
      <c r="BJ522" s="57"/>
    </row>
    <row r="523" customFormat="false" ht="24.75" hidden="false" customHeight="true" outlineLevel="0" collapsed="false">
      <c r="G523" s="104" t="str">
        <f aca="true" t="array" ref="G523:G527">IF(ISBLANK(H521),"Empty",INDIRECT("Team"&amp;TEXT(H521,"0")&amp;"Players"))</f>
        <v>RICHARD</v>
      </c>
      <c r="H523" s="105"/>
      <c r="I523" s="106" t="s">
        <v>199</v>
      </c>
      <c r="J523" s="107" t="s">
        <v>200</v>
      </c>
      <c r="K523" s="106" t="s">
        <v>201</v>
      </c>
      <c r="L523" s="107" t="s">
        <v>202</v>
      </c>
      <c r="M523" s="106" t="s">
        <v>203</v>
      </c>
      <c r="N523" s="109"/>
      <c r="O523" s="5"/>
      <c r="Q523" s="110" t="n">
        <v>1</v>
      </c>
      <c r="R523" s="111" t="n">
        <f aca="true" t="array" ref="R523:R527">IF(ISBLANK(S521),"Empty",INDIRECT("Team"&amp;TEXT(S521,"0")&amp;"Players"))</f>
        <v>1</v>
      </c>
      <c r="S523" s="44"/>
      <c r="T523" s="112"/>
      <c r="U523" s="113"/>
      <c r="V523" s="112"/>
      <c r="W523" s="113"/>
      <c r="X523" s="112"/>
      <c r="Y523" s="109"/>
      <c r="Z523" s="5"/>
      <c r="BJ523" s="57"/>
    </row>
    <row r="524" customFormat="false" ht="24.75" hidden="false" customHeight="true" outlineLevel="0" collapsed="false">
      <c r="G524" s="114" t="str">
        <v>JUSTIN</v>
      </c>
      <c r="H524" s="5"/>
      <c r="I524" s="106" t="s">
        <v>200</v>
      </c>
      <c r="J524" s="107" t="s">
        <v>201</v>
      </c>
      <c r="K524" s="106" t="s">
        <v>202</v>
      </c>
      <c r="L524" s="107" t="s">
        <v>203</v>
      </c>
      <c r="M524" s="106" t="s">
        <v>199</v>
      </c>
      <c r="N524" s="115"/>
      <c r="O524" s="5"/>
      <c r="Q524" s="116" t="n">
        <v>2</v>
      </c>
      <c r="R524" s="117" t="n">
        <v>2</v>
      </c>
      <c r="S524" s="44"/>
      <c r="T524" s="112"/>
      <c r="U524" s="113"/>
      <c r="V524" s="112"/>
      <c r="W524" s="113"/>
      <c r="X524" s="112"/>
      <c r="Y524" s="115"/>
      <c r="Z524" s="5"/>
      <c r="BJ524" s="57"/>
    </row>
    <row r="525" customFormat="false" ht="24.75" hidden="false" customHeight="true" outlineLevel="0" collapsed="false">
      <c r="G525" s="114" t="str">
        <v>SANDY</v>
      </c>
      <c r="H525" s="5"/>
      <c r="I525" s="106" t="s">
        <v>201</v>
      </c>
      <c r="J525" s="107" t="s">
        <v>202</v>
      </c>
      <c r="K525" s="106" t="s">
        <v>203</v>
      </c>
      <c r="L525" s="107" t="s">
        <v>199</v>
      </c>
      <c r="M525" s="106" t="s">
        <v>200</v>
      </c>
      <c r="N525" s="115"/>
      <c r="O525" s="5"/>
      <c r="Q525" s="116" t="n">
        <v>3</v>
      </c>
      <c r="R525" s="117" t="n">
        <v>3</v>
      </c>
      <c r="S525" s="44"/>
      <c r="T525" s="112"/>
      <c r="U525" s="113"/>
      <c r="V525" s="112"/>
      <c r="W525" s="113"/>
      <c r="X525" s="112"/>
      <c r="Y525" s="115"/>
      <c r="Z525" s="5"/>
      <c r="BJ525" s="57"/>
    </row>
    <row r="526" customFormat="false" ht="24.75" hidden="false" customHeight="true" outlineLevel="0" collapsed="false">
      <c r="G526" s="114" t="str">
        <v>DENNIS</v>
      </c>
      <c r="H526" s="5"/>
      <c r="I526" s="106" t="s">
        <v>202</v>
      </c>
      <c r="J526" s="107" t="s">
        <v>203</v>
      </c>
      <c r="K526" s="106" t="s">
        <v>199</v>
      </c>
      <c r="L526" s="107" t="s">
        <v>200</v>
      </c>
      <c r="M526" s="106" t="s">
        <v>201</v>
      </c>
      <c r="N526" s="115"/>
      <c r="O526" s="5"/>
      <c r="Q526" s="116" t="n">
        <v>4</v>
      </c>
      <c r="R526" s="117" t="n">
        <v>4</v>
      </c>
      <c r="S526" s="44"/>
      <c r="T526" s="112"/>
      <c r="U526" s="113"/>
      <c r="V526" s="112"/>
      <c r="W526" s="113"/>
      <c r="X526" s="112"/>
      <c r="Y526" s="115"/>
      <c r="Z526" s="5"/>
      <c r="BJ526" s="57"/>
    </row>
    <row r="527" customFormat="false" ht="24.75" hidden="false" customHeight="true" outlineLevel="0" collapsed="false">
      <c r="G527" s="114" t="str">
        <v>VE</v>
      </c>
      <c r="H527" s="118"/>
      <c r="I527" s="106" t="s">
        <v>203</v>
      </c>
      <c r="J527" s="107" t="s">
        <v>199</v>
      </c>
      <c r="K527" s="106" t="s">
        <v>200</v>
      </c>
      <c r="L527" s="107" t="s">
        <v>201</v>
      </c>
      <c r="M527" s="106" t="s">
        <v>202</v>
      </c>
      <c r="N527" s="119"/>
      <c r="O527" s="5"/>
      <c r="Q527" s="116" t="n">
        <v>5</v>
      </c>
      <c r="R527" s="120" t="n">
        <v>5</v>
      </c>
      <c r="S527" s="121"/>
      <c r="T527" s="112"/>
      <c r="U527" s="113"/>
      <c r="V527" s="112"/>
      <c r="W527" s="113"/>
      <c r="X527" s="112"/>
      <c r="Y527" s="119"/>
      <c r="Z527" s="5"/>
      <c r="BJ527" s="57"/>
    </row>
    <row r="528" customFormat="false" ht="24.75" hidden="false" customHeight="true" outlineLevel="0" collapsed="false">
      <c r="H528" s="122" t="s">
        <v>60</v>
      </c>
      <c r="I528" s="123"/>
      <c r="J528" s="123"/>
      <c r="K528" s="123"/>
      <c r="L528" s="123"/>
      <c r="M528" s="123"/>
      <c r="N528" s="118"/>
      <c r="O528" s="118"/>
      <c r="S528" s="122" t="s">
        <v>60</v>
      </c>
      <c r="T528" s="123"/>
      <c r="U528" s="123"/>
      <c r="V528" s="123"/>
      <c r="W528" s="123"/>
      <c r="X528" s="123"/>
      <c r="Y528" s="118"/>
      <c r="Z528" s="118"/>
      <c r="BJ528" s="57"/>
    </row>
    <row r="529" customFormat="false" ht="24.75" hidden="false" customHeight="true" outlineLevel="0" collapsed="false">
      <c r="H529" s="122" t="s">
        <v>205</v>
      </c>
      <c r="I529" s="5" t="n">
        <f aca="false">INT(N529/5)</f>
        <v>0</v>
      </c>
      <c r="J529" s="5" t="n">
        <f aca="false">INT(N529/5)</f>
        <v>0</v>
      </c>
      <c r="K529" s="5" t="n">
        <f aca="false">INT(N529/5)</f>
        <v>0</v>
      </c>
      <c r="L529" s="5" t="n">
        <f aca="false">INT(N529/5)</f>
        <v>0</v>
      </c>
      <c r="M529" s="5" t="n">
        <f aca="false">MOD(N529,5)+INT(N529/5)</f>
        <v>0</v>
      </c>
      <c r="N529" s="5" t="n">
        <f aca="true">IF(INDIRECT("Team"&amp;TEXT(H521,"0")&amp;"Average")&gt;INDIRECT("Team"&amp;TEXT(S521,"0")&amp;"Average"),0,C13*(INDIRECT("Team"&amp;TEXT(S521,"0")&amp;"Average")-INDIRECT("Team"&amp;TEXT(H521,"0")&amp;"Average")))</f>
        <v>0</v>
      </c>
      <c r="O529" s="118"/>
      <c r="S529" s="122" t="s">
        <v>205</v>
      </c>
      <c r="T529" s="5" t="n">
        <f aca="false">INT(Y529/5)</f>
        <v>32</v>
      </c>
      <c r="U529" s="5" t="n">
        <f aca="false">INT(Y529/5)</f>
        <v>32</v>
      </c>
      <c r="V529" s="5" t="n">
        <f aca="false">INT(Y529/5)</f>
        <v>32</v>
      </c>
      <c r="W529" s="5" t="n">
        <f aca="false">INT(Y529/5)</f>
        <v>32</v>
      </c>
      <c r="X529" s="5" t="n">
        <f aca="false">MOD(Y529,5)+INT(Y529/5)</f>
        <v>34.15</v>
      </c>
      <c r="Y529" s="5" t="n">
        <f aca="true">IF(INDIRECT("Team"&amp;TEXT(S521,"0")&amp;"Average")&gt;INDIRECT("Team"&amp;TEXT(H521,"0")&amp;"Average"),0,C13*(INDIRECT("Team"&amp;TEXT(H521,"0")&amp;"Average")-INDIRECT("Team"&amp;TEXT(S521,"0")&amp;"Average")))</f>
        <v>162.15</v>
      </c>
      <c r="Z529" s="118"/>
      <c r="BJ529" s="57"/>
    </row>
    <row r="530" customFormat="false" ht="24.75" hidden="false" customHeight="true" outlineLevel="0" collapsed="false">
      <c r="H530" s="122" t="s">
        <v>31</v>
      </c>
      <c r="I530" s="123"/>
      <c r="J530" s="123"/>
      <c r="K530" s="123"/>
      <c r="L530" s="123"/>
      <c r="M530" s="124"/>
      <c r="N530" s="125"/>
      <c r="O530" s="118"/>
      <c r="S530" s="122" t="s">
        <v>31</v>
      </c>
      <c r="T530" s="123"/>
      <c r="U530" s="123"/>
      <c r="V530" s="123"/>
      <c r="W530" s="123"/>
      <c r="X530" s="124"/>
      <c r="Y530" s="125"/>
      <c r="Z530" s="118"/>
      <c r="BJ530" s="57"/>
    </row>
    <row r="531" customFormat="false" ht="15" hidden="false" customHeight="false" outlineLevel="0" collapsed="false">
      <c r="G531" s="127"/>
      <c r="BJ531" s="57"/>
    </row>
    <row r="532" customFormat="false" ht="9.75" hidden="false" customHeight="true" outlineLevel="0" collapsed="false">
      <c r="I532" s="128" t="s">
        <v>206</v>
      </c>
      <c r="J532" s="44"/>
      <c r="K532" s="128" t="s">
        <v>31</v>
      </c>
      <c r="L532" s="44"/>
      <c r="T532" s="128" t="s">
        <v>207</v>
      </c>
      <c r="U532" s="44"/>
      <c r="V532" s="128" t="s">
        <v>31</v>
      </c>
      <c r="W532" s="44"/>
      <c r="BJ532" s="57"/>
    </row>
    <row r="533" customFormat="false" ht="9.75" hidden="false" customHeight="true" outlineLevel="0" collapsed="false">
      <c r="I533" s="129" t="s">
        <v>208</v>
      </c>
      <c r="J533" s="130"/>
      <c r="K533" s="129" t="s">
        <v>209</v>
      </c>
      <c r="L533" s="130"/>
      <c r="T533" s="129" t="s">
        <v>208</v>
      </c>
      <c r="U533" s="130"/>
      <c r="V533" s="129" t="s">
        <v>209</v>
      </c>
      <c r="W533" s="130"/>
      <c r="BJ533" s="57"/>
    </row>
    <row r="534" customFormat="false" ht="15" hidden="false" customHeight="false" outlineLevel="0" collapsed="false">
      <c r="BJ534" s="57"/>
    </row>
    <row r="535" customFormat="false" ht="15" hidden="false" customHeight="false" outlineLevel="0" collapsed="false">
      <c r="BJ535" s="57"/>
    </row>
    <row r="536" customFormat="false" ht="15" hidden="false" customHeight="false" outlineLevel="0" collapsed="false">
      <c r="G536" s="131" t="s">
        <v>210</v>
      </c>
      <c r="BJ536" s="57"/>
    </row>
    <row r="537" customFormat="false" ht="24.75" hidden="false" customHeight="true" outlineLevel="0" collapsed="false">
      <c r="G537" s="66" t="s">
        <v>211</v>
      </c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BJ537" s="57"/>
    </row>
    <row r="538" customFormat="false" ht="24.75" hidden="false" customHeight="true" outlineLevel="0" collapsed="false"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BJ538" s="57"/>
    </row>
    <row r="539" customFormat="false" ht="24.75" hidden="false" customHeight="true" outlineLevel="0" collapsed="false"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BJ539" s="57"/>
    </row>
    <row r="540" customFormat="false" ht="24.75" hidden="false" customHeight="true" outlineLevel="0" collapsed="false"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BJ540" s="57"/>
    </row>
    <row r="541" customFormat="false" ht="22.05" hidden="false" customHeight="false" outlineLevel="0" collapsed="false">
      <c r="G541" s="86" t="str">
        <f aca="false">"Clicks "&amp;$C$3&amp;":"&amp;" "&amp;$C$10&amp;" "&amp;$C$9&amp;" League Score Sheet"</f>
        <v>Clicks Tucson: Get-a-Cue 8-Ball League Score Sheet</v>
      </c>
      <c r="Z541" s="87" t="s">
        <v>215</v>
      </c>
      <c r="BJ541" s="57"/>
    </row>
    <row r="542" customFormat="false" ht="15" hidden="false" customHeight="false" outlineLevel="0" collapsed="false">
      <c r="BJ542" s="57"/>
    </row>
    <row r="543" customFormat="false" ht="24.75" hidden="false" customHeight="true" outlineLevel="0" collapsed="false">
      <c r="G543" s="88" t="n">
        <f aca="true">TODAY()</f>
        <v>46171</v>
      </c>
      <c r="H543" s="88"/>
      <c r="I543" s="89" t="s">
        <v>190</v>
      </c>
      <c r="J543" s="90"/>
      <c r="K543" s="91" t="n">
        <f aca="false">A!$AW$13+1</f>
        <v>7</v>
      </c>
      <c r="L543" s="90" t="s">
        <v>191</v>
      </c>
      <c r="M543" s="90"/>
      <c r="N543" s="92" t="n">
        <f aca="false">$C$4</f>
        <v>335</v>
      </c>
      <c r="S543" s="89" t="s">
        <v>192</v>
      </c>
      <c r="T543" s="90"/>
      <c r="U543" s="90"/>
      <c r="V543" s="90"/>
      <c r="W543" s="89"/>
      <c r="X543" s="90"/>
      <c r="Y543" s="91" t="str">
        <f aca="true">INDEX(INDIRECT("Sched_"&amp;TEXT($C$5,"0")&amp;"_Matches"),1,9)</f>
        <v>6 &amp; 15</v>
      </c>
      <c r="Z543" s="91"/>
      <c r="BJ543" s="57"/>
    </row>
    <row r="544" customFormat="false" ht="24.75" hidden="false" customHeight="true" outlineLevel="0" collapsed="false">
      <c r="BJ544" s="57"/>
    </row>
    <row r="545" customFormat="false" ht="24.75" hidden="false" customHeight="true" outlineLevel="0" collapsed="false">
      <c r="G545" s="93" t="s">
        <v>193</v>
      </c>
      <c r="H545" s="94" t="n">
        <f aca="true">IF($K447&lt;&gt;$C$8,INDEX(INDIRECT(AB687),$K447,9),VLOOKUP(LARGE(A!$BK$5:$BK$24,9),Team_Score,2,FALSE()))</f>
        <v>5</v>
      </c>
      <c r="I545" s="95" t="s">
        <v>194</v>
      </c>
      <c r="J545" s="96" t="str">
        <f aca="true">INDIRECT("Team"&amp;TEXT(H545,"0")&amp;"Name")</f>
        <v>HABOOBS</v>
      </c>
      <c r="K545" s="96"/>
      <c r="L545" s="96"/>
      <c r="M545" s="96"/>
      <c r="N545" s="96"/>
      <c r="O545" s="97" t="s">
        <v>195</v>
      </c>
      <c r="Q545" s="93" t="s">
        <v>196</v>
      </c>
      <c r="R545" s="98"/>
      <c r="S545" s="94" t="n">
        <f aca="true">IF($K447&lt;&gt;$C$8,INDEX(INDIRECT(AB687),$K447,10),VLOOKUP(LARGE(A!$BK$5:$BK$24,10),Team_Score,2,FALSE()))</f>
        <v>2</v>
      </c>
      <c r="T545" s="95" t="s">
        <v>194</v>
      </c>
      <c r="U545" s="96" t="str">
        <f aca="true">INDIRECT("Team"&amp;TEXT(S545,"0")&amp;"Name")</f>
        <v>VLADIMIR POOLIN</v>
      </c>
      <c r="V545" s="96"/>
      <c r="W545" s="96"/>
      <c r="X545" s="96"/>
      <c r="Y545" s="96"/>
      <c r="Z545" s="97" t="s">
        <v>195</v>
      </c>
      <c r="BJ545" s="57"/>
    </row>
    <row r="546" customFormat="false" ht="24.75" hidden="false" customHeight="true" outlineLevel="0" collapsed="false">
      <c r="G546" s="99" t="s">
        <v>197</v>
      </c>
      <c r="H546" s="100" t="s">
        <v>198</v>
      </c>
      <c r="I546" s="101" t="s">
        <v>199</v>
      </c>
      <c r="J546" s="101" t="s">
        <v>200</v>
      </c>
      <c r="K546" s="101" t="s">
        <v>201</v>
      </c>
      <c r="L546" s="101" t="s">
        <v>202</v>
      </c>
      <c r="M546" s="101" t="s">
        <v>203</v>
      </c>
      <c r="N546" s="101" t="s">
        <v>31</v>
      </c>
      <c r="O546" s="102" t="s">
        <v>204</v>
      </c>
      <c r="Q546" s="99" t="s">
        <v>197</v>
      </c>
      <c r="R546" s="103"/>
      <c r="S546" s="100" t="s">
        <v>198</v>
      </c>
      <c r="T546" s="101" t="s">
        <v>199</v>
      </c>
      <c r="U546" s="101" t="s">
        <v>200</v>
      </c>
      <c r="V546" s="101" t="s">
        <v>201</v>
      </c>
      <c r="W546" s="101" t="s">
        <v>202</v>
      </c>
      <c r="X546" s="101" t="s">
        <v>203</v>
      </c>
      <c r="Y546" s="101" t="s">
        <v>31</v>
      </c>
      <c r="Z546" s="102" t="s">
        <v>204</v>
      </c>
      <c r="BJ546" s="57"/>
    </row>
    <row r="547" customFormat="false" ht="24.75" hidden="false" customHeight="true" outlineLevel="0" collapsed="false">
      <c r="G547" s="104" t="str">
        <f aca="true" t="array" ref="G547:G551">IF(ISBLANK(H545),"Empty",INDIRECT("Team"&amp;TEXT(H545,"0")&amp;"Players"))</f>
        <v>MIKE</v>
      </c>
      <c r="H547" s="105"/>
      <c r="I547" s="106" t="s">
        <v>199</v>
      </c>
      <c r="J547" s="107" t="s">
        <v>200</v>
      </c>
      <c r="K547" s="106" t="s">
        <v>201</v>
      </c>
      <c r="L547" s="107" t="s">
        <v>202</v>
      </c>
      <c r="M547" s="106" t="s">
        <v>203</v>
      </c>
      <c r="N547" s="109"/>
      <c r="O547" s="5"/>
      <c r="Q547" s="110" t="n">
        <v>1</v>
      </c>
      <c r="R547" s="111" t="str">
        <f aca="true" t="array" ref="R547:R551">IF(ISBLANK(S545),"Empty",INDIRECT("Team"&amp;TEXT(S545,"0")&amp;"Players"))</f>
        <v>LEIGH</v>
      </c>
      <c r="S547" s="44"/>
      <c r="T547" s="112"/>
      <c r="U547" s="113"/>
      <c r="V547" s="112"/>
      <c r="W547" s="113"/>
      <c r="X547" s="112"/>
      <c r="Y547" s="109"/>
      <c r="Z547" s="5"/>
      <c r="BJ547" s="57"/>
    </row>
    <row r="548" customFormat="false" ht="24.75" hidden="false" customHeight="true" outlineLevel="0" collapsed="false">
      <c r="G548" s="114" t="str">
        <v>OLGA</v>
      </c>
      <c r="H548" s="5"/>
      <c r="I548" s="106" t="s">
        <v>200</v>
      </c>
      <c r="J548" s="107" t="s">
        <v>201</v>
      </c>
      <c r="K548" s="106" t="s">
        <v>202</v>
      </c>
      <c r="L548" s="107" t="s">
        <v>203</v>
      </c>
      <c r="M548" s="106" t="s">
        <v>199</v>
      </c>
      <c r="N548" s="115"/>
      <c r="O548" s="5"/>
      <c r="Q548" s="116" t="n">
        <v>2</v>
      </c>
      <c r="R548" s="117" t="str">
        <v>IAN</v>
      </c>
      <c r="S548" s="44"/>
      <c r="T548" s="112"/>
      <c r="U548" s="113"/>
      <c r="V548" s="112"/>
      <c r="W548" s="113"/>
      <c r="X548" s="112"/>
      <c r="Y548" s="115"/>
      <c r="Z548" s="5"/>
      <c r="BJ548" s="57"/>
    </row>
    <row r="549" customFormat="false" ht="24.75" hidden="false" customHeight="true" outlineLevel="0" collapsed="false">
      <c r="G549" s="114" t="str">
        <v>DAN</v>
      </c>
      <c r="H549" s="5"/>
      <c r="I549" s="106" t="s">
        <v>201</v>
      </c>
      <c r="J549" s="107" t="s">
        <v>202</v>
      </c>
      <c r="K549" s="106" t="s">
        <v>203</v>
      </c>
      <c r="L549" s="107" t="s">
        <v>199</v>
      </c>
      <c r="M549" s="106" t="s">
        <v>200</v>
      </c>
      <c r="N549" s="115"/>
      <c r="O549" s="5"/>
      <c r="Q549" s="116" t="n">
        <v>3</v>
      </c>
      <c r="R549" s="117" t="str">
        <v>ELI</v>
      </c>
      <c r="S549" s="44"/>
      <c r="T549" s="112"/>
      <c r="U549" s="113"/>
      <c r="V549" s="112"/>
      <c r="W549" s="113"/>
      <c r="X549" s="112"/>
      <c r="Y549" s="115"/>
      <c r="Z549" s="5"/>
      <c r="BJ549" s="57"/>
    </row>
    <row r="550" customFormat="false" ht="24.75" hidden="false" customHeight="true" outlineLevel="0" collapsed="false">
      <c r="G550" s="114" t="str">
        <v>MIKE MO</v>
      </c>
      <c r="H550" s="5"/>
      <c r="I550" s="106" t="s">
        <v>202</v>
      </c>
      <c r="J550" s="107" t="s">
        <v>203</v>
      </c>
      <c r="K550" s="106" t="s">
        <v>199</v>
      </c>
      <c r="L550" s="107" t="s">
        <v>200</v>
      </c>
      <c r="M550" s="106" t="s">
        <v>201</v>
      </c>
      <c r="N550" s="115"/>
      <c r="O550" s="5"/>
      <c r="Q550" s="116" t="n">
        <v>4</v>
      </c>
      <c r="R550" s="117" t="str">
        <v>ROWAN</v>
      </c>
      <c r="S550" s="44"/>
      <c r="T550" s="112"/>
      <c r="U550" s="113"/>
      <c r="V550" s="112"/>
      <c r="W550" s="113"/>
      <c r="X550" s="112"/>
      <c r="Y550" s="115"/>
      <c r="Z550" s="5"/>
      <c r="BJ550" s="57"/>
    </row>
    <row r="551" customFormat="false" ht="24.75" hidden="false" customHeight="true" outlineLevel="0" collapsed="false">
      <c r="G551" s="114" t="str">
        <v>VICKIE</v>
      </c>
      <c r="H551" s="118"/>
      <c r="I551" s="106" t="s">
        <v>203</v>
      </c>
      <c r="J551" s="107" t="s">
        <v>199</v>
      </c>
      <c r="K551" s="106" t="s">
        <v>200</v>
      </c>
      <c r="L551" s="107" t="s">
        <v>201</v>
      </c>
      <c r="M551" s="106" t="s">
        <v>202</v>
      </c>
      <c r="N551" s="119"/>
      <c r="O551" s="5"/>
      <c r="Q551" s="116" t="n">
        <v>5</v>
      </c>
      <c r="R551" s="120" t="str">
        <v>JAMES</v>
      </c>
      <c r="S551" s="121"/>
      <c r="T551" s="112"/>
      <c r="U551" s="113"/>
      <c r="V551" s="112"/>
      <c r="W551" s="113"/>
      <c r="X551" s="112"/>
      <c r="Y551" s="119"/>
      <c r="Z551" s="5"/>
      <c r="BJ551" s="57"/>
    </row>
    <row r="552" customFormat="false" ht="24.75" hidden="false" customHeight="true" outlineLevel="0" collapsed="false">
      <c r="H552" s="122" t="s">
        <v>60</v>
      </c>
      <c r="I552" s="123"/>
      <c r="J552" s="123"/>
      <c r="K552" s="123"/>
      <c r="L552" s="123"/>
      <c r="M552" s="123"/>
      <c r="N552" s="118"/>
      <c r="O552" s="118"/>
      <c r="S552" s="122" t="s">
        <v>60</v>
      </c>
      <c r="T552" s="123"/>
      <c r="U552" s="123"/>
      <c r="V552" s="123"/>
      <c r="W552" s="123"/>
      <c r="X552" s="123"/>
      <c r="Y552" s="118"/>
      <c r="Z552" s="118"/>
      <c r="BJ552" s="57"/>
    </row>
    <row r="553" customFormat="false" ht="24.75" hidden="false" customHeight="true" outlineLevel="0" collapsed="false">
      <c r="H553" s="122" t="s">
        <v>205</v>
      </c>
      <c r="I553" s="5" t="n">
        <f aca="false">INT(N553/5)</f>
        <v>0</v>
      </c>
      <c r="J553" s="5" t="n">
        <f aca="false">INT(N553/5)</f>
        <v>0</v>
      </c>
      <c r="K553" s="5" t="n">
        <f aca="false">INT(N553/5)</f>
        <v>0</v>
      </c>
      <c r="L553" s="5" t="n">
        <f aca="false">INT(N553/5)</f>
        <v>0</v>
      </c>
      <c r="M553" s="5" t="n">
        <f aca="false">MOD(N553,5)+INT(N553/5)</f>
        <v>0</v>
      </c>
      <c r="N553" s="5" t="n">
        <f aca="true">IF(INDIRECT("Team"&amp;TEXT(H545,"0")&amp;"Average")&gt;INDIRECT("Team"&amp;TEXT(S545,"0")&amp;"Average"),0,C13*(INDIRECT("Team"&amp;TEXT(S545,"0")&amp;"Average")-INDIRECT("Team"&amp;TEXT(H545,"0")&amp;"Average")))</f>
        <v>0</v>
      </c>
      <c r="O553" s="118"/>
      <c r="S553" s="122" t="s">
        <v>205</v>
      </c>
      <c r="T553" s="5" t="n">
        <f aca="false">INT(Y553/5)</f>
        <v>3</v>
      </c>
      <c r="U553" s="5" t="n">
        <f aca="false">INT(Y553/5)</f>
        <v>3</v>
      </c>
      <c r="V553" s="5" t="n">
        <f aca="false">INT(Y553/5)</f>
        <v>3</v>
      </c>
      <c r="W553" s="5" t="n">
        <f aca="false">INT(Y553/5)</f>
        <v>3</v>
      </c>
      <c r="X553" s="5" t="n">
        <f aca="false">MOD(Y553,5)+INT(Y553/5)</f>
        <v>4.65</v>
      </c>
      <c r="Y553" s="5" t="n">
        <f aca="true">IF(INDIRECT("Team"&amp;TEXT(S545,"0")&amp;"Average")&gt;INDIRECT("Team"&amp;TEXT(H545,"0")&amp;"Average"),0,C13*(INDIRECT("Team"&amp;TEXT(H545,"0")&amp;"Average")-INDIRECT("Team"&amp;TEXT(S545,"0")&amp;"Average")))</f>
        <v>16.65</v>
      </c>
      <c r="Z553" s="118"/>
      <c r="BJ553" s="57"/>
    </row>
    <row r="554" customFormat="false" ht="24.75" hidden="false" customHeight="true" outlineLevel="0" collapsed="false">
      <c r="H554" s="122" t="s">
        <v>31</v>
      </c>
      <c r="I554" s="123"/>
      <c r="J554" s="123"/>
      <c r="K554" s="123"/>
      <c r="L554" s="123"/>
      <c r="M554" s="124"/>
      <c r="N554" s="125"/>
      <c r="O554" s="118"/>
      <c r="S554" s="122" t="s">
        <v>31</v>
      </c>
      <c r="T554" s="123"/>
      <c r="U554" s="123"/>
      <c r="V554" s="123"/>
      <c r="W554" s="123"/>
      <c r="X554" s="124"/>
      <c r="Y554" s="125"/>
      <c r="Z554" s="118"/>
      <c r="BJ554" s="57"/>
    </row>
    <row r="555" customFormat="false" ht="15" hidden="false" customHeight="false" outlineLevel="0" collapsed="false">
      <c r="G555" s="127"/>
      <c r="BJ555" s="57"/>
    </row>
    <row r="556" customFormat="false" ht="9.75" hidden="false" customHeight="true" outlineLevel="0" collapsed="false">
      <c r="I556" s="128" t="s">
        <v>206</v>
      </c>
      <c r="J556" s="44"/>
      <c r="K556" s="128" t="s">
        <v>31</v>
      </c>
      <c r="L556" s="44"/>
      <c r="T556" s="128" t="s">
        <v>207</v>
      </c>
      <c r="U556" s="44"/>
      <c r="V556" s="128" t="s">
        <v>31</v>
      </c>
      <c r="W556" s="44"/>
      <c r="BJ556" s="57"/>
    </row>
    <row r="557" customFormat="false" ht="9.75" hidden="false" customHeight="true" outlineLevel="0" collapsed="false">
      <c r="I557" s="129" t="s">
        <v>208</v>
      </c>
      <c r="J557" s="130"/>
      <c r="K557" s="129" t="s">
        <v>209</v>
      </c>
      <c r="L557" s="130"/>
      <c r="T557" s="129" t="s">
        <v>208</v>
      </c>
      <c r="U557" s="130"/>
      <c r="V557" s="129" t="s">
        <v>209</v>
      </c>
      <c r="W557" s="130"/>
      <c r="BJ557" s="57"/>
    </row>
    <row r="558" customFormat="false" ht="15" hidden="false" customHeight="false" outlineLevel="0" collapsed="false">
      <c r="BJ558" s="57"/>
    </row>
    <row r="559" customFormat="false" ht="15" hidden="false" customHeight="false" outlineLevel="0" collapsed="false">
      <c r="BJ559" s="57"/>
    </row>
    <row r="560" customFormat="false" ht="15" hidden="false" customHeight="false" outlineLevel="0" collapsed="false">
      <c r="G560" s="131" t="s">
        <v>210</v>
      </c>
      <c r="BJ560" s="57"/>
    </row>
    <row r="561" customFormat="false" ht="24.75" hidden="false" customHeight="true" outlineLevel="0" collapsed="false">
      <c r="G561" s="66" t="s">
        <v>211</v>
      </c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BJ561" s="57"/>
    </row>
    <row r="562" customFormat="false" ht="24.75" hidden="false" customHeight="true" outlineLevel="0" collapsed="false"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BJ562" s="57"/>
    </row>
    <row r="563" customFormat="false" ht="24.75" hidden="false" customHeight="true" outlineLevel="0" collapsed="false"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BJ563" s="57"/>
    </row>
    <row r="564" customFormat="false" ht="24.75" hidden="false" customHeight="true" outlineLevel="0" collapsed="false"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BJ564" s="57"/>
    </row>
    <row r="565" customFormat="false" ht="22.05" hidden="false" customHeight="false" outlineLevel="0" collapsed="false">
      <c r="G565" s="86" t="str">
        <f aca="false">"Clicks "&amp;$C$3&amp;":"&amp;" "&amp;$C$10&amp;" "&amp;$C$9&amp;" League Score Sheet"</f>
        <v>Clicks Tucson: Get-a-Cue 8-Ball League Score Sheet</v>
      </c>
      <c r="Z565" s="87" t="s">
        <v>216</v>
      </c>
      <c r="BJ565" s="57"/>
    </row>
    <row r="566" customFormat="false" ht="15" hidden="false" customHeight="false" outlineLevel="0" collapsed="false">
      <c r="BJ566" s="57"/>
    </row>
    <row r="567" customFormat="false" ht="24.75" hidden="false" customHeight="true" outlineLevel="0" collapsed="false">
      <c r="G567" s="88" t="n">
        <f aca="true">TODAY()</f>
        <v>46171</v>
      </c>
      <c r="H567" s="88"/>
      <c r="I567" s="89" t="s">
        <v>190</v>
      </c>
      <c r="J567" s="90"/>
      <c r="K567" s="91" t="n">
        <f aca="false">A!$AW$13+1</f>
        <v>7</v>
      </c>
      <c r="L567" s="90" t="s">
        <v>191</v>
      </c>
      <c r="M567" s="90"/>
      <c r="N567" s="92" t="n">
        <f aca="false">$C$4</f>
        <v>335</v>
      </c>
      <c r="S567" s="89" t="s">
        <v>192</v>
      </c>
      <c r="T567" s="90"/>
      <c r="U567" s="90"/>
      <c r="V567" s="90"/>
      <c r="W567" s="89"/>
      <c r="X567" s="90"/>
      <c r="Y567" s="91" t="str">
        <f aca="true">INDEX(INDIRECT("Sched_"&amp;TEXT($C$5,"0")&amp;"_Matches"),1,11)</f>
        <v>TBD</v>
      </c>
      <c r="Z567" s="91"/>
      <c r="BJ567" s="57"/>
    </row>
    <row r="568" customFormat="false" ht="24.75" hidden="false" customHeight="true" outlineLevel="0" collapsed="false">
      <c r="BJ568" s="57"/>
    </row>
    <row r="569" customFormat="false" ht="24.75" hidden="false" customHeight="true" outlineLevel="0" collapsed="false">
      <c r="G569" s="93" t="s">
        <v>193</v>
      </c>
      <c r="H569" s="94" t="n">
        <f aca="true">IF($K447&lt;&gt;$C$8,INDEX(INDIRECT(AB687),$K447,11),VLOOKUP(LARGE(A!$BK$5:$BK$24,11),Team_Score,2,FALSE()))</f>
        <v>4</v>
      </c>
      <c r="I569" s="95" t="s">
        <v>194</v>
      </c>
      <c r="J569" s="96" t="str">
        <f aca="true">INDIRECT("Team"&amp;TEXT(H569,"0")&amp;"Name")</f>
        <v>PKT CHANGE</v>
      </c>
      <c r="K569" s="96"/>
      <c r="L569" s="96"/>
      <c r="M569" s="96"/>
      <c r="N569" s="96"/>
      <c r="O569" s="97" t="s">
        <v>195</v>
      </c>
      <c r="Q569" s="93" t="s">
        <v>196</v>
      </c>
      <c r="R569" s="98"/>
      <c r="S569" s="94" t="n">
        <f aca="true">IF($K447&lt;&gt;$C$8,INDEX(INDIRECT(AB687),$K447,12),VLOOKUP(LARGE(A!$BK$5:$BK$24,12),Team_Score,2,FALSE()))</f>
        <v>8</v>
      </c>
      <c r="T569" s="95" t="s">
        <v>194</v>
      </c>
      <c r="U569" s="96" t="str">
        <f aca="true">INDIRECT("Team"&amp;TEXT(S569,"0")&amp;"Name")</f>
        <v>THE BOYS</v>
      </c>
      <c r="V569" s="96"/>
      <c r="W569" s="96"/>
      <c r="X569" s="96"/>
      <c r="Y569" s="96"/>
      <c r="Z569" s="97" t="s">
        <v>195</v>
      </c>
      <c r="BJ569" s="57"/>
    </row>
    <row r="570" customFormat="false" ht="24.75" hidden="false" customHeight="true" outlineLevel="0" collapsed="false">
      <c r="G570" s="99" t="s">
        <v>197</v>
      </c>
      <c r="H570" s="100" t="s">
        <v>198</v>
      </c>
      <c r="I570" s="101" t="s">
        <v>199</v>
      </c>
      <c r="J570" s="101" t="s">
        <v>200</v>
      </c>
      <c r="K570" s="101" t="s">
        <v>201</v>
      </c>
      <c r="L570" s="101" t="s">
        <v>202</v>
      </c>
      <c r="M570" s="101" t="s">
        <v>203</v>
      </c>
      <c r="N570" s="101" t="s">
        <v>31</v>
      </c>
      <c r="O570" s="102" t="s">
        <v>204</v>
      </c>
      <c r="Q570" s="99" t="s">
        <v>197</v>
      </c>
      <c r="R570" s="103"/>
      <c r="S570" s="100" t="s">
        <v>198</v>
      </c>
      <c r="T570" s="101" t="s">
        <v>199</v>
      </c>
      <c r="U570" s="101" t="s">
        <v>200</v>
      </c>
      <c r="V570" s="101" t="s">
        <v>201</v>
      </c>
      <c r="W570" s="101" t="s">
        <v>202</v>
      </c>
      <c r="X570" s="101" t="s">
        <v>203</v>
      </c>
      <c r="Y570" s="101" t="s">
        <v>31</v>
      </c>
      <c r="Z570" s="102" t="s">
        <v>204</v>
      </c>
      <c r="BJ570" s="57"/>
    </row>
    <row r="571" customFormat="false" ht="24.75" hidden="false" customHeight="true" outlineLevel="0" collapsed="false">
      <c r="G571" s="104" t="str">
        <f aca="true" t="array" ref="G571:G575">IF(ISBLANK(H569),"Empty",INDIRECT("Team"&amp;TEXT(H569,"0")&amp;"Players"))</f>
        <v>PATRICK</v>
      </c>
      <c r="H571" s="105"/>
      <c r="I571" s="106" t="s">
        <v>199</v>
      </c>
      <c r="J571" s="107" t="s">
        <v>200</v>
      </c>
      <c r="K571" s="106" t="s">
        <v>201</v>
      </c>
      <c r="L571" s="107" t="s">
        <v>202</v>
      </c>
      <c r="M571" s="106" t="s">
        <v>203</v>
      </c>
      <c r="N571" s="109"/>
      <c r="O571" s="5"/>
      <c r="Q571" s="110" t="n">
        <v>1</v>
      </c>
      <c r="R571" s="111" t="str">
        <f aca="true" t="array" ref="R571:R575">IF(ISBLANK(S569),"Empty",INDIRECT("Team"&amp;TEXT(S569,"0")&amp;"Players"))</f>
        <v>JOHN A</v>
      </c>
      <c r="S571" s="44"/>
      <c r="T571" s="112"/>
      <c r="U571" s="113"/>
      <c r="V571" s="112"/>
      <c r="W571" s="113"/>
      <c r="X571" s="112"/>
      <c r="Y571" s="109"/>
      <c r="Z571" s="5"/>
      <c r="BJ571" s="57"/>
    </row>
    <row r="572" customFormat="false" ht="24.75" hidden="false" customHeight="true" outlineLevel="0" collapsed="false">
      <c r="G572" s="114" t="str">
        <v>BRANDY</v>
      </c>
      <c r="H572" s="5"/>
      <c r="I572" s="106" t="s">
        <v>200</v>
      </c>
      <c r="J572" s="107" t="s">
        <v>201</v>
      </c>
      <c r="K572" s="106" t="s">
        <v>202</v>
      </c>
      <c r="L572" s="107" t="s">
        <v>203</v>
      </c>
      <c r="M572" s="106" t="s">
        <v>199</v>
      </c>
      <c r="N572" s="115"/>
      <c r="O572" s="5"/>
      <c r="Q572" s="116" t="n">
        <v>2</v>
      </c>
      <c r="R572" s="117" t="str">
        <v>BOBBY</v>
      </c>
      <c r="S572" s="44"/>
      <c r="T572" s="112"/>
      <c r="U572" s="113"/>
      <c r="V572" s="112"/>
      <c r="W572" s="113"/>
      <c r="X572" s="112"/>
      <c r="Y572" s="115"/>
      <c r="Z572" s="5"/>
      <c r="BJ572" s="57"/>
    </row>
    <row r="573" customFormat="false" ht="24.75" hidden="false" customHeight="true" outlineLevel="0" collapsed="false">
      <c r="G573" s="114" t="str">
        <v>PJ</v>
      </c>
      <c r="H573" s="5"/>
      <c r="I573" s="106" t="s">
        <v>201</v>
      </c>
      <c r="J573" s="107" t="s">
        <v>202</v>
      </c>
      <c r="K573" s="106" t="s">
        <v>203</v>
      </c>
      <c r="L573" s="107" t="s">
        <v>199</v>
      </c>
      <c r="M573" s="106" t="s">
        <v>200</v>
      </c>
      <c r="N573" s="115"/>
      <c r="O573" s="5"/>
      <c r="Q573" s="116" t="n">
        <v>3</v>
      </c>
      <c r="R573" s="117" t="str">
        <v>MIKE</v>
      </c>
      <c r="S573" s="44"/>
      <c r="T573" s="112"/>
      <c r="U573" s="113"/>
      <c r="V573" s="112"/>
      <c r="W573" s="113"/>
      <c r="X573" s="112"/>
      <c r="Y573" s="115"/>
      <c r="Z573" s="5"/>
      <c r="BJ573" s="57"/>
    </row>
    <row r="574" customFormat="false" ht="24.75" hidden="false" customHeight="true" outlineLevel="0" collapsed="false">
      <c r="G574" s="114" t="str">
        <v>CARA</v>
      </c>
      <c r="H574" s="5"/>
      <c r="I574" s="106" t="s">
        <v>202</v>
      </c>
      <c r="J574" s="107" t="s">
        <v>203</v>
      </c>
      <c r="K574" s="106" t="s">
        <v>199</v>
      </c>
      <c r="L574" s="107" t="s">
        <v>200</v>
      </c>
      <c r="M574" s="106" t="s">
        <v>201</v>
      </c>
      <c r="N574" s="115"/>
      <c r="O574" s="5"/>
      <c r="Q574" s="116" t="n">
        <v>4</v>
      </c>
      <c r="R574" s="117" t="str">
        <v>ROGER</v>
      </c>
      <c r="S574" s="44"/>
      <c r="T574" s="112"/>
      <c r="U574" s="113"/>
      <c r="V574" s="112"/>
      <c r="W574" s="113"/>
      <c r="X574" s="112"/>
      <c r="Y574" s="115"/>
      <c r="Z574" s="5"/>
      <c r="BJ574" s="57"/>
    </row>
    <row r="575" customFormat="false" ht="24.75" hidden="false" customHeight="true" outlineLevel="0" collapsed="false">
      <c r="G575" s="114" t="str">
        <v>MELISSA</v>
      </c>
      <c r="H575" s="118"/>
      <c r="I575" s="106" t="s">
        <v>203</v>
      </c>
      <c r="J575" s="107" t="s">
        <v>199</v>
      </c>
      <c r="K575" s="106" t="s">
        <v>200</v>
      </c>
      <c r="L575" s="107" t="s">
        <v>201</v>
      </c>
      <c r="M575" s="106" t="s">
        <v>202</v>
      </c>
      <c r="N575" s="119"/>
      <c r="O575" s="5"/>
      <c r="Q575" s="116" t="n">
        <v>5</v>
      </c>
      <c r="R575" s="120" t="str">
        <v>JOHN B.</v>
      </c>
      <c r="S575" s="121"/>
      <c r="T575" s="112"/>
      <c r="U575" s="113"/>
      <c r="V575" s="112"/>
      <c r="W575" s="113"/>
      <c r="X575" s="112"/>
      <c r="Y575" s="119"/>
      <c r="Z575" s="5"/>
      <c r="BJ575" s="57"/>
    </row>
    <row r="576" customFormat="false" ht="24.75" hidden="false" customHeight="true" outlineLevel="0" collapsed="false">
      <c r="H576" s="122" t="s">
        <v>60</v>
      </c>
      <c r="I576" s="123"/>
      <c r="J576" s="123"/>
      <c r="K576" s="123"/>
      <c r="L576" s="123"/>
      <c r="M576" s="123"/>
      <c r="N576" s="118"/>
      <c r="O576" s="118"/>
      <c r="S576" s="122" t="s">
        <v>60</v>
      </c>
      <c r="T576" s="123"/>
      <c r="U576" s="123"/>
      <c r="V576" s="123"/>
      <c r="W576" s="123"/>
      <c r="X576" s="123"/>
      <c r="Y576" s="118"/>
      <c r="Z576" s="118"/>
      <c r="BJ576" s="57"/>
    </row>
    <row r="577" customFormat="false" ht="24.75" hidden="false" customHeight="true" outlineLevel="0" collapsed="false">
      <c r="H577" s="122" t="s">
        <v>205</v>
      </c>
      <c r="I577" s="5" t="n">
        <f aca="false">INT(N577/5)</f>
        <v>0</v>
      </c>
      <c r="J577" s="5" t="n">
        <f aca="false">INT(N577/5)</f>
        <v>0</v>
      </c>
      <c r="K577" s="5" t="n">
        <f aca="false">INT(N577/5)</f>
        <v>0</v>
      </c>
      <c r="L577" s="5" t="n">
        <f aca="false">INT(N577/5)</f>
        <v>0</v>
      </c>
      <c r="M577" s="5" t="n">
        <f aca="false">MOD(N577,5)+INT(N577/5)</f>
        <v>4.95</v>
      </c>
      <c r="N577" s="5" t="n">
        <f aca="true">IF(INDIRECT("Team"&amp;TEXT(H569,"0")&amp;"Average")&gt;INDIRECT("Team"&amp;TEXT(S569,"0")&amp;"Average"),0,C13*(INDIRECT("Team"&amp;TEXT(S569,"0")&amp;"Average")-INDIRECT("Team"&amp;TEXT(H569,"0")&amp;"Average")))</f>
        <v>4.95</v>
      </c>
      <c r="O577" s="118"/>
      <c r="S577" s="122" t="s">
        <v>205</v>
      </c>
      <c r="T577" s="5" t="n">
        <f aca="false">INT(Y577/5)</f>
        <v>0</v>
      </c>
      <c r="U577" s="5" t="n">
        <f aca="false">INT(Y577/5)</f>
        <v>0</v>
      </c>
      <c r="V577" s="5" t="n">
        <f aca="false">INT(Y577/5)</f>
        <v>0</v>
      </c>
      <c r="W577" s="5" t="n">
        <f aca="false">INT(Y577/5)</f>
        <v>0</v>
      </c>
      <c r="X577" s="5" t="n">
        <f aca="false">MOD(Y577,5)+INT(Y577/5)</f>
        <v>0</v>
      </c>
      <c r="Y577" s="5" t="n">
        <f aca="true">IF(INDIRECT("Team"&amp;TEXT(S569,"0")&amp;"Average")&gt;INDIRECT("Team"&amp;TEXT(H569,"0")&amp;"Average"),0,C13*(INDIRECT("Team"&amp;TEXT(H569,"0")&amp;"Average")-INDIRECT("Team"&amp;TEXT(S569,"0")&amp;"Average")))</f>
        <v>0</v>
      </c>
      <c r="Z577" s="118"/>
      <c r="BJ577" s="57"/>
    </row>
    <row r="578" customFormat="false" ht="24.75" hidden="false" customHeight="true" outlineLevel="0" collapsed="false">
      <c r="H578" s="122" t="s">
        <v>31</v>
      </c>
      <c r="I578" s="123"/>
      <c r="J578" s="123"/>
      <c r="K578" s="123"/>
      <c r="L578" s="123"/>
      <c r="M578" s="124"/>
      <c r="N578" s="125"/>
      <c r="O578" s="118"/>
      <c r="S578" s="122" t="s">
        <v>31</v>
      </c>
      <c r="T578" s="123"/>
      <c r="U578" s="123"/>
      <c r="V578" s="123"/>
      <c r="W578" s="123"/>
      <c r="X578" s="124"/>
      <c r="Y578" s="125"/>
      <c r="Z578" s="118"/>
      <c r="BJ578" s="57"/>
    </row>
    <row r="579" customFormat="false" ht="15" hidden="false" customHeight="false" outlineLevel="0" collapsed="false">
      <c r="G579" s="127"/>
      <c r="BJ579" s="57"/>
    </row>
    <row r="580" customFormat="false" ht="9.75" hidden="false" customHeight="true" outlineLevel="0" collapsed="false">
      <c r="I580" s="128" t="s">
        <v>206</v>
      </c>
      <c r="J580" s="44"/>
      <c r="K580" s="128" t="s">
        <v>31</v>
      </c>
      <c r="L580" s="44"/>
      <c r="T580" s="128" t="s">
        <v>207</v>
      </c>
      <c r="U580" s="44"/>
      <c r="V580" s="128" t="s">
        <v>31</v>
      </c>
      <c r="W580" s="44"/>
      <c r="BJ580" s="57"/>
    </row>
    <row r="581" customFormat="false" ht="9.75" hidden="false" customHeight="true" outlineLevel="0" collapsed="false">
      <c r="I581" s="129" t="s">
        <v>208</v>
      </c>
      <c r="J581" s="130"/>
      <c r="K581" s="129" t="s">
        <v>209</v>
      </c>
      <c r="L581" s="130"/>
      <c r="T581" s="129" t="s">
        <v>208</v>
      </c>
      <c r="U581" s="130"/>
      <c r="V581" s="129" t="s">
        <v>209</v>
      </c>
      <c r="W581" s="130"/>
      <c r="BJ581" s="57"/>
    </row>
    <row r="582" customFormat="false" ht="15" hidden="false" customHeight="false" outlineLevel="0" collapsed="false">
      <c r="BJ582" s="57"/>
    </row>
    <row r="583" customFormat="false" ht="15" hidden="false" customHeight="false" outlineLevel="0" collapsed="false">
      <c r="BJ583" s="57"/>
    </row>
    <row r="584" customFormat="false" ht="15" hidden="false" customHeight="false" outlineLevel="0" collapsed="false">
      <c r="G584" s="131" t="s">
        <v>210</v>
      </c>
      <c r="BJ584" s="57"/>
    </row>
    <row r="585" customFormat="false" ht="24.75" hidden="false" customHeight="true" outlineLevel="0" collapsed="false">
      <c r="G585" s="66" t="s">
        <v>211</v>
      </c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BJ585" s="57"/>
    </row>
    <row r="586" customFormat="false" ht="24.75" hidden="false" customHeight="true" outlineLevel="0" collapsed="false"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BJ586" s="57"/>
    </row>
    <row r="587" customFormat="false" ht="24.75" hidden="false" customHeight="true" outlineLevel="0" collapsed="false"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BJ587" s="57"/>
    </row>
    <row r="588" customFormat="false" ht="24.75" hidden="false" customHeight="true" outlineLevel="0" collapsed="false"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BJ588" s="57"/>
    </row>
    <row r="589" customFormat="false" ht="22.05" hidden="false" customHeight="false" outlineLevel="0" collapsed="false">
      <c r="G589" s="86" t="str">
        <f aca="false">"Clicks "&amp;$C$3&amp;":"&amp;" "&amp;$C$10&amp;" "&amp;$C$9&amp;" League Score Sheet"</f>
        <v>Clicks Tucson: Get-a-Cue 8-Ball League Score Sheet</v>
      </c>
      <c r="Z589" s="87" t="s">
        <v>217</v>
      </c>
      <c r="BJ589" s="57"/>
    </row>
    <row r="590" customFormat="false" ht="15" hidden="false" customHeight="false" outlineLevel="0" collapsed="false">
      <c r="BJ590" s="57"/>
    </row>
    <row r="591" customFormat="false" ht="24.75" hidden="false" customHeight="true" outlineLevel="0" collapsed="false">
      <c r="G591" s="88" t="n">
        <f aca="true">TODAY()</f>
        <v>46171</v>
      </c>
      <c r="H591" s="88"/>
      <c r="I591" s="89" t="s">
        <v>190</v>
      </c>
      <c r="J591" s="90"/>
      <c r="K591" s="91" t="n">
        <f aca="false">A!$AW$13+1</f>
        <v>7</v>
      </c>
      <c r="L591" s="90" t="s">
        <v>191</v>
      </c>
      <c r="M591" s="90"/>
      <c r="N591" s="92" t="n">
        <f aca="false">$C$4</f>
        <v>335</v>
      </c>
      <c r="S591" s="89" t="s">
        <v>192</v>
      </c>
      <c r="T591" s="90"/>
      <c r="U591" s="90"/>
      <c r="V591" s="90"/>
      <c r="W591" s="89"/>
      <c r="X591" s="90"/>
      <c r="Y591" s="91" t="e">
        <f aca="true">INDEX(INDIRECT("Sched_"&amp;TEXT($C$5,"0")&amp;"_Matches"),1,13)</f>
        <v>#REF!</v>
      </c>
      <c r="Z591" s="91"/>
      <c r="BJ591" s="57"/>
    </row>
    <row r="592" customFormat="false" ht="24.75" hidden="false" customHeight="true" outlineLevel="0" collapsed="false">
      <c r="BJ592" s="57"/>
    </row>
    <row r="593" customFormat="false" ht="24.75" hidden="false" customHeight="true" outlineLevel="0" collapsed="false">
      <c r="G593" s="93" t="s">
        <v>193</v>
      </c>
      <c r="H593" s="94" t="e">
        <f aca="true">IF($K447&lt;&gt;$C$8,INDEX(INDIRECT(AB687),$K447,13),VLOOKUP(LARGE(A!$BK$5:$BK$24,13),Team_Score,2,FALSE()))</f>
        <v>#REF!</v>
      </c>
      <c r="I593" s="95" t="s">
        <v>194</v>
      </c>
      <c r="J593" s="96" t="e">
        <f aca="true">INDIRECT("Team"&amp;TEXT(H593,"0")&amp;"Name")</f>
        <v>#REF!</v>
      </c>
      <c r="K593" s="96"/>
      <c r="L593" s="96"/>
      <c r="M593" s="96"/>
      <c r="N593" s="96"/>
      <c r="O593" s="97" t="s">
        <v>195</v>
      </c>
      <c r="Q593" s="93" t="s">
        <v>196</v>
      </c>
      <c r="R593" s="98"/>
      <c r="S593" s="94" t="e">
        <f aca="true">IF($K447&lt;&gt;$C$8,INDEX(INDIRECT(AB687),$K447,14),VLOOKUP(LARGE(A!$BK$5:$BK$24,14),Team_Score,2,FALSE()))</f>
        <v>#REF!</v>
      </c>
      <c r="T593" s="95" t="s">
        <v>194</v>
      </c>
      <c r="U593" s="96" t="e">
        <f aca="true">INDIRECT("Team"&amp;TEXT(S593,"0")&amp;"Name")</f>
        <v>#REF!</v>
      </c>
      <c r="V593" s="96"/>
      <c r="W593" s="96"/>
      <c r="X593" s="96"/>
      <c r="Y593" s="96"/>
      <c r="Z593" s="97" t="s">
        <v>195</v>
      </c>
      <c r="BJ593" s="57"/>
    </row>
    <row r="594" customFormat="false" ht="24.75" hidden="false" customHeight="true" outlineLevel="0" collapsed="false">
      <c r="G594" s="99" t="s">
        <v>197</v>
      </c>
      <c r="H594" s="100" t="s">
        <v>198</v>
      </c>
      <c r="I594" s="101" t="s">
        <v>199</v>
      </c>
      <c r="J594" s="101" t="s">
        <v>200</v>
      </c>
      <c r="K594" s="101" t="s">
        <v>201</v>
      </c>
      <c r="L594" s="101" t="s">
        <v>202</v>
      </c>
      <c r="M594" s="101" t="s">
        <v>203</v>
      </c>
      <c r="N594" s="101" t="s">
        <v>31</v>
      </c>
      <c r="O594" s="102" t="s">
        <v>204</v>
      </c>
      <c r="Q594" s="99" t="s">
        <v>197</v>
      </c>
      <c r="R594" s="103"/>
      <c r="S594" s="100" t="s">
        <v>198</v>
      </c>
      <c r="T594" s="101" t="s">
        <v>199</v>
      </c>
      <c r="U594" s="101" t="s">
        <v>200</v>
      </c>
      <c r="V594" s="101" t="s">
        <v>201</v>
      </c>
      <c r="W594" s="101" t="s">
        <v>202</v>
      </c>
      <c r="X594" s="101" t="s">
        <v>203</v>
      </c>
      <c r="Y594" s="101" t="s">
        <v>31</v>
      </c>
      <c r="Z594" s="102" t="s">
        <v>204</v>
      </c>
      <c r="BJ594" s="57"/>
    </row>
    <row r="595" customFormat="false" ht="24.75" hidden="false" customHeight="true" outlineLevel="0" collapsed="false">
      <c r="G595" s="104" t="e">
        <f aca="true" t="array" ref="G595:G599">IF(ISBLANK(H593),"Empty",INDIRECT("Team"&amp;TEXT(H593,"0")&amp;"Players"))</f>
        <v>#REF!</v>
      </c>
      <c r="H595" s="105"/>
      <c r="I595" s="106" t="s">
        <v>199</v>
      </c>
      <c r="J595" s="107" t="s">
        <v>200</v>
      </c>
      <c r="K595" s="106" t="s">
        <v>201</v>
      </c>
      <c r="L595" s="107" t="s">
        <v>202</v>
      </c>
      <c r="M595" s="106" t="s">
        <v>203</v>
      </c>
      <c r="N595" s="109"/>
      <c r="O595" s="5"/>
      <c r="Q595" s="110" t="n">
        <v>1</v>
      </c>
      <c r="R595" s="111" t="e">
        <f aca="true" t="array" ref="R595:R599">IF(ISBLANK(S593),"Empty",INDIRECT("Team"&amp;TEXT(S593,"0")&amp;"Players"))</f>
        <v>#REF!</v>
      </c>
      <c r="S595" s="44"/>
      <c r="T595" s="112"/>
      <c r="U595" s="113"/>
      <c r="V595" s="112"/>
      <c r="W595" s="113"/>
      <c r="X595" s="112"/>
      <c r="Y595" s="109"/>
      <c r="Z595" s="5"/>
      <c r="BJ595" s="57"/>
    </row>
    <row r="596" customFormat="false" ht="24.75" hidden="false" customHeight="true" outlineLevel="0" collapsed="false">
      <c r="G596" s="114" t="e">
        <v>#REF!</v>
      </c>
      <c r="H596" s="5"/>
      <c r="I596" s="106" t="s">
        <v>200</v>
      </c>
      <c r="J596" s="107" t="s">
        <v>201</v>
      </c>
      <c r="K596" s="106" t="s">
        <v>202</v>
      </c>
      <c r="L596" s="107" t="s">
        <v>203</v>
      </c>
      <c r="M596" s="106" t="s">
        <v>199</v>
      </c>
      <c r="N596" s="115"/>
      <c r="O596" s="5"/>
      <c r="Q596" s="116" t="n">
        <v>2</v>
      </c>
      <c r="R596" s="117" t="e">
        <v>#REF!</v>
      </c>
      <c r="S596" s="44"/>
      <c r="T596" s="112"/>
      <c r="U596" s="113"/>
      <c r="V596" s="112"/>
      <c r="W596" s="113"/>
      <c r="X596" s="112"/>
      <c r="Y596" s="115"/>
      <c r="Z596" s="5"/>
      <c r="BJ596" s="57"/>
    </row>
    <row r="597" customFormat="false" ht="24.75" hidden="false" customHeight="true" outlineLevel="0" collapsed="false">
      <c r="G597" s="114" t="e">
        <v>#REF!</v>
      </c>
      <c r="H597" s="5"/>
      <c r="I597" s="106" t="s">
        <v>201</v>
      </c>
      <c r="J597" s="107" t="s">
        <v>202</v>
      </c>
      <c r="K597" s="106" t="s">
        <v>203</v>
      </c>
      <c r="L597" s="107" t="s">
        <v>199</v>
      </c>
      <c r="M597" s="106" t="s">
        <v>200</v>
      </c>
      <c r="N597" s="115"/>
      <c r="O597" s="5"/>
      <c r="Q597" s="116" t="n">
        <v>3</v>
      </c>
      <c r="R597" s="117" t="e">
        <v>#REF!</v>
      </c>
      <c r="S597" s="44"/>
      <c r="T597" s="112"/>
      <c r="U597" s="113"/>
      <c r="V597" s="112"/>
      <c r="W597" s="113"/>
      <c r="X597" s="112"/>
      <c r="Y597" s="115"/>
      <c r="Z597" s="5"/>
      <c r="BJ597" s="57"/>
    </row>
    <row r="598" customFormat="false" ht="24.75" hidden="false" customHeight="true" outlineLevel="0" collapsed="false">
      <c r="G598" s="114" t="e">
        <v>#REF!</v>
      </c>
      <c r="H598" s="5"/>
      <c r="I598" s="106" t="s">
        <v>202</v>
      </c>
      <c r="J598" s="107" t="s">
        <v>203</v>
      </c>
      <c r="K598" s="106" t="s">
        <v>199</v>
      </c>
      <c r="L598" s="107" t="s">
        <v>200</v>
      </c>
      <c r="M598" s="106" t="s">
        <v>201</v>
      </c>
      <c r="N598" s="115"/>
      <c r="O598" s="5"/>
      <c r="Q598" s="116" t="n">
        <v>4</v>
      </c>
      <c r="R598" s="117" t="e">
        <v>#REF!</v>
      </c>
      <c r="S598" s="44"/>
      <c r="T598" s="112"/>
      <c r="U598" s="113"/>
      <c r="V598" s="112"/>
      <c r="W598" s="113"/>
      <c r="X598" s="112"/>
      <c r="Y598" s="115"/>
      <c r="Z598" s="5"/>
      <c r="BJ598" s="57"/>
    </row>
    <row r="599" customFormat="false" ht="24.75" hidden="false" customHeight="true" outlineLevel="0" collapsed="false">
      <c r="G599" s="114" t="e">
        <v>#REF!</v>
      </c>
      <c r="H599" s="118"/>
      <c r="I599" s="106" t="s">
        <v>203</v>
      </c>
      <c r="J599" s="107" t="s">
        <v>199</v>
      </c>
      <c r="K599" s="106" t="s">
        <v>200</v>
      </c>
      <c r="L599" s="107" t="s">
        <v>201</v>
      </c>
      <c r="M599" s="106" t="s">
        <v>202</v>
      </c>
      <c r="N599" s="119"/>
      <c r="O599" s="5"/>
      <c r="Q599" s="116" t="n">
        <v>5</v>
      </c>
      <c r="R599" s="120" t="e">
        <v>#REF!</v>
      </c>
      <c r="S599" s="121"/>
      <c r="T599" s="112"/>
      <c r="U599" s="113"/>
      <c r="V599" s="112"/>
      <c r="W599" s="113"/>
      <c r="X599" s="112"/>
      <c r="Y599" s="119"/>
      <c r="Z599" s="5"/>
      <c r="BJ599" s="57"/>
    </row>
    <row r="600" customFormat="false" ht="24.75" hidden="false" customHeight="true" outlineLevel="0" collapsed="false">
      <c r="H600" s="122" t="s">
        <v>60</v>
      </c>
      <c r="I600" s="123"/>
      <c r="J600" s="123"/>
      <c r="K600" s="123"/>
      <c r="L600" s="123"/>
      <c r="M600" s="123"/>
      <c r="N600" s="118"/>
      <c r="O600" s="118"/>
      <c r="S600" s="122" t="s">
        <v>60</v>
      </c>
      <c r="T600" s="123"/>
      <c r="U600" s="123"/>
      <c r="V600" s="123"/>
      <c r="W600" s="123"/>
      <c r="X600" s="123"/>
      <c r="Y600" s="118"/>
      <c r="Z600" s="118"/>
      <c r="BJ600" s="57"/>
    </row>
    <row r="601" customFormat="false" ht="24.75" hidden="false" customHeight="true" outlineLevel="0" collapsed="false">
      <c r="H601" s="122" t="s">
        <v>205</v>
      </c>
      <c r="I601" s="5" t="e">
        <f aca="false">INT(N601/5)</f>
        <v>#REF!</v>
      </c>
      <c r="J601" s="5" t="e">
        <f aca="false">INT(N601/5)</f>
        <v>#REF!</v>
      </c>
      <c r="K601" s="5" t="e">
        <f aca="false">INT(N601/5)</f>
        <v>#REF!</v>
      </c>
      <c r="L601" s="5" t="e">
        <f aca="false">INT(N601/5)</f>
        <v>#REF!</v>
      </c>
      <c r="M601" s="5" t="e">
        <f aca="false">MOD(N601,5)+INT(N601/5)</f>
        <v>#REF!</v>
      </c>
      <c r="N601" s="5" t="e">
        <f aca="true">IF(INDIRECT("Team"&amp;TEXT(H593,"0")&amp;"Average")&gt;INDIRECT("Team"&amp;TEXT(S593,"0")&amp;"Average"),0,C13*(INDIRECT("Team"&amp;TEXT(S593,"0")&amp;"Average")-INDIRECT("Team"&amp;TEXT(H593,"0")&amp;"Average")))</f>
        <v>#REF!</v>
      </c>
      <c r="O601" s="118"/>
      <c r="S601" s="122" t="s">
        <v>205</v>
      </c>
      <c r="T601" s="5" t="e">
        <f aca="false">INT(Y601/5)</f>
        <v>#REF!</v>
      </c>
      <c r="U601" s="5" t="e">
        <f aca="false">INT(Y601/5)</f>
        <v>#REF!</v>
      </c>
      <c r="V601" s="5" t="e">
        <f aca="false">INT(Y601/5)</f>
        <v>#REF!</v>
      </c>
      <c r="W601" s="5" t="e">
        <f aca="false">INT(Y601/5)</f>
        <v>#REF!</v>
      </c>
      <c r="X601" s="5" t="e">
        <f aca="false">MOD(Y601,5)+INT(Y601/5)</f>
        <v>#REF!</v>
      </c>
      <c r="Y601" s="5" t="e">
        <f aca="true">IF(INDIRECT("Team"&amp;TEXT(S593,"0")&amp;"Average")&gt;INDIRECT("Team"&amp;TEXT(H593,"0")&amp;"Average"),0,C13*(INDIRECT("Team"&amp;TEXT(H593,"0")&amp;"Average")-INDIRECT("Team"&amp;TEXT(S593,"0")&amp;"Average")))</f>
        <v>#REF!</v>
      </c>
      <c r="Z601" s="118"/>
      <c r="BJ601" s="57"/>
    </row>
    <row r="602" customFormat="false" ht="24.75" hidden="false" customHeight="true" outlineLevel="0" collapsed="false">
      <c r="H602" s="122" t="s">
        <v>31</v>
      </c>
      <c r="I602" s="123"/>
      <c r="J602" s="123"/>
      <c r="K602" s="123"/>
      <c r="L602" s="123"/>
      <c r="M602" s="124"/>
      <c r="N602" s="125"/>
      <c r="O602" s="118"/>
      <c r="S602" s="122" t="s">
        <v>31</v>
      </c>
      <c r="T602" s="123"/>
      <c r="U602" s="123"/>
      <c r="V602" s="123"/>
      <c r="W602" s="123"/>
      <c r="X602" s="124"/>
      <c r="Y602" s="125"/>
      <c r="Z602" s="118"/>
      <c r="BJ602" s="57"/>
    </row>
    <row r="603" customFormat="false" ht="15" hidden="false" customHeight="false" outlineLevel="0" collapsed="false">
      <c r="G603" s="127"/>
      <c r="BJ603" s="57"/>
    </row>
    <row r="604" customFormat="false" ht="9.75" hidden="false" customHeight="true" outlineLevel="0" collapsed="false">
      <c r="I604" s="128" t="s">
        <v>206</v>
      </c>
      <c r="J604" s="44"/>
      <c r="K604" s="128" t="s">
        <v>31</v>
      </c>
      <c r="L604" s="44"/>
      <c r="T604" s="128" t="s">
        <v>207</v>
      </c>
      <c r="U604" s="44"/>
      <c r="V604" s="128" t="s">
        <v>31</v>
      </c>
      <c r="W604" s="44"/>
      <c r="BJ604" s="57"/>
    </row>
    <row r="605" customFormat="false" ht="9.75" hidden="false" customHeight="true" outlineLevel="0" collapsed="false">
      <c r="I605" s="129" t="s">
        <v>208</v>
      </c>
      <c r="J605" s="130"/>
      <c r="K605" s="129" t="s">
        <v>209</v>
      </c>
      <c r="L605" s="130"/>
      <c r="T605" s="129" t="s">
        <v>208</v>
      </c>
      <c r="U605" s="130"/>
      <c r="V605" s="129" t="s">
        <v>209</v>
      </c>
      <c r="W605" s="130"/>
      <c r="BJ605" s="57"/>
    </row>
    <row r="606" customFormat="false" ht="15" hidden="false" customHeight="false" outlineLevel="0" collapsed="false">
      <c r="BJ606" s="57"/>
    </row>
    <row r="607" customFormat="false" ht="15" hidden="false" customHeight="false" outlineLevel="0" collapsed="false">
      <c r="BJ607" s="57"/>
    </row>
    <row r="608" customFormat="false" ht="15" hidden="false" customHeight="false" outlineLevel="0" collapsed="false">
      <c r="G608" s="131" t="s">
        <v>210</v>
      </c>
      <c r="BJ608" s="57"/>
    </row>
    <row r="609" customFormat="false" ht="24.75" hidden="false" customHeight="true" outlineLevel="0" collapsed="false">
      <c r="G609" s="66" t="s">
        <v>211</v>
      </c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BJ609" s="57"/>
    </row>
    <row r="610" customFormat="false" ht="24.75" hidden="false" customHeight="true" outlineLevel="0" collapsed="false"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BJ610" s="57"/>
    </row>
    <row r="611" customFormat="false" ht="24.75" hidden="false" customHeight="true" outlineLevel="0" collapsed="false"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BJ611" s="57"/>
    </row>
    <row r="612" customFormat="false" ht="24.75" hidden="false" customHeight="true" outlineLevel="0" collapsed="false"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BJ612" s="57"/>
    </row>
    <row r="613" customFormat="false" ht="22.05" hidden="false" customHeight="false" outlineLevel="0" collapsed="false">
      <c r="G613" s="86" t="str">
        <f aca="false">"Clicks "&amp;$C$3&amp;":"&amp;" "&amp;$C$10&amp;" "&amp;$C$9&amp;" League Score Sheet"</f>
        <v>Clicks Tucson: Get-a-Cue 8-Ball League Score Sheet</v>
      </c>
      <c r="Z613" s="87" t="s">
        <v>218</v>
      </c>
      <c r="BJ613" s="57"/>
    </row>
    <row r="614" customFormat="false" ht="15" hidden="false" customHeight="false" outlineLevel="0" collapsed="false">
      <c r="BJ614" s="57"/>
    </row>
    <row r="615" customFormat="false" ht="24.75" hidden="false" customHeight="true" outlineLevel="0" collapsed="false">
      <c r="G615" s="88" t="n">
        <f aca="true">TODAY()</f>
        <v>46171</v>
      </c>
      <c r="H615" s="88"/>
      <c r="I615" s="89" t="s">
        <v>190</v>
      </c>
      <c r="J615" s="90"/>
      <c r="K615" s="91" t="n">
        <f aca="false">A!$AW$13+1</f>
        <v>7</v>
      </c>
      <c r="L615" s="90" t="s">
        <v>191</v>
      </c>
      <c r="M615" s="90"/>
      <c r="N615" s="92" t="n">
        <f aca="false">$C$4</f>
        <v>335</v>
      </c>
      <c r="S615" s="89" t="s">
        <v>192</v>
      </c>
      <c r="T615" s="90"/>
      <c r="U615" s="90"/>
      <c r="V615" s="90"/>
      <c r="W615" s="89"/>
      <c r="X615" s="90"/>
      <c r="Y615" s="91" t="e">
        <f aca="true">INDEX(INDIRECT("Sched_"&amp;TEXT($C$5,"0")&amp;"_Matches"),1,15)</f>
        <v>#REF!</v>
      </c>
      <c r="Z615" s="91"/>
      <c r="BJ615" s="57"/>
    </row>
    <row r="616" customFormat="false" ht="24.75" hidden="false" customHeight="true" outlineLevel="0" collapsed="false">
      <c r="BJ616" s="57"/>
    </row>
    <row r="617" customFormat="false" ht="24.75" hidden="false" customHeight="true" outlineLevel="0" collapsed="false">
      <c r="G617" s="93" t="s">
        <v>193</v>
      </c>
      <c r="H617" s="94" t="e">
        <f aca="true">IF($K447&lt;&gt;$C$8,INDEX(INDIRECT(AB687),$K447,15),VLOOKUP(LARGE(A!$BK$5:$BK$24,16),Team_Score,2,FALSE()))</f>
        <v>#REF!</v>
      </c>
      <c r="I617" s="95" t="s">
        <v>194</v>
      </c>
      <c r="J617" s="96" t="e">
        <f aca="true">INDIRECT("Team"&amp;TEXT(H617,"0")&amp;"Name")</f>
        <v>#REF!</v>
      </c>
      <c r="K617" s="96"/>
      <c r="L617" s="96"/>
      <c r="M617" s="96"/>
      <c r="N617" s="96"/>
      <c r="O617" s="97" t="s">
        <v>195</v>
      </c>
      <c r="Q617" s="93" t="s">
        <v>196</v>
      </c>
      <c r="R617" s="98"/>
      <c r="S617" s="94" t="e">
        <f aca="true">IF($K447&lt;&gt;$C$8,INDEX(INDIRECT(AB687),$K447,16),VLOOKUP(LARGE(A!$BK$5:$BK$24,16),Team_Score,2,FALSE()))</f>
        <v>#REF!</v>
      </c>
      <c r="T617" s="95" t="s">
        <v>194</v>
      </c>
      <c r="U617" s="96" t="e">
        <f aca="true">INDIRECT("Team"&amp;TEXT(S617,"0")&amp;"Name")</f>
        <v>#REF!</v>
      </c>
      <c r="V617" s="96"/>
      <c r="W617" s="96"/>
      <c r="X617" s="96"/>
      <c r="Y617" s="96"/>
      <c r="Z617" s="97" t="s">
        <v>195</v>
      </c>
      <c r="BJ617" s="57"/>
    </row>
    <row r="618" customFormat="false" ht="24.75" hidden="false" customHeight="true" outlineLevel="0" collapsed="false">
      <c r="G618" s="99" t="s">
        <v>197</v>
      </c>
      <c r="H618" s="100" t="s">
        <v>198</v>
      </c>
      <c r="I618" s="101" t="s">
        <v>199</v>
      </c>
      <c r="J618" s="101" t="s">
        <v>200</v>
      </c>
      <c r="K618" s="101" t="s">
        <v>201</v>
      </c>
      <c r="L618" s="101" t="s">
        <v>202</v>
      </c>
      <c r="M618" s="101" t="s">
        <v>203</v>
      </c>
      <c r="N618" s="101" t="s">
        <v>31</v>
      </c>
      <c r="O618" s="102" t="s">
        <v>204</v>
      </c>
      <c r="Q618" s="99" t="s">
        <v>197</v>
      </c>
      <c r="R618" s="103"/>
      <c r="S618" s="100" t="s">
        <v>198</v>
      </c>
      <c r="T618" s="101" t="s">
        <v>199</v>
      </c>
      <c r="U618" s="101" t="s">
        <v>200</v>
      </c>
      <c r="V618" s="101" t="s">
        <v>201</v>
      </c>
      <c r="W618" s="101" t="s">
        <v>202</v>
      </c>
      <c r="X618" s="101" t="s">
        <v>203</v>
      </c>
      <c r="Y618" s="101" t="s">
        <v>31</v>
      </c>
      <c r="Z618" s="102" t="s">
        <v>204</v>
      </c>
      <c r="BJ618" s="57"/>
    </row>
    <row r="619" customFormat="false" ht="24.75" hidden="false" customHeight="true" outlineLevel="0" collapsed="false">
      <c r="G619" s="104" t="e">
        <f aca="true" t="array" ref="G619:G623">IF(ISBLANK(H617),"Empty",INDIRECT("Team"&amp;TEXT(H617,"0")&amp;"Players"))</f>
        <v>#REF!</v>
      </c>
      <c r="H619" s="105"/>
      <c r="I619" s="106" t="s">
        <v>199</v>
      </c>
      <c r="J619" s="107" t="s">
        <v>200</v>
      </c>
      <c r="K619" s="106" t="s">
        <v>201</v>
      </c>
      <c r="L619" s="107" t="s">
        <v>202</v>
      </c>
      <c r="M619" s="106" t="s">
        <v>203</v>
      </c>
      <c r="N619" s="109"/>
      <c r="O619" s="5"/>
      <c r="Q619" s="110" t="n">
        <v>1</v>
      </c>
      <c r="R619" s="111" t="e">
        <f aca="true" t="array" ref="R619:R623">IF(ISBLANK(S617),"Empty",INDIRECT("Team"&amp;TEXT(S617,"0")&amp;"Players"))</f>
        <v>#REF!</v>
      </c>
      <c r="S619" s="44"/>
      <c r="T619" s="112"/>
      <c r="U619" s="113"/>
      <c r="V619" s="112"/>
      <c r="W619" s="113"/>
      <c r="X619" s="112"/>
      <c r="Y619" s="109"/>
      <c r="Z619" s="5"/>
      <c r="BJ619" s="57"/>
    </row>
    <row r="620" customFormat="false" ht="24.75" hidden="false" customHeight="true" outlineLevel="0" collapsed="false">
      <c r="G620" s="114" t="e">
        <v>#REF!</v>
      </c>
      <c r="H620" s="5"/>
      <c r="I620" s="106" t="s">
        <v>200</v>
      </c>
      <c r="J620" s="107" t="s">
        <v>201</v>
      </c>
      <c r="K620" s="106" t="s">
        <v>202</v>
      </c>
      <c r="L620" s="107" t="s">
        <v>203</v>
      </c>
      <c r="M620" s="106" t="s">
        <v>199</v>
      </c>
      <c r="N620" s="115"/>
      <c r="O620" s="5"/>
      <c r="Q620" s="116" t="n">
        <v>2</v>
      </c>
      <c r="R620" s="117" t="e">
        <v>#REF!</v>
      </c>
      <c r="S620" s="44"/>
      <c r="T620" s="112"/>
      <c r="U620" s="113"/>
      <c r="V620" s="112"/>
      <c r="W620" s="113"/>
      <c r="X620" s="112"/>
      <c r="Y620" s="115"/>
      <c r="Z620" s="5"/>
      <c r="BJ620" s="57"/>
    </row>
    <row r="621" customFormat="false" ht="24.75" hidden="false" customHeight="true" outlineLevel="0" collapsed="false">
      <c r="G621" s="114" t="e">
        <v>#REF!</v>
      </c>
      <c r="H621" s="5"/>
      <c r="I621" s="106" t="s">
        <v>201</v>
      </c>
      <c r="J621" s="107" t="s">
        <v>202</v>
      </c>
      <c r="K621" s="106" t="s">
        <v>203</v>
      </c>
      <c r="L621" s="107" t="s">
        <v>199</v>
      </c>
      <c r="M621" s="106" t="s">
        <v>200</v>
      </c>
      <c r="N621" s="115"/>
      <c r="O621" s="5"/>
      <c r="Q621" s="116" t="n">
        <v>3</v>
      </c>
      <c r="R621" s="117" t="e">
        <v>#REF!</v>
      </c>
      <c r="S621" s="44"/>
      <c r="T621" s="112"/>
      <c r="U621" s="113"/>
      <c r="V621" s="112"/>
      <c r="W621" s="113"/>
      <c r="X621" s="112"/>
      <c r="Y621" s="115"/>
      <c r="Z621" s="5"/>
      <c r="BJ621" s="57"/>
    </row>
    <row r="622" customFormat="false" ht="24.75" hidden="false" customHeight="true" outlineLevel="0" collapsed="false">
      <c r="G622" s="114" t="e">
        <v>#REF!</v>
      </c>
      <c r="H622" s="5"/>
      <c r="I622" s="106" t="s">
        <v>202</v>
      </c>
      <c r="J622" s="107" t="s">
        <v>203</v>
      </c>
      <c r="K622" s="106" t="s">
        <v>199</v>
      </c>
      <c r="L622" s="107" t="s">
        <v>200</v>
      </c>
      <c r="M622" s="106" t="s">
        <v>201</v>
      </c>
      <c r="N622" s="115"/>
      <c r="O622" s="5"/>
      <c r="Q622" s="116" t="n">
        <v>4</v>
      </c>
      <c r="R622" s="117" t="e">
        <v>#REF!</v>
      </c>
      <c r="S622" s="44"/>
      <c r="T622" s="112"/>
      <c r="U622" s="113"/>
      <c r="V622" s="112"/>
      <c r="W622" s="113"/>
      <c r="X622" s="112"/>
      <c r="Y622" s="115"/>
      <c r="Z622" s="5"/>
      <c r="BJ622" s="57"/>
    </row>
    <row r="623" customFormat="false" ht="24.75" hidden="false" customHeight="true" outlineLevel="0" collapsed="false">
      <c r="G623" s="114" t="e">
        <v>#REF!</v>
      </c>
      <c r="H623" s="118"/>
      <c r="I623" s="106" t="s">
        <v>203</v>
      </c>
      <c r="J623" s="107" t="s">
        <v>199</v>
      </c>
      <c r="K623" s="106" t="s">
        <v>200</v>
      </c>
      <c r="L623" s="107" t="s">
        <v>201</v>
      </c>
      <c r="M623" s="106" t="s">
        <v>202</v>
      </c>
      <c r="N623" s="119"/>
      <c r="O623" s="5"/>
      <c r="Q623" s="116" t="n">
        <v>5</v>
      </c>
      <c r="R623" s="120" t="e">
        <v>#REF!</v>
      </c>
      <c r="S623" s="121"/>
      <c r="T623" s="112"/>
      <c r="U623" s="113"/>
      <c r="V623" s="112"/>
      <c r="W623" s="113"/>
      <c r="X623" s="112"/>
      <c r="Y623" s="119"/>
      <c r="Z623" s="5"/>
      <c r="BJ623" s="57"/>
    </row>
    <row r="624" customFormat="false" ht="24.75" hidden="false" customHeight="true" outlineLevel="0" collapsed="false">
      <c r="H624" s="122" t="s">
        <v>60</v>
      </c>
      <c r="I624" s="123"/>
      <c r="J624" s="123"/>
      <c r="K624" s="123"/>
      <c r="L624" s="123"/>
      <c r="M624" s="123"/>
      <c r="N624" s="118"/>
      <c r="O624" s="118"/>
      <c r="S624" s="122" t="s">
        <v>60</v>
      </c>
      <c r="T624" s="123"/>
      <c r="U624" s="123"/>
      <c r="V624" s="123"/>
      <c r="W624" s="123"/>
      <c r="X624" s="123"/>
      <c r="Y624" s="118"/>
      <c r="Z624" s="118"/>
      <c r="BJ624" s="57"/>
    </row>
    <row r="625" customFormat="false" ht="24.75" hidden="false" customHeight="true" outlineLevel="0" collapsed="false">
      <c r="H625" s="122" t="s">
        <v>205</v>
      </c>
      <c r="I625" s="5" t="e">
        <f aca="false">INT(N625/5)</f>
        <v>#REF!</v>
      </c>
      <c r="J625" s="5" t="e">
        <f aca="false">INT(N625/5)</f>
        <v>#REF!</v>
      </c>
      <c r="K625" s="5" t="e">
        <f aca="false">INT(N625/5)</f>
        <v>#REF!</v>
      </c>
      <c r="L625" s="5" t="e">
        <f aca="false">INT(N625/5)</f>
        <v>#REF!</v>
      </c>
      <c r="M625" s="5" t="e">
        <f aca="false">MOD(N625,5)+INT(N625/5)</f>
        <v>#REF!</v>
      </c>
      <c r="N625" s="5" t="e">
        <f aca="true">IF(INDIRECT("Team"&amp;TEXT(H617,"0")&amp;"Average")&gt;INDIRECT("Team"&amp;TEXT(S617,"0")&amp;"Average"),0,C13*(INDIRECT("Team"&amp;TEXT(S617,"0")&amp;"Average")-INDIRECT("Team"&amp;TEXT(H617,"0")&amp;"Average")))</f>
        <v>#REF!</v>
      </c>
      <c r="O625" s="118"/>
      <c r="S625" s="122" t="s">
        <v>205</v>
      </c>
      <c r="T625" s="5" t="e">
        <f aca="false">INT(Y625/5)</f>
        <v>#REF!</v>
      </c>
      <c r="U625" s="5" t="e">
        <f aca="false">INT(Y625/5)</f>
        <v>#REF!</v>
      </c>
      <c r="V625" s="5" t="e">
        <f aca="false">INT(Y625/5)</f>
        <v>#REF!</v>
      </c>
      <c r="W625" s="5" t="e">
        <f aca="false">INT(Y625/5)</f>
        <v>#REF!</v>
      </c>
      <c r="X625" s="5" t="e">
        <f aca="false">MOD(Y625,5)+INT(Y625/5)</f>
        <v>#REF!</v>
      </c>
      <c r="Y625" s="5" t="e">
        <f aca="true">IF(INDIRECT("Team"&amp;TEXT(S617,"0")&amp;"Average")&gt;INDIRECT("Team"&amp;TEXT(H617,"0")&amp;"Average"),0,C13*(INDIRECT("Team"&amp;TEXT(H617,"0")&amp;"Average")-INDIRECT("Team"&amp;TEXT(S617,"0")&amp;"Average")))</f>
        <v>#REF!</v>
      </c>
      <c r="Z625" s="118"/>
      <c r="BJ625" s="57"/>
    </row>
    <row r="626" customFormat="false" ht="24.75" hidden="false" customHeight="true" outlineLevel="0" collapsed="false">
      <c r="H626" s="122" t="s">
        <v>31</v>
      </c>
      <c r="I626" s="123"/>
      <c r="J626" s="123"/>
      <c r="K626" s="123"/>
      <c r="L626" s="123"/>
      <c r="M626" s="124"/>
      <c r="N626" s="125"/>
      <c r="O626" s="118"/>
      <c r="S626" s="122" t="s">
        <v>31</v>
      </c>
      <c r="T626" s="123"/>
      <c r="U626" s="123"/>
      <c r="V626" s="123"/>
      <c r="W626" s="123"/>
      <c r="X626" s="124"/>
      <c r="Y626" s="125"/>
      <c r="Z626" s="118"/>
      <c r="BJ626" s="57"/>
    </row>
    <row r="627" customFormat="false" ht="15" hidden="false" customHeight="false" outlineLevel="0" collapsed="false">
      <c r="G627" s="127"/>
      <c r="BJ627" s="57"/>
    </row>
    <row r="628" customFormat="false" ht="9.75" hidden="false" customHeight="true" outlineLevel="0" collapsed="false">
      <c r="I628" s="128" t="s">
        <v>206</v>
      </c>
      <c r="J628" s="44"/>
      <c r="K628" s="128" t="s">
        <v>31</v>
      </c>
      <c r="L628" s="44"/>
      <c r="T628" s="128" t="s">
        <v>207</v>
      </c>
      <c r="U628" s="44"/>
      <c r="V628" s="128" t="s">
        <v>31</v>
      </c>
      <c r="W628" s="44"/>
      <c r="BJ628" s="57"/>
    </row>
    <row r="629" customFormat="false" ht="9.75" hidden="false" customHeight="true" outlineLevel="0" collapsed="false">
      <c r="I629" s="129" t="s">
        <v>208</v>
      </c>
      <c r="J629" s="130"/>
      <c r="K629" s="129" t="s">
        <v>209</v>
      </c>
      <c r="L629" s="130"/>
      <c r="T629" s="129" t="s">
        <v>208</v>
      </c>
      <c r="U629" s="130"/>
      <c r="V629" s="129" t="s">
        <v>209</v>
      </c>
      <c r="W629" s="130"/>
      <c r="BJ629" s="57"/>
    </row>
    <row r="630" customFormat="false" ht="15" hidden="false" customHeight="false" outlineLevel="0" collapsed="false">
      <c r="BJ630" s="57"/>
    </row>
    <row r="631" customFormat="false" ht="15" hidden="false" customHeight="false" outlineLevel="0" collapsed="false">
      <c r="BJ631" s="57"/>
    </row>
    <row r="632" customFormat="false" ht="15" hidden="false" customHeight="false" outlineLevel="0" collapsed="false">
      <c r="G632" s="131" t="s">
        <v>210</v>
      </c>
      <c r="BJ632" s="57"/>
    </row>
    <row r="633" customFormat="false" ht="24.75" hidden="false" customHeight="true" outlineLevel="0" collapsed="false">
      <c r="G633" s="66" t="s">
        <v>211</v>
      </c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BJ633" s="57"/>
    </row>
    <row r="634" customFormat="false" ht="24.75" hidden="false" customHeight="true" outlineLevel="0" collapsed="false"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BJ634" s="57"/>
    </row>
    <row r="635" customFormat="false" ht="24.75" hidden="false" customHeight="true" outlineLevel="0" collapsed="false"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BJ635" s="57"/>
    </row>
    <row r="636" customFormat="false" ht="24.75" hidden="false" customHeight="true" outlineLevel="0" collapsed="false"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BJ636" s="57"/>
    </row>
    <row r="637" customFormat="false" ht="22.05" hidden="false" customHeight="false" outlineLevel="0" collapsed="false">
      <c r="G637" s="86" t="str">
        <f aca="false">"Clicks "&amp;$C$3&amp;":"&amp;" "&amp;$C$10&amp;" "&amp;$C$9&amp;" League Score Sheet"</f>
        <v>Clicks Tucson: Get-a-Cue 8-Ball League Score Sheet</v>
      </c>
      <c r="Z637" s="87" t="s">
        <v>219</v>
      </c>
      <c r="BJ637" s="57"/>
    </row>
    <row r="638" customFormat="false" ht="15" hidden="false" customHeight="false" outlineLevel="0" collapsed="false">
      <c r="BJ638" s="57"/>
    </row>
    <row r="639" customFormat="false" ht="24.75" hidden="false" customHeight="true" outlineLevel="0" collapsed="false">
      <c r="G639" s="88" t="n">
        <f aca="true">TODAY()</f>
        <v>46171</v>
      </c>
      <c r="H639" s="88"/>
      <c r="I639" s="89" t="s">
        <v>190</v>
      </c>
      <c r="J639" s="90"/>
      <c r="K639" s="91" t="n">
        <f aca="false">A!$AW$13+1</f>
        <v>7</v>
      </c>
      <c r="L639" s="90" t="s">
        <v>191</v>
      </c>
      <c r="M639" s="90"/>
      <c r="N639" s="92" t="n">
        <f aca="false">$C$4</f>
        <v>335</v>
      </c>
      <c r="S639" s="89" t="s">
        <v>192</v>
      </c>
      <c r="T639" s="90"/>
      <c r="U639" s="90"/>
      <c r="V639" s="90"/>
      <c r="W639" s="89"/>
      <c r="X639" s="90"/>
      <c r="Y639" s="91" t="e">
        <f aca="true">INDEX(INDIRECT("Sched_"&amp;TEXT($C$5,"0")&amp;"_Matches"),1,17)</f>
        <v>#REF!</v>
      </c>
      <c r="Z639" s="91"/>
      <c r="BJ639" s="57"/>
    </row>
    <row r="640" customFormat="false" ht="24.75" hidden="false" customHeight="true" outlineLevel="0" collapsed="false">
      <c r="BJ640" s="57"/>
    </row>
    <row r="641" customFormat="false" ht="24.75" hidden="false" customHeight="true" outlineLevel="0" collapsed="false">
      <c r="G641" s="93" t="s">
        <v>193</v>
      </c>
      <c r="H641" s="94" t="e">
        <f aca="true">IF($K447&lt;&gt;$C$8,INDEX(INDIRECT(AB687),$K447,17),VLOOKUP(LARGE(A!$BK$5:$BK$24,17),Team_Score,2,FALSE()))</f>
        <v>#REF!</v>
      </c>
      <c r="I641" s="95" t="s">
        <v>194</v>
      </c>
      <c r="J641" s="96" t="e">
        <f aca="true">INDIRECT("Team"&amp;TEXT(H641,"0")&amp;"Name")</f>
        <v>#REF!</v>
      </c>
      <c r="K641" s="96"/>
      <c r="L641" s="96"/>
      <c r="M641" s="96"/>
      <c r="N641" s="96"/>
      <c r="O641" s="97" t="s">
        <v>195</v>
      </c>
      <c r="Q641" s="93" t="s">
        <v>196</v>
      </c>
      <c r="R641" s="98"/>
      <c r="S641" s="94" t="e">
        <f aca="true">IF($K447&lt;&gt;$C$8,INDEX(INDIRECT(AB687),$K447,18),VLOOKUP(LARGE(A!$BK$5:$BK$24,18),Team_Score,2,FALSE()))</f>
        <v>#REF!</v>
      </c>
      <c r="T641" s="95" t="s">
        <v>194</v>
      </c>
      <c r="U641" s="96" t="e">
        <f aca="true">INDIRECT("Team"&amp;TEXT(S641,"0")&amp;"Name")</f>
        <v>#REF!</v>
      </c>
      <c r="V641" s="96"/>
      <c r="W641" s="96"/>
      <c r="X641" s="96"/>
      <c r="Y641" s="96"/>
      <c r="Z641" s="97" t="s">
        <v>195</v>
      </c>
      <c r="BJ641" s="57"/>
    </row>
    <row r="642" customFormat="false" ht="24.75" hidden="false" customHeight="true" outlineLevel="0" collapsed="false">
      <c r="G642" s="99" t="s">
        <v>197</v>
      </c>
      <c r="H642" s="100" t="s">
        <v>198</v>
      </c>
      <c r="I642" s="101" t="s">
        <v>199</v>
      </c>
      <c r="J642" s="101" t="s">
        <v>200</v>
      </c>
      <c r="K642" s="101" t="s">
        <v>201</v>
      </c>
      <c r="L642" s="101" t="s">
        <v>202</v>
      </c>
      <c r="M642" s="101" t="s">
        <v>203</v>
      </c>
      <c r="N642" s="101" t="s">
        <v>31</v>
      </c>
      <c r="O642" s="102" t="s">
        <v>204</v>
      </c>
      <c r="Q642" s="99" t="s">
        <v>197</v>
      </c>
      <c r="R642" s="103"/>
      <c r="S642" s="100" t="s">
        <v>198</v>
      </c>
      <c r="T642" s="101" t="s">
        <v>199</v>
      </c>
      <c r="U642" s="101" t="s">
        <v>200</v>
      </c>
      <c r="V642" s="101" t="s">
        <v>201</v>
      </c>
      <c r="W642" s="101" t="s">
        <v>202</v>
      </c>
      <c r="X642" s="101" t="s">
        <v>203</v>
      </c>
      <c r="Y642" s="101" t="s">
        <v>31</v>
      </c>
      <c r="Z642" s="102" t="s">
        <v>204</v>
      </c>
      <c r="BJ642" s="57"/>
    </row>
    <row r="643" customFormat="false" ht="24.75" hidden="false" customHeight="true" outlineLevel="0" collapsed="false">
      <c r="G643" s="104" t="e">
        <f aca="true" t="array" ref="G643:G647">IF(ISBLANK(H641),"Empty",INDIRECT("Team"&amp;TEXT(H641,"0")&amp;"Players"))</f>
        <v>#REF!</v>
      </c>
      <c r="H643" s="105"/>
      <c r="I643" s="106" t="s">
        <v>199</v>
      </c>
      <c r="J643" s="107" t="s">
        <v>200</v>
      </c>
      <c r="K643" s="106" t="s">
        <v>201</v>
      </c>
      <c r="L643" s="107" t="s">
        <v>202</v>
      </c>
      <c r="M643" s="106" t="s">
        <v>203</v>
      </c>
      <c r="N643" s="109"/>
      <c r="O643" s="5"/>
      <c r="Q643" s="110" t="n">
        <v>1</v>
      </c>
      <c r="R643" s="111" t="e">
        <f aca="true" t="array" ref="R643:R647">IF(ISBLANK(S641),"Empty",INDIRECT("Team"&amp;TEXT(S641,"0")&amp;"Players"))</f>
        <v>#REF!</v>
      </c>
      <c r="S643" s="44"/>
      <c r="T643" s="112"/>
      <c r="U643" s="113"/>
      <c r="V643" s="112"/>
      <c r="W643" s="113"/>
      <c r="X643" s="112"/>
      <c r="Y643" s="109"/>
      <c r="Z643" s="5"/>
      <c r="BJ643" s="57"/>
    </row>
    <row r="644" customFormat="false" ht="24.75" hidden="false" customHeight="true" outlineLevel="0" collapsed="false">
      <c r="G644" s="114" t="e">
        <v>#REF!</v>
      </c>
      <c r="H644" s="5"/>
      <c r="I644" s="106" t="s">
        <v>200</v>
      </c>
      <c r="J644" s="107" t="s">
        <v>201</v>
      </c>
      <c r="K644" s="106" t="s">
        <v>202</v>
      </c>
      <c r="L644" s="107" t="s">
        <v>203</v>
      </c>
      <c r="M644" s="106" t="s">
        <v>199</v>
      </c>
      <c r="N644" s="115"/>
      <c r="O644" s="5"/>
      <c r="Q644" s="116" t="n">
        <v>2</v>
      </c>
      <c r="R644" s="117" t="e">
        <v>#REF!</v>
      </c>
      <c r="S644" s="44"/>
      <c r="T644" s="112"/>
      <c r="U644" s="113"/>
      <c r="V644" s="112"/>
      <c r="W644" s="113"/>
      <c r="X644" s="112"/>
      <c r="Y644" s="115"/>
      <c r="Z644" s="5"/>
      <c r="BJ644" s="57"/>
    </row>
    <row r="645" customFormat="false" ht="24.75" hidden="false" customHeight="true" outlineLevel="0" collapsed="false">
      <c r="G645" s="114" t="e">
        <v>#REF!</v>
      </c>
      <c r="H645" s="5"/>
      <c r="I645" s="106" t="s">
        <v>201</v>
      </c>
      <c r="J645" s="107" t="s">
        <v>202</v>
      </c>
      <c r="K645" s="106" t="s">
        <v>203</v>
      </c>
      <c r="L645" s="107" t="s">
        <v>199</v>
      </c>
      <c r="M645" s="106" t="s">
        <v>200</v>
      </c>
      <c r="N645" s="115"/>
      <c r="O645" s="5"/>
      <c r="Q645" s="116" t="n">
        <v>3</v>
      </c>
      <c r="R645" s="117" t="e">
        <v>#REF!</v>
      </c>
      <c r="S645" s="44"/>
      <c r="T645" s="112"/>
      <c r="U645" s="113"/>
      <c r="V645" s="112"/>
      <c r="W645" s="113"/>
      <c r="X645" s="112"/>
      <c r="Y645" s="115"/>
      <c r="Z645" s="5"/>
      <c r="BJ645" s="57"/>
    </row>
    <row r="646" customFormat="false" ht="24.75" hidden="false" customHeight="true" outlineLevel="0" collapsed="false">
      <c r="G646" s="114" t="e">
        <v>#REF!</v>
      </c>
      <c r="H646" s="5"/>
      <c r="I646" s="106" t="s">
        <v>202</v>
      </c>
      <c r="J646" s="107" t="s">
        <v>203</v>
      </c>
      <c r="K646" s="106" t="s">
        <v>199</v>
      </c>
      <c r="L646" s="107" t="s">
        <v>200</v>
      </c>
      <c r="M646" s="106" t="s">
        <v>201</v>
      </c>
      <c r="N646" s="115"/>
      <c r="O646" s="5"/>
      <c r="Q646" s="116" t="n">
        <v>4</v>
      </c>
      <c r="R646" s="117" t="e">
        <v>#REF!</v>
      </c>
      <c r="S646" s="44"/>
      <c r="T646" s="112"/>
      <c r="U646" s="113"/>
      <c r="V646" s="112"/>
      <c r="W646" s="113"/>
      <c r="X646" s="112"/>
      <c r="Y646" s="115"/>
      <c r="Z646" s="5"/>
      <c r="BJ646" s="57"/>
    </row>
    <row r="647" customFormat="false" ht="24.75" hidden="false" customHeight="true" outlineLevel="0" collapsed="false">
      <c r="G647" s="114" t="e">
        <v>#REF!</v>
      </c>
      <c r="H647" s="118"/>
      <c r="I647" s="106" t="s">
        <v>203</v>
      </c>
      <c r="J647" s="107" t="s">
        <v>199</v>
      </c>
      <c r="K647" s="106" t="s">
        <v>200</v>
      </c>
      <c r="L647" s="107" t="s">
        <v>201</v>
      </c>
      <c r="M647" s="106" t="s">
        <v>202</v>
      </c>
      <c r="N647" s="119"/>
      <c r="O647" s="5"/>
      <c r="Q647" s="116" t="n">
        <v>5</v>
      </c>
      <c r="R647" s="120" t="e">
        <v>#REF!</v>
      </c>
      <c r="S647" s="121"/>
      <c r="T647" s="112"/>
      <c r="U647" s="113"/>
      <c r="V647" s="112"/>
      <c r="W647" s="113"/>
      <c r="X647" s="112"/>
      <c r="Y647" s="119"/>
      <c r="Z647" s="5"/>
      <c r="BJ647" s="57"/>
    </row>
    <row r="648" customFormat="false" ht="24.75" hidden="false" customHeight="true" outlineLevel="0" collapsed="false">
      <c r="H648" s="122" t="s">
        <v>60</v>
      </c>
      <c r="I648" s="123"/>
      <c r="J648" s="123"/>
      <c r="K648" s="123"/>
      <c r="L648" s="123"/>
      <c r="M648" s="123"/>
      <c r="N648" s="118"/>
      <c r="O648" s="118"/>
      <c r="S648" s="122" t="s">
        <v>60</v>
      </c>
      <c r="T648" s="123"/>
      <c r="U648" s="123"/>
      <c r="V648" s="123"/>
      <c r="W648" s="123"/>
      <c r="X648" s="123"/>
      <c r="Y648" s="118"/>
      <c r="Z648" s="118"/>
      <c r="BJ648" s="57"/>
    </row>
    <row r="649" customFormat="false" ht="24.75" hidden="false" customHeight="true" outlineLevel="0" collapsed="false">
      <c r="H649" s="122" t="s">
        <v>205</v>
      </c>
      <c r="I649" s="5" t="e">
        <f aca="false">INT(N649/5)</f>
        <v>#REF!</v>
      </c>
      <c r="J649" s="5" t="e">
        <f aca="false">INT(N649/5)</f>
        <v>#REF!</v>
      </c>
      <c r="K649" s="5" t="e">
        <f aca="false">INT(N649/5)</f>
        <v>#REF!</v>
      </c>
      <c r="L649" s="5" t="e">
        <f aca="false">INT(N649/5)</f>
        <v>#REF!</v>
      </c>
      <c r="M649" s="5" t="e">
        <f aca="false">MOD(N649,5)+INT(N649/5)</f>
        <v>#REF!</v>
      </c>
      <c r="N649" s="5" t="e">
        <f aca="true">IF(INDIRECT("Team"&amp;TEXT(H641,"0")&amp;"Average")&gt;INDIRECT("Team"&amp;TEXT(S641,"0")&amp;"Average"),0,C13*(INDIRECT("Team"&amp;TEXT(S641,"0")&amp;"Average")-INDIRECT("Team"&amp;TEXT(H641,"0")&amp;"Average")))</f>
        <v>#REF!</v>
      </c>
      <c r="O649" s="118"/>
      <c r="S649" s="122" t="s">
        <v>205</v>
      </c>
      <c r="T649" s="5" t="e">
        <f aca="false">INT(Y649/5)</f>
        <v>#REF!</v>
      </c>
      <c r="U649" s="5" t="e">
        <f aca="false">INT(Y649/5)</f>
        <v>#REF!</v>
      </c>
      <c r="V649" s="5" t="e">
        <f aca="false">INT(Y649/5)</f>
        <v>#REF!</v>
      </c>
      <c r="W649" s="5" t="e">
        <f aca="false">INT(Y649/5)</f>
        <v>#REF!</v>
      </c>
      <c r="X649" s="5" t="e">
        <f aca="false">MOD(Y649,5)+INT(Y649/5)</f>
        <v>#REF!</v>
      </c>
      <c r="Y649" s="5" t="e">
        <f aca="true">IF(INDIRECT("Team"&amp;TEXT(S641,"0")&amp;"Average")&gt;INDIRECT("Team"&amp;TEXT(H641,"0")&amp;"Average"),0,C13*(INDIRECT("Team"&amp;TEXT(H641,"0")&amp;"Average")-INDIRECT("Team"&amp;TEXT(S641,"0")&amp;"Average")))</f>
        <v>#REF!</v>
      </c>
      <c r="Z649" s="118"/>
      <c r="BJ649" s="57"/>
    </row>
    <row r="650" customFormat="false" ht="24.75" hidden="false" customHeight="true" outlineLevel="0" collapsed="false">
      <c r="H650" s="122" t="s">
        <v>31</v>
      </c>
      <c r="I650" s="123"/>
      <c r="J650" s="123"/>
      <c r="K650" s="123"/>
      <c r="L650" s="123"/>
      <c r="M650" s="124"/>
      <c r="N650" s="125"/>
      <c r="O650" s="118"/>
      <c r="S650" s="122" t="s">
        <v>31</v>
      </c>
      <c r="T650" s="123"/>
      <c r="U650" s="123"/>
      <c r="V650" s="123"/>
      <c r="W650" s="123"/>
      <c r="X650" s="124"/>
      <c r="Y650" s="125"/>
      <c r="Z650" s="118"/>
      <c r="BJ650" s="57"/>
    </row>
    <row r="651" customFormat="false" ht="15" hidden="false" customHeight="false" outlineLevel="0" collapsed="false">
      <c r="G651" s="127"/>
      <c r="BJ651" s="57"/>
    </row>
    <row r="652" customFormat="false" ht="9.75" hidden="false" customHeight="true" outlineLevel="0" collapsed="false">
      <c r="I652" s="128" t="s">
        <v>206</v>
      </c>
      <c r="J652" s="44"/>
      <c r="K652" s="128" t="s">
        <v>31</v>
      </c>
      <c r="L652" s="44"/>
      <c r="T652" s="128" t="s">
        <v>207</v>
      </c>
      <c r="U652" s="44"/>
      <c r="V652" s="128" t="s">
        <v>31</v>
      </c>
      <c r="W652" s="44"/>
      <c r="BJ652" s="57"/>
    </row>
    <row r="653" customFormat="false" ht="9.75" hidden="false" customHeight="true" outlineLevel="0" collapsed="false">
      <c r="I653" s="129" t="s">
        <v>208</v>
      </c>
      <c r="J653" s="130"/>
      <c r="K653" s="129" t="s">
        <v>209</v>
      </c>
      <c r="L653" s="130"/>
      <c r="T653" s="129" t="s">
        <v>208</v>
      </c>
      <c r="U653" s="130"/>
      <c r="V653" s="129" t="s">
        <v>209</v>
      </c>
      <c r="W653" s="130"/>
      <c r="BJ653" s="57"/>
    </row>
    <row r="654" customFormat="false" ht="15" hidden="false" customHeight="false" outlineLevel="0" collapsed="false">
      <c r="BJ654" s="57"/>
    </row>
    <row r="655" customFormat="false" ht="15" hidden="false" customHeight="false" outlineLevel="0" collapsed="false">
      <c r="BJ655" s="57"/>
    </row>
    <row r="656" customFormat="false" ht="15" hidden="false" customHeight="false" outlineLevel="0" collapsed="false">
      <c r="G656" s="131" t="s">
        <v>210</v>
      </c>
      <c r="BJ656" s="57"/>
    </row>
    <row r="657" customFormat="false" ht="24.75" hidden="false" customHeight="true" outlineLevel="0" collapsed="false">
      <c r="G657" s="66" t="s">
        <v>211</v>
      </c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BJ657" s="57"/>
    </row>
    <row r="658" customFormat="false" ht="24.75" hidden="false" customHeight="true" outlineLevel="0" collapsed="false"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BJ658" s="57"/>
    </row>
    <row r="659" customFormat="false" ht="24.75" hidden="false" customHeight="true" outlineLevel="0" collapsed="false"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BJ659" s="57"/>
    </row>
    <row r="660" customFormat="false" ht="24.75" hidden="false" customHeight="true" outlineLevel="0" collapsed="false"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BJ660" s="57"/>
    </row>
    <row r="661" customFormat="false" ht="22.05" hidden="false" customHeight="false" outlineLevel="0" collapsed="false">
      <c r="G661" s="86" t="str">
        <f aca="false">"Clicks "&amp;$C$3&amp;":"&amp;" "&amp;$C$10&amp;" "&amp;$C$9&amp;" League Score Sheet"</f>
        <v>Clicks Tucson: Get-a-Cue 8-Ball League Score Sheet</v>
      </c>
      <c r="Z661" s="87" t="s">
        <v>220</v>
      </c>
      <c r="BJ661" s="57"/>
    </row>
    <row r="662" customFormat="false" ht="15" hidden="false" customHeight="false" outlineLevel="0" collapsed="false">
      <c r="BJ662" s="57"/>
    </row>
    <row r="663" customFormat="false" ht="24.75" hidden="false" customHeight="true" outlineLevel="0" collapsed="false">
      <c r="G663" s="88" t="n">
        <f aca="true">TODAY()</f>
        <v>46171</v>
      </c>
      <c r="H663" s="88"/>
      <c r="I663" s="89" t="s">
        <v>190</v>
      </c>
      <c r="J663" s="90"/>
      <c r="K663" s="91" t="n">
        <f aca="false">A!$AW$13+1</f>
        <v>7</v>
      </c>
      <c r="L663" s="90" t="s">
        <v>191</v>
      </c>
      <c r="M663" s="90"/>
      <c r="N663" s="92" t="n">
        <f aca="false">$C$4</f>
        <v>335</v>
      </c>
      <c r="S663" s="89" t="s">
        <v>192</v>
      </c>
      <c r="T663" s="90"/>
      <c r="U663" s="90"/>
      <c r="V663" s="90"/>
      <c r="W663" s="89"/>
      <c r="X663" s="90"/>
      <c r="Y663" s="91" t="e">
        <f aca="true">INDEX(INDIRECT("Sched_"&amp;TEXT($C$5,"0")&amp;"_Matches"),1,19)</f>
        <v>#REF!</v>
      </c>
      <c r="Z663" s="91"/>
      <c r="BJ663" s="57"/>
    </row>
    <row r="664" customFormat="false" ht="24.75" hidden="false" customHeight="true" outlineLevel="0" collapsed="false">
      <c r="BJ664" s="57"/>
    </row>
    <row r="665" customFormat="false" ht="24.75" hidden="false" customHeight="true" outlineLevel="0" collapsed="false">
      <c r="G665" s="93" t="s">
        <v>193</v>
      </c>
      <c r="H665" s="94" t="e">
        <f aca="true">IF($K447&lt;&gt;$C$8,INDEX(INDIRECT(AB687),$K447,19),VLOOKUP(LARGE(A!$BK$5:$BK$24,19),Team_Score,2,FALSE()))</f>
        <v>#REF!</v>
      </c>
      <c r="I665" s="95" t="s">
        <v>194</v>
      </c>
      <c r="J665" s="96" t="e">
        <f aca="true">INDIRECT("Team"&amp;TEXT(H665,"0")&amp;"Name")</f>
        <v>#REF!</v>
      </c>
      <c r="K665" s="96"/>
      <c r="L665" s="96"/>
      <c r="M665" s="96"/>
      <c r="N665" s="96"/>
      <c r="O665" s="97" t="s">
        <v>195</v>
      </c>
      <c r="Q665" s="93" t="s">
        <v>196</v>
      </c>
      <c r="R665" s="98"/>
      <c r="S665" s="94" t="e">
        <f aca="true">IF($K447&lt;&gt;$C$8,INDEX(INDIRECT(AB687),$K447,20),VLOOKUP(LARGE(A!$BK$5:$BK$24,20),Team_Score,2,FALSE()))</f>
        <v>#REF!</v>
      </c>
      <c r="T665" s="95" t="s">
        <v>194</v>
      </c>
      <c r="U665" s="96" t="e">
        <f aca="true">INDIRECT("Team"&amp;TEXT(S665,"0")&amp;"Name")</f>
        <v>#REF!</v>
      </c>
      <c r="V665" s="96"/>
      <c r="W665" s="96"/>
      <c r="X665" s="96"/>
      <c r="Y665" s="96"/>
      <c r="Z665" s="97" t="s">
        <v>195</v>
      </c>
      <c r="BJ665" s="57"/>
    </row>
    <row r="666" customFormat="false" ht="24.75" hidden="false" customHeight="true" outlineLevel="0" collapsed="false">
      <c r="G666" s="99" t="s">
        <v>197</v>
      </c>
      <c r="H666" s="100" t="s">
        <v>198</v>
      </c>
      <c r="I666" s="101" t="s">
        <v>199</v>
      </c>
      <c r="J666" s="101" t="s">
        <v>200</v>
      </c>
      <c r="K666" s="101" t="s">
        <v>201</v>
      </c>
      <c r="L666" s="101" t="s">
        <v>202</v>
      </c>
      <c r="M666" s="101" t="s">
        <v>203</v>
      </c>
      <c r="N666" s="101" t="s">
        <v>31</v>
      </c>
      <c r="O666" s="102" t="s">
        <v>204</v>
      </c>
      <c r="Q666" s="99" t="s">
        <v>197</v>
      </c>
      <c r="R666" s="103"/>
      <c r="S666" s="100" t="s">
        <v>198</v>
      </c>
      <c r="T666" s="101" t="s">
        <v>199</v>
      </c>
      <c r="U666" s="101" t="s">
        <v>200</v>
      </c>
      <c r="V666" s="101" t="s">
        <v>201</v>
      </c>
      <c r="W666" s="101" t="s">
        <v>202</v>
      </c>
      <c r="X666" s="101" t="s">
        <v>203</v>
      </c>
      <c r="Y666" s="101" t="s">
        <v>31</v>
      </c>
      <c r="Z666" s="102" t="s">
        <v>204</v>
      </c>
      <c r="BJ666" s="57"/>
    </row>
    <row r="667" customFormat="false" ht="24.75" hidden="false" customHeight="true" outlineLevel="0" collapsed="false">
      <c r="G667" s="104" t="e">
        <f aca="true" t="array" ref="G667:G671">IF(ISBLANK(H665),"Empty",INDIRECT("Team"&amp;TEXT(H665,"0")&amp;"Players"))</f>
        <v>#REF!</v>
      </c>
      <c r="H667" s="105"/>
      <c r="I667" s="106" t="s">
        <v>199</v>
      </c>
      <c r="J667" s="107" t="s">
        <v>200</v>
      </c>
      <c r="K667" s="106" t="s">
        <v>201</v>
      </c>
      <c r="L667" s="107" t="s">
        <v>202</v>
      </c>
      <c r="M667" s="106" t="s">
        <v>203</v>
      </c>
      <c r="N667" s="109"/>
      <c r="O667" s="5"/>
      <c r="Q667" s="110" t="n">
        <v>1</v>
      </c>
      <c r="R667" s="111" t="e">
        <f aca="true" t="array" ref="R667:R671">IF(ISBLANK(S665),"Empty",INDIRECT("Team"&amp;TEXT(S665,"0")&amp;"Players"))</f>
        <v>#REF!</v>
      </c>
      <c r="S667" s="44"/>
      <c r="T667" s="112"/>
      <c r="U667" s="113"/>
      <c r="V667" s="112"/>
      <c r="W667" s="113"/>
      <c r="X667" s="112"/>
      <c r="Y667" s="109"/>
      <c r="Z667" s="5"/>
      <c r="BJ667" s="57"/>
    </row>
    <row r="668" customFormat="false" ht="24.75" hidden="false" customHeight="true" outlineLevel="0" collapsed="false">
      <c r="G668" s="114" t="e">
        <v>#REF!</v>
      </c>
      <c r="H668" s="5"/>
      <c r="I668" s="106" t="s">
        <v>200</v>
      </c>
      <c r="J668" s="107" t="s">
        <v>201</v>
      </c>
      <c r="K668" s="106" t="s">
        <v>202</v>
      </c>
      <c r="L668" s="107" t="s">
        <v>203</v>
      </c>
      <c r="M668" s="106" t="s">
        <v>199</v>
      </c>
      <c r="N668" s="115"/>
      <c r="O668" s="5"/>
      <c r="Q668" s="116" t="n">
        <v>2</v>
      </c>
      <c r="R668" s="117" t="e">
        <v>#REF!</v>
      </c>
      <c r="S668" s="44"/>
      <c r="T668" s="112"/>
      <c r="U668" s="113"/>
      <c r="V668" s="112"/>
      <c r="W668" s="113"/>
      <c r="X668" s="112"/>
      <c r="Y668" s="115"/>
      <c r="Z668" s="5"/>
      <c r="BJ668" s="57"/>
    </row>
    <row r="669" customFormat="false" ht="24.75" hidden="false" customHeight="true" outlineLevel="0" collapsed="false">
      <c r="G669" s="114" t="e">
        <v>#REF!</v>
      </c>
      <c r="H669" s="5"/>
      <c r="I669" s="106" t="s">
        <v>201</v>
      </c>
      <c r="J669" s="107" t="s">
        <v>202</v>
      </c>
      <c r="K669" s="106" t="s">
        <v>203</v>
      </c>
      <c r="L669" s="107" t="s">
        <v>199</v>
      </c>
      <c r="M669" s="106" t="s">
        <v>200</v>
      </c>
      <c r="N669" s="115"/>
      <c r="O669" s="5"/>
      <c r="Q669" s="116" t="n">
        <v>3</v>
      </c>
      <c r="R669" s="117" t="e">
        <v>#REF!</v>
      </c>
      <c r="S669" s="44"/>
      <c r="T669" s="112"/>
      <c r="U669" s="113"/>
      <c r="V669" s="112"/>
      <c r="W669" s="113"/>
      <c r="X669" s="112"/>
      <c r="Y669" s="115"/>
      <c r="Z669" s="5"/>
      <c r="BJ669" s="57"/>
    </row>
    <row r="670" customFormat="false" ht="24.75" hidden="false" customHeight="true" outlineLevel="0" collapsed="false">
      <c r="G670" s="114" t="e">
        <v>#REF!</v>
      </c>
      <c r="H670" s="5"/>
      <c r="I670" s="106" t="s">
        <v>202</v>
      </c>
      <c r="J670" s="107" t="s">
        <v>203</v>
      </c>
      <c r="K670" s="106" t="s">
        <v>199</v>
      </c>
      <c r="L670" s="107" t="s">
        <v>200</v>
      </c>
      <c r="M670" s="106" t="s">
        <v>201</v>
      </c>
      <c r="N670" s="115"/>
      <c r="O670" s="5"/>
      <c r="Q670" s="116" t="n">
        <v>4</v>
      </c>
      <c r="R670" s="117" t="e">
        <v>#REF!</v>
      </c>
      <c r="S670" s="44"/>
      <c r="T670" s="112"/>
      <c r="U670" s="113"/>
      <c r="V670" s="112"/>
      <c r="W670" s="113"/>
      <c r="X670" s="112"/>
      <c r="Y670" s="115"/>
      <c r="Z670" s="5"/>
      <c r="BJ670" s="57"/>
    </row>
    <row r="671" customFormat="false" ht="24.75" hidden="false" customHeight="true" outlineLevel="0" collapsed="false">
      <c r="G671" s="114" t="e">
        <v>#REF!</v>
      </c>
      <c r="H671" s="118"/>
      <c r="I671" s="106" t="s">
        <v>203</v>
      </c>
      <c r="J671" s="107" t="s">
        <v>199</v>
      </c>
      <c r="K671" s="106" t="s">
        <v>200</v>
      </c>
      <c r="L671" s="107" t="s">
        <v>201</v>
      </c>
      <c r="M671" s="106" t="s">
        <v>202</v>
      </c>
      <c r="N671" s="119"/>
      <c r="O671" s="5"/>
      <c r="Q671" s="116" t="n">
        <v>5</v>
      </c>
      <c r="R671" s="120" t="e">
        <v>#REF!</v>
      </c>
      <c r="S671" s="121"/>
      <c r="T671" s="112"/>
      <c r="U671" s="113"/>
      <c r="V671" s="112"/>
      <c r="W671" s="113"/>
      <c r="X671" s="112"/>
      <c r="Y671" s="119"/>
      <c r="Z671" s="5"/>
      <c r="BJ671" s="57"/>
    </row>
    <row r="672" customFormat="false" ht="24.75" hidden="false" customHeight="true" outlineLevel="0" collapsed="false">
      <c r="H672" s="122" t="s">
        <v>60</v>
      </c>
      <c r="I672" s="123"/>
      <c r="J672" s="123"/>
      <c r="K672" s="123"/>
      <c r="L672" s="123"/>
      <c r="M672" s="123"/>
      <c r="N672" s="118"/>
      <c r="O672" s="118"/>
      <c r="S672" s="122" t="s">
        <v>60</v>
      </c>
      <c r="T672" s="123"/>
      <c r="U672" s="123"/>
      <c r="V672" s="123"/>
      <c r="W672" s="123"/>
      <c r="X672" s="123"/>
      <c r="Y672" s="118"/>
      <c r="Z672" s="118"/>
      <c r="BJ672" s="57"/>
    </row>
    <row r="673" customFormat="false" ht="24.75" hidden="false" customHeight="true" outlineLevel="0" collapsed="false">
      <c r="H673" s="122" t="s">
        <v>205</v>
      </c>
      <c r="I673" s="5" t="e">
        <f aca="false">INT(N673/5)</f>
        <v>#REF!</v>
      </c>
      <c r="J673" s="5" t="e">
        <f aca="false">INT(N673/5)</f>
        <v>#REF!</v>
      </c>
      <c r="K673" s="5" t="e">
        <f aca="false">INT(N673/5)</f>
        <v>#REF!</v>
      </c>
      <c r="L673" s="5" t="e">
        <f aca="false">INT(N673/5)</f>
        <v>#REF!</v>
      </c>
      <c r="M673" s="5" t="e">
        <f aca="false">MOD(N673,5)+INT(N673/5)</f>
        <v>#REF!</v>
      </c>
      <c r="N673" s="5" t="e">
        <f aca="true">IF(INDIRECT("Team"&amp;TEXT(H665,"0")&amp;"Average")&gt;INDIRECT("Team"&amp;TEXT(S665,"0")&amp;"Average"),0,C13*(INDIRECT("Team"&amp;TEXT(S665,"0")&amp;"Average")-INDIRECT("Team"&amp;TEXT(H665,"0")&amp;"Average")))</f>
        <v>#REF!</v>
      </c>
      <c r="O673" s="118"/>
      <c r="S673" s="122" t="s">
        <v>205</v>
      </c>
      <c r="T673" s="5" t="e">
        <f aca="false">INT(Y673/5)</f>
        <v>#REF!</v>
      </c>
      <c r="U673" s="5" t="e">
        <f aca="false">INT(Y673/5)</f>
        <v>#REF!</v>
      </c>
      <c r="V673" s="5" t="e">
        <f aca="false">INT(Y673/5)</f>
        <v>#REF!</v>
      </c>
      <c r="W673" s="5" t="e">
        <f aca="false">INT(Y673/5)</f>
        <v>#REF!</v>
      </c>
      <c r="X673" s="5" t="e">
        <f aca="false">MOD(Y673,5)+INT(Y673/5)</f>
        <v>#REF!</v>
      </c>
      <c r="Y673" s="5" t="e">
        <f aca="true">IF(INDIRECT("Team"&amp;TEXT(S665,"0")&amp;"Average")&gt;INDIRECT("Team"&amp;TEXT(H665,"0")&amp;"Average"),0,C13*(INDIRECT("Team"&amp;TEXT(H665,"0")&amp;"Average")-INDIRECT("Team"&amp;TEXT(S665,"0")&amp;"Average")))</f>
        <v>#REF!</v>
      </c>
      <c r="Z673" s="118"/>
      <c r="BJ673" s="57"/>
    </row>
    <row r="674" customFormat="false" ht="24.75" hidden="false" customHeight="true" outlineLevel="0" collapsed="false">
      <c r="H674" s="122" t="s">
        <v>31</v>
      </c>
      <c r="I674" s="123"/>
      <c r="J674" s="123"/>
      <c r="K674" s="123"/>
      <c r="L674" s="123"/>
      <c r="M674" s="124"/>
      <c r="N674" s="125"/>
      <c r="O674" s="118"/>
      <c r="S674" s="122" t="s">
        <v>31</v>
      </c>
      <c r="T674" s="123"/>
      <c r="U674" s="123"/>
      <c r="V674" s="123"/>
      <c r="W674" s="123"/>
      <c r="X674" s="124"/>
      <c r="Y674" s="125"/>
      <c r="Z674" s="118"/>
      <c r="BJ674" s="57"/>
    </row>
    <row r="675" customFormat="false" ht="15" hidden="false" customHeight="false" outlineLevel="0" collapsed="false">
      <c r="G675" s="127"/>
      <c r="BJ675" s="57"/>
    </row>
    <row r="676" customFormat="false" ht="9.75" hidden="false" customHeight="true" outlineLevel="0" collapsed="false">
      <c r="I676" s="128" t="s">
        <v>206</v>
      </c>
      <c r="J676" s="44"/>
      <c r="K676" s="128" t="s">
        <v>31</v>
      </c>
      <c r="L676" s="44"/>
      <c r="T676" s="128" t="s">
        <v>207</v>
      </c>
      <c r="U676" s="44"/>
      <c r="V676" s="128" t="s">
        <v>31</v>
      </c>
      <c r="W676" s="44"/>
      <c r="BJ676" s="57"/>
    </row>
    <row r="677" customFormat="false" ht="9.75" hidden="false" customHeight="true" outlineLevel="0" collapsed="false">
      <c r="I677" s="129" t="s">
        <v>208</v>
      </c>
      <c r="J677" s="130"/>
      <c r="K677" s="129" t="s">
        <v>209</v>
      </c>
      <c r="L677" s="130"/>
      <c r="T677" s="129" t="s">
        <v>208</v>
      </c>
      <c r="U677" s="130"/>
      <c r="V677" s="129" t="s">
        <v>209</v>
      </c>
      <c r="W677" s="130"/>
      <c r="BJ677" s="57"/>
    </row>
    <row r="678" customFormat="false" ht="15" hidden="false" customHeight="false" outlineLevel="0" collapsed="false">
      <c r="BJ678" s="57"/>
    </row>
    <row r="679" customFormat="false" ht="15" hidden="false" customHeight="false" outlineLevel="0" collapsed="false">
      <c r="BJ679" s="57"/>
    </row>
    <row r="680" customFormat="false" ht="15" hidden="false" customHeight="false" outlineLevel="0" collapsed="false">
      <c r="G680" s="131" t="s">
        <v>210</v>
      </c>
      <c r="BJ680" s="57"/>
    </row>
    <row r="681" customFormat="false" ht="24.75" hidden="false" customHeight="true" outlineLevel="0" collapsed="false">
      <c r="G681" s="66" t="s">
        <v>211</v>
      </c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BJ681" s="57"/>
    </row>
    <row r="682" customFormat="false" ht="24.75" hidden="false" customHeight="true" outlineLevel="0" collapsed="false"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BJ682" s="57"/>
    </row>
    <row r="683" customFormat="false" ht="24.75" hidden="false" customHeight="true" outlineLevel="0" collapsed="false"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BJ683" s="57"/>
    </row>
    <row r="684" customFormat="false" ht="24.75" hidden="false" customHeight="true" outlineLevel="0" collapsed="false"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BJ684" s="57"/>
    </row>
    <row r="687" customFormat="false" ht="15.5" hidden="false" customHeight="false" outlineLevel="0" collapsed="false">
      <c r="AB687" s="0" t="str">
        <f aca="false">"Sched_" &amp; TEXT($C$5,"0")</f>
        <v>Sched_12</v>
      </c>
      <c r="AD687" s="0" t="s">
        <v>221</v>
      </c>
      <c r="AI687" s="132" t="s">
        <v>222</v>
      </c>
      <c r="AJ687" s="132"/>
      <c r="AK687" s="132"/>
      <c r="AL687" s="132"/>
      <c r="AM687" s="132"/>
      <c r="AN687" s="132"/>
      <c r="AP687" s="132" t="s">
        <v>223</v>
      </c>
      <c r="AQ687" s="132"/>
      <c r="AR687" s="132"/>
      <c r="AS687" s="132"/>
      <c r="AT687" s="132"/>
      <c r="AU687" s="132"/>
      <c r="AV687" s="132"/>
      <c r="AW687" s="132"/>
      <c r="AY687" s="132" t="s">
        <v>224</v>
      </c>
      <c r="AZ687" s="132"/>
      <c r="BA687" s="132"/>
      <c r="BB687" s="132"/>
      <c r="BC687" s="132"/>
      <c r="BD687" s="132"/>
      <c r="BE687" s="132"/>
      <c r="BF687" s="132"/>
      <c r="BG687" s="132"/>
      <c r="BH687" s="132"/>
      <c r="BJ687" s="132" t="s">
        <v>225</v>
      </c>
      <c r="BK687" s="132"/>
      <c r="BL687" s="132"/>
      <c r="BM687" s="132"/>
      <c r="BN687" s="132"/>
      <c r="BO687" s="132"/>
      <c r="BP687" s="132"/>
      <c r="BQ687" s="132"/>
      <c r="BR687" s="132"/>
      <c r="BS687" s="132"/>
      <c r="BT687" s="4"/>
      <c r="BU687" s="4"/>
      <c r="BW687" s="133" t="s">
        <v>226</v>
      </c>
      <c r="BX687" s="133"/>
      <c r="BY687" s="133"/>
      <c r="BZ687" s="133"/>
      <c r="CA687" s="133"/>
      <c r="CB687" s="133"/>
      <c r="CC687" s="133"/>
      <c r="CD687" s="133"/>
      <c r="CE687" s="133"/>
      <c r="CF687" s="133"/>
      <c r="CG687" s="4"/>
      <c r="CH687" s="4"/>
      <c r="CI687" s="4"/>
      <c r="CJ687" s="4"/>
      <c r="CL687" s="132" t="s">
        <v>227</v>
      </c>
      <c r="CM687" s="132"/>
      <c r="CN687" s="132"/>
      <c r="CO687" s="132"/>
      <c r="CP687" s="132"/>
      <c r="CQ687" s="132"/>
      <c r="CR687" s="132"/>
      <c r="CS687" s="132"/>
      <c r="CT687" s="132"/>
      <c r="CU687" s="132"/>
      <c r="CV687" s="4"/>
      <c r="CW687" s="4"/>
      <c r="CX687" s="4"/>
      <c r="CY687" s="4"/>
      <c r="CZ687" s="4"/>
      <c r="DA687" s="4"/>
      <c r="DC687" s="132" t="s">
        <v>228</v>
      </c>
      <c r="DD687" s="132"/>
      <c r="DE687" s="132"/>
      <c r="DF687" s="132"/>
      <c r="DG687" s="132"/>
      <c r="DH687" s="132"/>
      <c r="DI687" s="132"/>
      <c r="DJ687" s="132"/>
      <c r="DK687" s="132"/>
      <c r="DL687" s="132"/>
      <c r="DM687" s="4"/>
      <c r="DN687" s="4"/>
      <c r="DO687" s="4"/>
      <c r="DP687" s="4"/>
      <c r="DQ687" s="4"/>
      <c r="DR687" s="4"/>
      <c r="DS687" s="4"/>
      <c r="DT687" s="4"/>
      <c r="DV687" s="132" t="s">
        <v>229</v>
      </c>
      <c r="DW687" s="132"/>
      <c r="DX687" s="132"/>
      <c r="DY687" s="132"/>
      <c r="DZ687" s="132"/>
      <c r="EA687" s="132"/>
      <c r="EB687" s="132"/>
      <c r="EC687" s="132"/>
      <c r="ED687" s="132"/>
      <c r="EE687" s="132"/>
      <c r="EF687" s="4"/>
      <c r="EG687" s="4"/>
      <c r="EH687" s="4"/>
      <c r="EI687" s="4"/>
      <c r="EJ687" s="4"/>
      <c r="EK687" s="4"/>
      <c r="EL687" s="4"/>
      <c r="EM687" s="4"/>
      <c r="EN687" s="4"/>
      <c r="EO687" s="4"/>
    </row>
    <row r="689" customFormat="false" ht="15" hidden="false" customHeight="false" outlineLevel="0" collapsed="false">
      <c r="AB689" s="17" t="s">
        <v>230</v>
      </c>
      <c r="AD689" s="134" t="s">
        <v>231</v>
      </c>
      <c r="AE689" s="134"/>
      <c r="AF689" s="134" t="s">
        <v>232</v>
      </c>
      <c r="AG689" s="134"/>
      <c r="AH689" s="135"/>
      <c r="AI689" s="136" t="s">
        <v>233</v>
      </c>
      <c r="AJ689" s="136"/>
      <c r="AK689" s="136" t="s">
        <v>234</v>
      </c>
      <c r="AL689" s="136"/>
      <c r="AM689" s="136" t="s">
        <v>235</v>
      </c>
      <c r="AN689" s="136"/>
      <c r="AO689" s="135"/>
      <c r="AP689" s="134" t="s">
        <v>236</v>
      </c>
      <c r="AQ689" s="134"/>
      <c r="AR689" s="134" t="s">
        <v>233</v>
      </c>
      <c r="AS689" s="134"/>
      <c r="AT689" s="134" t="s">
        <v>237</v>
      </c>
      <c r="AU689" s="134"/>
      <c r="AV689" s="134" t="s">
        <v>234</v>
      </c>
      <c r="AW689" s="134"/>
      <c r="AY689" s="134" t="s">
        <v>236</v>
      </c>
      <c r="AZ689" s="134"/>
      <c r="BA689" s="134" t="s">
        <v>233</v>
      </c>
      <c r="BB689" s="134"/>
      <c r="BC689" s="134" t="s">
        <v>237</v>
      </c>
      <c r="BD689" s="134"/>
      <c r="BE689" s="134" t="s">
        <v>234</v>
      </c>
      <c r="BF689" s="134"/>
      <c r="BG689" s="134" t="s">
        <v>238</v>
      </c>
      <c r="BH689" s="134"/>
      <c r="BJ689" s="134" t="s">
        <v>236</v>
      </c>
      <c r="BK689" s="134"/>
      <c r="BL689" s="134" t="s">
        <v>233</v>
      </c>
      <c r="BM689" s="134"/>
      <c r="BN689" s="134" t="s">
        <v>237</v>
      </c>
      <c r="BO689" s="134"/>
      <c r="BP689" s="134" t="s">
        <v>234</v>
      </c>
      <c r="BQ689" s="134"/>
      <c r="BR689" s="134" t="s">
        <v>238</v>
      </c>
      <c r="BS689" s="134"/>
      <c r="BT689" s="134" t="s">
        <v>239</v>
      </c>
      <c r="BU689" s="134"/>
      <c r="BW689" s="134" t="s">
        <v>236</v>
      </c>
      <c r="BX689" s="134"/>
      <c r="BY689" s="134" t="s">
        <v>233</v>
      </c>
      <c r="BZ689" s="134"/>
      <c r="CA689" s="134" t="s">
        <v>237</v>
      </c>
      <c r="CB689" s="134"/>
      <c r="CC689" s="134" t="s">
        <v>234</v>
      </c>
      <c r="CD689" s="134"/>
      <c r="CE689" s="134" t="s">
        <v>238</v>
      </c>
      <c r="CF689" s="134"/>
      <c r="CG689" s="134" t="s">
        <v>240</v>
      </c>
      <c r="CH689" s="134"/>
      <c r="CI689" s="134" t="s">
        <v>241</v>
      </c>
      <c r="CJ689" s="134"/>
      <c r="CL689" s="134" t="s">
        <v>236</v>
      </c>
      <c r="CM689" s="134"/>
      <c r="CN689" s="134" t="s">
        <v>233</v>
      </c>
      <c r="CO689" s="134"/>
      <c r="CP689" s="134" t="s">
        <v>237</v>
      </c>
      <c r="CQ689" s="134"/>
      <c r="CR689" s="134" t="s">
        <v>234</v>
      </c>
      <c r="CS689" s="134"/>
      <c r="CT689" s="134" t="s">
        <v>238</v>
      </c>
      <c r="CU689" s="134"/>
      <c r="CV689" s="134" t="s">
        <v>240</v>
      </c>
      <c r="CW689" s="134"/>
      <c r="CX689" s="134" t="s">
        <v>241</v>
      </c>
      <c r="CY689" s="134"/>
      <c r="CZ689" s="134" t="s">
        <v>242</v>
      </c>
      <c r="DA689" s="134"/>
      <c r="DC689" s="134" t="s">
        <v>236</v>
      </c>
      <c r="DD689" s="134"/>
      <c r="DE689" s="134" t="s">
        <v>233</v>
      </c>
      <c r="DF689" s="134"/>
      <c r="DG689" s="134" t="s">
        <v>237</v>
      </c>
      <c r="DH689" s="134"/>
      <c r="DI689" s="134" t="s">
        <v>234</v>
      </c>
      <c r="DJ689" s="134"/>
      <c r="DK689" s="134" t="s">
        <v>238</v>
      </c>
      <c r="DL689" s="134"/>
      <c r="DM689" s="134" t="s">
        <v>240</v>
      </c>
      <c r="DN689" s="134"/>
      <c r="DO689" s="134" t="s">
        <v>241</v>
      </c>
      <c r="DP689" s="134"/>
      <c r="DQ689" s="134" t="s">
        <v>242</v>
      </c>
      <c r="DR689" s="134"/>
      <c r="DS689" s="134" t="s">
        <v>243</v>
      </c>
      <c r="DT689" s="134"/>
      <c r="DV689" s="134" t="s">
        <v>236</v>
      </c>
      <c r="DW689" s="134"/>
      <c r="DX689" s="134" t="s">
        <v>233</v>
      </c>
      <c r="DY689" s="134"/>
      <c r="DZ689" s="134" t="s">
        <v>237</v>
      </c>
      <c r="EA689" s="134"/>
      <c r="EB689" s="134" t="s">
        <v>234</v>
      </c>
      <c r="EC689" s="134"/>
      <c r="ED689" s="134" t="s">
        <v>238</v>
      </c>
      <c r="EE689" s="134"/>
      <c r="EF689" s="134" t="s">
        <v>240</v>
      </c>
      <c r="EG689" s="134"/>
      <c r="EH689" s="134" t="s">
        <v>241</v>
      </c>
      <c r="EI689" s="134"/>
      <c r="EJ689" s="134" t="s">
        <v>242</v>
      </c>
      <c r="EK689" s="134"/>
      <c r="EL689" s="134" t="s">
        <v>243</v>
      </c>
      <c r="EM689" s="134"/>
      <c r="EN689" s="134" t="s">
        <v>244</v>
      </c>
      <c r="EO689" s="134"/>
    </row>
    <row r="690" customFormat="false" ht="15" hidden="false" customHeight="false" outlineLevel="0" collapsed="false">
      <c r="AB690" s="17" t="s">
        <v>245</v>
      </c>
      <c r="AD690" s="137" t="s">
        <v>53</v>
      </c>
      <c r="AE690" s="138" t="s">
        <v>246</v>
      </c>
      <c r="AF690" s="137" t="s">
        <v>53</v>
      </c>
      <c r="AG690" s="138" t="s">
        <v>246</v>
      </c>
      <c r="AH690" s="139"/>
      <c r="AI690" s="137" t="s">
        <v>53</v>
      </c>
      <c r="AJ690" s="138" t="s">
        <v>246</v>
      </c>
      <c r="AK690" s="137" t="s">
        <v>53</v>
      </c>
      <c r="AL690" s="138" t="s">
        <v>246</v>
      </c>
      <c r="AM690" s="137" t="s">
        <v>53</v>
      </c>
      <c r="AN690" s="138" t="s">
        <v>246</v>
      </c>
      <c r="AO690" s="139"/>
      <c r="AP690" s="137" t="s">
        <v>53</v>
      </c>
      <c r="AQ690" s="138" t="s">
        <v>246</v>
      </c>
      <c r="AR690" s="137" t="s">
        <v>53</v>
      </c>
      <c r="AS690" s="138" t="s">
        <v>246</v>
      </c>
      <c r="AT690" s="137" t="s">
        <v>53</v>
      </c>
      <c r="AU690" s="138" t="s">
        <v>246</v>
      </c>
      <c r="AV690" s="137" t="s">
        <v>53</v>
      </c>
      <c r="AW690" s="138" t="s">
        <v>246</v>
      </c>
      <c r="AX690" s="139"/>
      <c r="AY690" s="137" t="s">
        <v>53</v>
      </c>
      <c r="AZ690" s="138" t="s">
        <v>246</v>
      </c>
      <c r="BA690" s="137" t="s">
        <v>53</v>
      </c>
      <c r="BB690" s="138" t="s">
        <v>246</v>
      </c>
      <c r="BC690" s="137" t="s">
        <v>53</v>
      </c>
      <c r="BD690" s="138" t="s">
        <v>246</v>
      </c>
      <c r="BE690" s="137" t="s">
        <v>53</v>
      </c>
      <c r="BF690" s="138" t="s">
        <v>246</v>
      </c>
      <c r="BG690" s="137" t="s">
        <v>53</v>
      </c>
      <c r="BH690" s="138" t="s">
        <v>246</v>
      </c>
      <c r="BI690" s="140"/>
      <c r="BJ690" s="137" t="s">
        <v>53</v>
      </c>
      <c r="BK690" s="138" t="s">
        <v>246</v>
      </c>
      <c r="BL690" s="137" t="s">
        <v>53</v>
      </c>
      <c r="BM690" s="138" t="s">
        <v>246</v>
      </c>
      <c r="BN690" s="137" t="s">
        <v>53</v>
      </c>
      <c r="BO690" s="138" t="s">
        <v>246</v>
      </c>
      <c r="BP690" s="137" t="s">
        <v>53</v>
      </c>
      <c r="BQ690" s="138" t="s">
        <v>246</v>
      </c>
      <c r="BR690" s="137" t="s">
        <v>53</v>
      </c>
      <c r="BS690" s="138" t="s">
        <v>246</v>
      </c>
      <c r="BT690" s="137" t="s">
        <v>53</v>
      </c>
      <c r="BU690" s="138" t="s">
        <v>246</v>
      </c>
      <c r="BV690" s="140"/>
      <c r="BW690" s="137" t="s">
        <v>53</v>
      </c>
      <c r="BX690" s="138" t="s">
        <v>246</v>
      </c>
      <c r="BY690" s="137" t="s">
        <v>53</v>
      </c>
      <c r="BZ690" s="138" t="s">
        <v>246</v>
      </c>
      <c r="CA690" s="137" t="s">
        <v>53</v>
      </c>
      <c r="CB690" s="138" t="s">
        <v>246</v>
      </c>
      <c r="CC690" s="137" t="s">
        <v>53</v>
      </c>
      <c r="CD690" s="138" t="s">
        <v>246</v>
      </c>
      <c r="CE690" s="137" t="s">
        <v>53</v>
      </c>
      <c r="CF690" s="138" t="s">
        <v>246</v>
      </c>
      <c r="CG690" s="137" t="s">
        <v>53</v>
      </c>
      <c r="CH690" s="138" t="s">
        <v>246</v>
      </c>
      <c r="CI690" s="137" t="s">
        <v>53</v>
      </c>
      <c r="CJ690" s="138" t="s">
        <v>246</v>
      </c>
      <c r="CK690" s="140"/>
      <c r="CL690" s="137" t="s">
        <v>53</v>
      </c>
      <c r="CM690" s="138" t="s">
        <v>246</v>
      </c>
      <c r="CN690" s="137" t="s">
        <v>53</v>
      </c>
      <c r="CO690" s="138" t="s">
        <v>246</v>
      </c>
      <c r="CP690" s="137" t="s">
        <v>53</v>
      </c>
      <c r="CQ690" s="138" t="s">
        <v>246</v>
      </c>
      <c r="CR690" s="137" t="s">
        <v>53</v>
      </c>
      <c r="CS690" s="138" t="s">
        <v>246</v>
      </c>
      <c r="CT690" s="137" t="s">
        <v>53</v>
      </c>
      <c r="CU690" s="138" t="s">
        <v>246</v>
      </c>
      <c r="CV690" s="137" t="s">
        <v>53</v>
      </c>
      <c r="CW690" s="138" t="s">
        <v>246</v>
      </c>
      <c r="CX690" s="137" t="s">
        <v>53</v>
      </c>
      <c r="CY690" s="138" t="s">
        <v>246</v>
      </c>
      <c r="CZ690" s="137" t="s">
        <v>53</v>
      </c>
      <c r="DA690" s="138" t="s">
        <v>246</v>
      </c>
      <c r="DB690" s="140"/>
      <c r="DC690" s="137" t="s">
        <v>53</v>
      </c>
      <c r="DD690" s="138" t="s">
        <v>246</v>
      </c>
      <c r="DE690" s="137" t="s">
        <v>53</v>
      </c>
      <c r="DF690" s="138" t="s">
        <v>246</v>
      </c>
      <c r="DG690" s="137" t="s">
        <v>53</v>
      </c>
      <c r="DH690" s="138" t="s">
        <v>246</v>
      </c>
      <c r="DI690" s="137" t="s">
        <v>53</v>
      </c>
      <c r="DJ690" s="138" t="s">
        <v>246</v>
      </c>
      <c r="DK690" s="137" t="s">
        <v>53</v>
      </c>
      <c r="DL690" s="138" t="s">
        <v>246</v>
      </c>
      <c r="DM690" s="137" t="s">
        <v>53</v>
      </c>
      <c r="DN690" s="138" t="s">
        <v>246</v>
      </c>
      <c r="DO690" s="137" t="s">
        <v>53</v>
      </c>
      <c r="DP690" s="138" t="s">
        <v>246</v>
      </c>
      <c r="DQ690" s="137" t="s">
        <v>53</v>
      </c>
      <c r="DR690" s="138" t="s">
        <v>246</v>
      </c>
      <c r="DS690" s="137" t="s">
        <v>53</v>
      </c>
      <c r="DT690" s="138" t="s">
        <v>246</v>
      </c>
      <c r="DU690" s="140"/>
      <c r="DV690" s="137" t="s">
        <v>53</v>
      </c>
      <c r="DW690" s="138" t="s">
        <v>246</v>
      </c>
      <c r="DX690" s="137" t="s">
        <v>53</v>
      </c>
      <c r="DY690" s="138" t="s">
        <v>246</v>
      </c>
      <c r="DZ690" s="137" t="s">
        <v>53</v>
      </c>
      <c r="EA690" s="138" t="s">
        <v>246</v>
      </c>
      <c r="EB690" s="137" t="s">
        <v>53</v>
      </c>
      <c r="EC690" s="138" t="s">
        <v>246</v>
      </c>
      <c r="ED690" s="137" t="s">
        <v>53</v>
      </c>
      <c r="EE690" s="138" t="s">
        <v>246</v>
      </c>
      <c r="EF690" s="137" t="s">
        <v>53</v>
      </c>
      <c r="EG690" s="138" t="s">
        <v>246</v>
      </c>
      <c r="EH690" s="137" t="s">
        <v>53</v>
      </c>
      <c r="EI690" s="138" t="s">
        <v>246</v>
      </c>
      <c r="EJ690" s="137" t="s">
        <v>53</v>
      </c>
      <c r="EK690" s="138" t="s">
        <v>246</v>
      </c>
      <c r="EL690" s="137" t="s">
        <v>53</v>
      </c>
      <c r="EM690" s="138" t="s">
        <v>246</v>
      </c>
      <c r="EN690" s="137" t="s">
        <v>53</v>
      </c>
      <c r="EO690" s="138" t="s">
        <v>246</v>
      </c>
      <c r="EP690" s="140"/>
    </row>
    <row r="691" customFormat="false" ht="15" hidden="false" customHeight="false" outlineLevel="0" collapsed="false">
      <c r="AB691" s="141" t="s">
        <v>1</v>
      </c>
      <c r="AC691" s="142"/>
      <c r="AD691" s="143" t="n">
        <v>4</v>
      </c>
      <c r="AE691" s="135" t="n">
        <v>1</v>
      </c>
      <c r="AF691" s="143" t="n">
        <v>3</v>
      </c>
      <c r="AG691" s="135" t="n">
        <v>2</v>
      </c>
      <c r="AH691" s="139"/>
      <c r="AI691" s="137" t="n">
        <v>6</v>
      </c>
      <c r="AJ691" s="138" t="n">
        <v>1</v>
      </c>
      <c r="AK691" s="137" t="n">
        <v>5</v>
      </c>
      <c r="AL691" s="138" t="n">
        <v>2</v>
      </c>
      <c r="AM691" s="137" t="n">
        <v>3</v>
      </c>
      <c r="AN691" s="138" t="n">
        <v>4</v>
      </c>
      <c r="AO691" s="139"/>
      <c r="AP691" s="143" t="n">
        <v>3</v>
      </c>
      <c r="AQ691" s="135" t="n">
        <v>6</v>
      </c>
      <c r="AR691" s="143" t="n">
        <v>7</v>
      </c>
      <c r="AS691" s="135" t="n">
        <v>2</v>
      </c>
      <c r="AT691" s="143" t="n">
        <v>8</v>
      </c>
      <c r="AU691" s="135" t="n">
        <v>1</v>
      </c>
      <c r="AV691" s="143" t="n">
        <v>5</v>
      </c>
      <c r="AW691" s="135" t="n">
        <v>4</v>
      </c>
      <c r="AX691" s="139"/>
      <c r="AY691" s="143" t="n">
        <v>7</v>
      </c>
      <c r="AZ691" s="135" t="n">
        <v>4</v>
      </c>
      <c r="BA691" s="143" t="n">
        <v>1</v>
      </c>
      <c r="BB691" s="135" t="n">
        <v>10</v>
      </c>
      <c r="BC691" s="143" t="n">
        <v>5</v>
      </c>
      <c r="BD691" s="135" t="n">
        <v>6</v>
      </c>
      <c r="BE691" s="143" t="n">
        <v>3</v>
      </c>
      <c r="BF691" s="135" t="n">
        <v>8</v>
      </c>
      <c r="BG691" s="143" t="n">
        <v>9</v>
      </c>
      <c r="BH691" s="135" t="n">
        <v>2</v>
      </c>
      <c r="BI691" s="140"/>
      <c r="BJ691" s="143" t="n">
        <v>10</v>
      </c>
      <c r="BK691" s="135" t="n">
        <v>11</v>
      </c>
      <c r="BL691" s="143" t="n">
        <v>9</v>
      </c>
      <c r="BM691" s="135" t="n">
        <v>8</v>
      </c>
      <c r="BN691" s="143" t="n">
        <v>1</v>
      </c>
      <c r="BO691" s="135" t="n">
        <v>12</v>
      </c>
      <c r="BP691" s="143" t="n">
        <v>4</v>
      </c>
      <c r="BQ691" s="135" t="n">
        <v>5</v>
      </c>
      <c r="BR691" s="143" t="n">
        <v>7</v>
      </c>
      <c r="BS691" s="135" t="n">
        <v>6</v>
      </c>
      <c r="BT691" s="143" t="n">
        <v>2</v>
      </c>
      <c r="BU691" s="135" t="n">
        <v>3</v>
      </c>
      <c r="BV691" s="140"/>
      <c r="BW691" s="143" t="n">
        <v>8</v>
      </c>
      <c r="BX691" s="135" t="n">
        <v>6</v>
      </c>
      <c r="BY691" s="143" t="n">
        <v>11</v>
      </c>
      <c r="BZ691" s="135" t="n">
        <v>13</v>
      </c>
      <c r="CA691" s="143" t="n">
        <v>14</v>
      </c>
      <c r="CB691" s="135" t="n">
        <v>7</v>
      </c>
      <c r="CC691" s="143" t="n">
        <v>9</v>
      </c>
      <c r="CD691" s="135" t="n">
        <v>2</v>
      </c>
      <c r="CE691" s="143" t="n">
        <v>12</v>
      </c>
      <c r="CF691" s="135" t="n">
        <v>3</v>
      </c>
      <c r="CG691" s="143" t="n">
        <v>1</v>
      </c>
      <c r="CH691" s="135" t="n">
        <v>10</v>
      </c>
      <c r="CI691" s="143" t="n">
        <v>4</v>
      </c>
      <c r="CJ691" s="135" t="n">
        <v>5</v>
      </c>
      <c r="CK691" s="140"/>
      <c r="CL691" s="143" t="n">
        <v>8</v>
      </c>
      <c r="CM691" s="135" t="n">
        <v>12</v>
      </c>
      <c r="CN691" s="143" t="n">
        <v>10</v>
      </c>
      <c r="CO691" s="135" t="n">
        <v>15</v>
      </c>
      <c r="CP691" s="143" t="n">
        <v>1</v>
      </c>
      <c r="CQ691" s="135" t="n">
        <v>13</v>
      </c>
      <c r="CR691" s="143" t="n">
        <v>7</v>
      </c>
      <c r="CS691" s="135" t="n">
        <v>2</v>
      </c>
      <c r="CT691" s="143" t="n">
        <v>14</v>
      </c>
      <c r="CU691" s="135" t="n">
        <v>16</v>
      </c>
      <c r="CV691" s="143" t="n">
        <v>11</v>
      </c>
      <c r="CW691" s="135" t="n">
        <v>9</v>
      </c>
      <c r="CX691" s="143" t="n">
        <v>6</v>
      </c>
      <c r="CY691" s="135" t="n">
        <v>3</v>
      </c>
      <c r="CZ691" s="143" t="n">
        <v>4</v>
      </c>
      <c r="DA691" s="135" t="n">
        <v>5</v>
      </c>
      <c r="DB691" s="140"/>
      <c r="DC691" s="143" t="n">
        <v>6</v>
      </c>
      <c r="DD691" s="135" t="n">
        <v>12</v>
      </c>
      <c r="DE691" s="143" t="n">
        <v>7</v>
      </c>
      <c r="DF691" s="135" t="n">
        <v>8</v>
      </c>
      <c r="DG691" s="143" t="n">
        <v>4</v>
      </c>
      <c r="DH691" s="135" t="n">
        <v>18</v>
      </c>
      <c r="DI691" s="143" t="n">
        <v>15</v>
      </c>
      <c r="DJ691" s="135" t="n">
        <v>14</v>
      </c>
      <c r="DK691" s="143" t="n">
        <v>1</v>
      </c>
      <c r="DL691" s="135" t="n">
        <v>16</v>
      </c>
      <c r="DM691" s="143" t="n">
        <v>13</v>
      </c>
      <c r="DN691" s="135" t="n">
        <v>3</v>
      </c>
      <c r="DO691" s="143" t="n">
        <v>9</v>
      </c>
      <c r="DP691" s="135" t="n">
        <v>5</v>
      </c>
      <c r="DQ691" s="143" t="n">
        <v>11</v>
      </c>
      <c r="DR691" s="135" t="n">
        <v>2</v>
      </c>
      <c r="DS691" s="143" t="n">
        <v>17</v>
      </c>
      <c r="DT691" s="135" t="n">
        <v>10</v>
      </c>
      <c r="DU691" s="140"/>
      <c r="DV691" s="143" t="n">
        <v>9</v>
      </c>
      <c r="DW691" s="135" t="n">
        <v>3</v>
      </c>
      <c r="DX691" s="143" t="n">
        <v>2</v>
      </c>
      <c r="DY691" s="135" t="n">
        <v>14</v>
      </c>
      <c r="DZ691" s="143" t="n">
        <v>18</v>
      </c>
      <c r="EA691" s="135" t="n">
        <v>10</v>
      </c>
      <c r="EB691" s="143" t="n">
        <v>17</v>
      </c>
      <c r="EC691" s="135" t="n">
        <v>6</v>
      </c>
      <c r="ED691" s="143" t="n">
        <v>7</v>
      </c>
      <c r="EE691" s="135" t="n">
        <v>8</v>
      </c>
      <c r="EF691" s="143" t="n">
        <v>15</v>
      </c>
      <c r="EG691" s="135" t="n">
        <v>11</v>
      </c>
      <c r="EH691" s="143" t="n">
        <v>13</v>
      </c>
      <c r="EI691" s="135" t="n">
        <v>19</v>
      </c>
      <c r="EJ691" s="143" t="n">
        <v>16</v>
      </c>
      <c r="EK691" s="135" t="n">
        <v>4</v>
      </c>
      <c r="EL691" s="143" t="n">
        <v>20</v>
      </c>
      <c r="EM691" s="135" t="n">
        <v>1</v>
      </c>
      <c r="EN691" s="143" t="n">
        <v>5</v>
      </c>
      <c r="EO691" s="135" t="n">
        <v>12</v>
      </c>
      <c r="EP691" s="140"/>
    </row>
    <row r="692" customFormat="false" ht="15" hidden="false" customHeight="false" outlineLevel="0" collapsed="false">
      <c r="AB692" s="141" t="s">
        <v>2</v>
      </c>
      <c r="AC692" s="142"/>
      <c r="AD692" s="143" t="n">
        <v>1</v>
      </c>
      <c r="AE692" s="135" t="n">
        <v>3</v>
      </c>
      <c r="AF692" s="143" t="n">
        <v>2</v>
      </c>
      <c r="AG692" s="135" t="n">
        <v>4</v>
      </c>
      <c r="AH692" s="139"/>
      <c r="AI692" s="137" t="n">
        <v>2</v>
      </c>
      <c r="AJ692" s="138" t="n">
        <v>3</v>
      </c>
      <c r="AK692" s="137" t="n">
        <v>4</v>
      </c>
      <c r="AL692" s="138" t="n">
        <v>6</v>
      </c>
      <c r="AM692" s="137" t="n">
        <v>5</v>
      </c>
      <c r="AN692" s="138" t="n">
        <v>1</v>
      </c>
      <c r="AO692" s="139"/>
      <c r="AP692" s="143" t="n">
        <v>2</v>
      </c>
      <c r="AQ692" s="135" t="n">
        <v>5</v>
      </c>
      <c r="AR692" s="143" t="n">
        <v>4</v>
      </c>
      <c r="AS692" s="135" t="n">
        <v>3</v>
      </c>
      <c r="AT692" s="143" t="n">
        <v>6</v>
      </c>
      <c r="AU692" s="135" t="n">
        <v>8</v>
      </c>
      <c r="AV692" s="143" t="n">
        <v>7</v>
      </c>
      <c r="AW692" s="135" t="n">
        <v>1</v>
      </c>
      <c r="AX692" s="139"/>
      <c r="AY692" s="143" t="n">
        <v>4</v>
      </c>
      <c r="AZ692" s="135" t="n">
        <v>5</v>
      </c>
      <c r="BA692" s="143" t="n">
        <v>2</v>
      </c>
      <c r="BB692" s="135" t="n">
        <v>7</v>
      </c>
      <c r="BC692" s="143" t="n">
        <v>6</v>
      </c>
      <c r="BD692" s="135" t="n">
        <v>3</v>
      </c>
      <c r="BE692" s="143" t="n">
        <v>8</v>
      </c>
      <c r="BF692" s="135" t="n">
        <v>10</v>
      </c>
      <c r="BG692" s="143" t="n">
        <v>9</v>
      </c>
      <c r="BH692" s="135" t="n">
        <v>1</v>
      </c>
      <c r="BI692" s="140"/>
      <c r="BJ692" s="143" t="n">
        <v>3</v>
      </c>
      <c r="BK692" s="135" t="n">
        <v>5</v>
      </c>
      <c r="BL692" s="143" t="n">
        <v>12</v>
      </c>
      <c r="BM692" s="135" t="n">
        <v>2</v>
      </c>
      <c r="BN692" s="143" t="n">
        <v>8</v>
      </c>
      <c r="BO692" s="135" t="n">
        <v>10</v>
      </c>
      <c r="BP692" s="143" t="n">
        <v>9</v>
      </c>
      <c r="BQ692" s="135" t="n">
        <v>7</v>
      </c>
      <c r="BR692" s="143" t="n">
        <v>1</v>
      </c>
      <c r="BS692" s="135" t="n">
        <v>11</v>
      </c>
      <c r="BT692" s="143" t="n">
        <v>6</v>
      </c>
      <c r="BU692" s="135" t="n">
        <v>4</v>
      </c>
      <c r="BV692" s="140"/>
      <c r="BW692" s="143" t="n">
        <v>6</v>
      </c>
      <c r="BX692" s="135" t="n">
        <v>5</v>
      </c>
      <c r="BY692" s="143" t="n">
        <v>11</v>
      </c>
      <c r="BZ692" s="135" t="n">
        <v>9</v>
      </c>
      <c r="CA692" s="143" t="n">
        <v>7</v>
      </c>
      <c r="CB692" s="135" t="n">
        <v>1</v>
      </c>
      <c r="CC692" s="143" t="n">
        <v>2</v>
      </c>
      <c r="CD692" s="135" t="n">
        <v>12</v>
      </c>
      <c r="CE692" s="143" t="n">
        <v>3</v>
      </c>
      <c r="CF692" s="135" t="n">
        <v>8</v>
      </c>
      <c r="CG692" s="143" t="n">
        <v>10</v>
      </c>
      <c r="CH692" s="135" t="n">
        <v>4</v>
      </c>
      <c r="CI692" s="143" t="n">
        <v>13</v>
      </c>
      <c r="CJ692" s="135" t="n">
        <v>14</v>
      </c>
      <c r="CK692" s="140"/>
      <c r="CL692" s="143" t="n">
        <v>5</v>
      </c>
      <c r="CM692" s="135" t="n">
        <v>10</v>
      </c>
      <c r="CN692" s="143" t="n">
        <v>16</v>
      </c>
      <c r="CO692" s="135" t="n">
        <v>1</v>
      </c>
      <c r="CP692" s="143" t="n">
        <v>7</v>
      </c>
      <c r="CQ692" s="135" t="n">
        <v>4</v>
      </c>
      <c r="CR692" s="143" t="n">
        <v>9</v>
      </c>
      <c r="CS692" s="135" t="n">
        <v>8</v>
      </c>
      <c r="CT692" s="143" t="n">
        <v>3</v>
      </c>
      <c r="CU692" s="135" t="n">
        <v>14</v>
      </c>
      <c r="CV692" s="143" t="n">
        <v>2</v>
      </c>
      <c r="CW692" s="135" t="n">
        <v>11</v>
      </c>
      <c r="CX692" s="143" t="n">
        <v>12</v>
      </c>
      <c r="CY692" s="135" t="n">
        <v>13</v>
      </c>
      <c r="CZ692" s="143" t="n">
        <v>15</v>
      </c>
      <c r="DA692" s="135" t="n">
        <v>6</v>
      </c>
      <c r="DB692" s="140"/>
      <c r="DC692" s="143" t="n">
        <v>8</v>
      </c>
      <c r="DD692" s="135" t="n">
        <v>6</v>
      </c>
      <c r="DE692" s="143" t="n">
        <v>18</v>
      </c>
      <c r="DF692" s="135" t="n">
        <v>17</v>
      </c>
      <c r="DG692" s="143" t="n">
        <v>10</v>
      </c>
      <c r="DH692" s="135" t="n">
        <v>7</v>
      </c>
      <c r="DI692" s="143" t="n">
        <v>11</v>
      </c>
      <c r="DJ692" s="135" t="n">
        <v>4</v>
      </c>
      <c r="DK692" s="143" t="n">
        <v>5</v>
      </c>
      <c r="DL692" s="135" t="n">
        <v>15</v>
      </c>
      <c r="DM692" s="143" t="n">
        <v>2</v>
      </c>
      <c r="DN692" s="135" t="n">
        <v>9</v>
      </c>
      <c r="DO692" s="143" t="n">
        <v>12</v>
      </c>
      <c r="DP692" s="135" t="n">
        <v>16</v>
      </c>
      <c r="DQ692" s="143" t="n">
        <v>14</v>
      </c>
      <c r="DR692" s="135" t="n">
        <v>13</v>
      </c>
      <c r="DS692" s="143" t="n">
        <v>3</v>
      </c>
      <c r="DT692" s="135" t="n">
        <v>1</v>
      </c>
      <c r="DU692" s="140"/>
      <c r="DV692" s="143" t="n">
        <v>19</v>
      </c>
      <c r="DW692" s="135" t="n">
        <v>16</v>
      </c>
      <c r="DX692" s="143" t="n">
        <v>8</v>
      </c>
      <c r="DY692" s="135" t="n">
        <v>6</v>
      </c>
      <c r="DZ692" s="143" t="n">
        <v>10</v>
      </c>
      <c r="EA692" s="135" t="n">
        <v>9</v>
      </c>
      <c r="EB692" s="143" t="n">
        <v>3</v>
      </c>
      <c r="EC692" s="135" t="n">
        <v>5</v>
      </c>
      <c r="ED692" s="143" t="n">
        <v>4</v>
      </c>
      <c r="EE692" s="135" t="n">
        <v>7</v>
      </c>
      <c r="EF692" s="143" t="n">
        <v>12</v>
      </c>
      <c r="EG692" s="135" t="n">
        <v>17</v>
      </c>
      <c r="EH692" s="143" t="n">
        <v>1</v>
      </c>
      <c r="EI692" s="135" t="n">
        <v>13</v>
      </c>
      <c r="EJ692" s="143" t="n">
        <v>14</v>
      </c>
      <c r="EK692" s="135" t="n">
        <v>18</v>
      </c>
      <c r="EL692" s="143" t="n">
        <v>11</v>
      </c>
      <c r="EM692" s="135" t="n">
        <v>2</v>
      </c>
      <c r="EN692" s="143" t="n">
        <v>20</v>
      </c>
      <c r="EO692" s="135" t="n">
        <v>15</v>
      </c>
      <c r="EP692" s="140"/>
    </row>
    <row r="693" customFormat="false" ht="15" hidden="false" customHeight="false" outlineLevel="0" collapsed="false">
      <c r="AB693" s="141" t="s">
        <v>3</v>
      </c>
      <c r="AC693" s="142"/>
      <c r="AD693" s="143" t="n">
        <v>3</v>
      </c>
      <c r="AE693" s="135" t="n">
        <v>4</v>
      </c>
      <c r="AF693" s="143" t="n">
        <v>1</v>
      </c>
      <c r="AG693" s="135" t="n">
        <v>2</v>
      </c>
      <c r="AH693" s="139"/>
      <c r="AI693" s="137" t="n">
        <v>3</v>
      </c>
      <c r="AJ693" s="138" t="n">
        <v>5</v>
      </c>
      <c r="AK693" s="137" t="n">
        <v>1</v>
      </c>
      <c r="AL693" s="138" t="n">
        <v>4</v>
      </c>
      <c r="AM693" s="137" t="n">
        <v>2</v>
      </c>
      <c r="AN693" s="138" t="n">
        <v>6</v>
      </c>
      <c r="AO693" s="139"/>
      <c r="AP693" s="143" t="n">
        <v>8</v>
      </c>
      <c r="AQ693" s="135" t="n">
        <v>4</v>
      </c>
      <c r="AR693" s="143" t="n">
        <v>1</v>
      </c>
      <c r="AS693" s="135" t="n">
        <v>6</v>
      </c>
      <c r="AT693" s="143" t="n">
        <v>7</v>
      </c>
      <c r="AU693" s="135" t="n">
        <v>5</v>
      </c>
      <c r="AV693" s="143" t="n">
        <v>3</v>
      </c>
      <c r="AW693" s="135" t="n">
        <v>2</v>
      </c>
      <c r="AX693" s="139"/>
      <c r="AY693" s="143" t="n">
        <v>1</v>
      </c>
      <c r="AZ693" s="135" t="n">
        <v>8</v>
      </c>
      <c r="BA693" s="143" t="n">
        <v>5</v>
      </c>
      <c r="BB693" s="135" t="n">
        <v>2</v>
      </c>
      <c r="BC693" s="143" t="n">
        <v>7</v>
      </c>
      <c r="BD693" s="135" t="n">
        <v>9</v>
      </c>
      <c r="BE693" s="143" t="n">
        <v>3</v>
      </c>
      <c r="BF693" s="135" t="n">
        <v>4</v>
      </c>
      <c r="BG693" s="143" t="n">
        <v>10</v>
      </c>
      <c r="BH693" s="135" t="n">
        <v>6</v>
      </c>
      <c r="BI693" s="140"/>
      <c r="BJ693" s="143" t="n">
        <v>4</v>
      </c>
      <c r="BK693" s="135" t="n">
        <v>7</v>
      </c>
      <c r="BL693" s="143" t="n">
        <v>5</v>
      </c>
      <c r="BM693" s="135" t="n">
        <v>1</v>
      </c>
      <c r="BN693" s="143" t="n">
        <v>6</v>
      </c>
      <c r="BO693" s="135" t="n">
        <v>3</v>
      </c>
      <c r="BP693" s="143" t="n">
        <v>2</v>
      </c>
      <c r="BQ693" s="135" t="n">
        <v>10</v>
      </c>
      <c r="BR693" s="143" t="n">
        <v>12</v>
      </c>
      <c r="BS693" s="135" t="n">
        <v>9</v>
      </c>
      <c r="BT693" s="143" t="n">
        <v>8</v>
      </c>
      <c r="BU693" s="135" t="n">
        <v>11</v>
      </c>
      <c r="BV693" s="140"/>
      <c r="BW693" s="143" t="n">
        <v>4</v>
      </c>
      <c r="BX693" s="135" t="n">
        <v>6</v>
      </c>
      <c r="BY693" s="143" t="n">
        <v>9</v>
      </c>
      <c r="BZ693" s="135" t="n">
        <v>14</v>
      </c>
      <c r="CA693" s="143" t="n">
        <v>1</v>
      </c>
      <c r="CB693" s="135" t="n">
        <v>13</v>
      </c>
      <c r="CC693" s="143" t="n">
        <v>8</v>
      </c>
      <c r="CD693" s="135" t="n">
        <v>2</v>
      </c>
      <c r="CE693" s="143" t="n">
        <v>10</v>
      </c>
      <c r="CF693" s="135" t="n">
        <v>7</v>
      </c>
      <c r="CG693" s="143" t="n">
        <v>12</v>
      </c>
      <c r="CH693" s="135" t="n">
        <v>11</v>
      </c>
      <c r="CI693" s="143" t="n">
        <v>5</v>
      </c>
      <c r="CJ693" s="135" t="n">
        <v>3</v>
      </c>
      <c r="CK693" s="140"/>
      <c r="CL693" s="143" t="n">
        <v>4</v>
      </c>
      <c r="CM693" s="135" t="n">
        <v>11</v>
      </c>
      <c r="CN693" s="143" t="n">
        <v>10</v>
      </c>
      <c r="CO693" s="135" t="n">
        <v>7</v>
      </c>
      <c r="CP693" s="143" t="n">
        <v>14</v>
      </c>
      <c r="CQ693" s="135" t="n">
        <v>15</v>
      </c>
      <c r="CR693" s="143" t="n">
        <v>16</v>
      </c>
      <c r="CS693" s="135" t="n">
        <v>3</v>
      </c>
      <c r="CT693" s="143" t="n">
        <v>13</v>
      </c>
      <c r="CU693" s="135" t="n">
        <v>9</v>
      </c>
      <c r="CV693" s="143" t="n">
        <v>8</v>
      </c>
      <c r="CW693" s="135" t="n">
        <v>2</v>
      </c>
      <c r="CX693" s="143" t="n">
        <v>1</v>
      </c>
      <c r="CY693" s="135" t="n">
        <v>12</v>
      </c>
      <c r="CZ693" s="143" t="n">
        <v>6</v>
      </c>
      <c r="DA693" s="135" t="n">
        <v>5</v>
      </c>
      <c r="DB693" s="140"/>
      <c r="DC693" s="143" t="n">
        <v>4</v>
      </c>
      <c r="DD693" s="135" t="n">
        <v>9</v>
      </c>
      <c r="DE693" s="143" t="n">
        <v>6</v>
      </c>
      <c r="DF693" s="135" t="n">
        <v>10</v>
      </c>
      <c r="DG693" s="143" t="n">
        <v>13</v>
      </c>
      <c r="DH693" s="135" t="n">
        <v>5</v>
      </c>
      <c r="DI693" s="143" t="n">
        <v>16</v>
      </c>
      <c r="DJ693" s="135" t="n">
        <v>8</v>
      </c>
      <c r="DK693" s="143" t="n">
        <v>15</v>
      </c>
      <c r="DL693" s="135" t="n">
        <v>2</v>
      </c>
      <c r="DM693" s="143" t="n">
        <v>3</v>
      </c>
      <c r="DN693" s="135" t="n">
        <v>14</v>
      </c>
      <c r="DO693" s="143" t="n">
        <v>1</v>
      </c>
      <c r="DP693" s="135" t="n">
        <v>12</v>
      </c>
      <c r="DQ693" s="143" t="n">
        <v>7</v>
      </c>
      <c r="DR693" s="135" t="n">
        <v>18</v>
      </c>
      <c r="DS693" s="143" t="n">
        <v>17</v>
      </c>
      <c r="DT693" s="135" t="n">
        <v>11</v>
      </c>
      <c r="DU693" s="140"/>
      <c r="DV693" s="143" t="n">
        <v>5</v>
      </c>
      <c r="DW693" s="135" t="n">
        <v>10</v>
      </c>
      <c r="DX693" s="143" t="n">
        <v>7</v>
      </c>
      <c r="DY693" s="135" t="n">
        <v>19</v>
      </c>
      <c r="DZ693" s="143" t="n">
        <v>17</v>
      </c>
      <c r="EA693" s="135" t="n">
        <v>8</v>
      </c>
      <c r="EB693" s="143" t="n">
        <v>6</v>
      </c>
      <c r="EC693" s="135" t="n">
        <v>4</v>
      </c>
      <c r="ED693" s="143" t="n">
        <v>9</v>
      </c>
      <c r="EE693" s="135" t="n">
        <v>14</v>
      </c>
      <c r="EF693" s="143" t="n">
        <v>2</v>
      </c>
      <c r="EG693" s="135" t="n">
        <v>20</v>
      </c>
      <c r="EH693" s="143" t="n">
        <v>15</v>
      </c>
      <c r="EI693" s="135" t="n">
        <v>13</v>
      </c>
      <c r="EJ693" s="143" t="n">
        <v>18</v>
      </c>
      <c r="EK693" s="135" t="n">
        <v>11</v>
      </c>
      <c r="EL693" s="143" t="n">
        <v>16</v>
      </c>
      <c r="EM693" s="135" t="n">
        <v>1</v>
      </c>
      <c r="EN693" s="143" t="n">
        <v>12</v>
      </c>
      <c r="EO693" s="135" t="n">
        <v>3</v>
      </c>
      <c r="EP693" s="140"/>
    </row>
    <row r="694" customFormat="false" ht="15" hidden="false" customHeight="false" outlineLevel="0" collapsed="false">
      <c r="AB694" s="141" t="s">
        <v>4</v>
      </c>
      <c r="AC694" s="142"/>
      <c r="AD694" s="143" t="n">
        <v>2</v>
      </c>
      <c r="AE694" s="135" t="n">
        <v>3</v>
      </c>
      <c r="AF694" s="143" t="n">
        <v>1</v>
      </c>
      <c r="AG694" s="135" t="n">
        <v>4</v>
      </c>
      <c r="AH694" s="139"/>
      <c r="AI694" s="137" t="n">
        <v>4</v>
      </c>
      <c r="AJ694" s="138" t="n">
        <v>2</v>
      </c>
      <c r="AK694" s="137" t="n">
        <v>1</v>
      </c>
      <c r="AL694" s="138" t="n">
        <v>3</v>
      </c>
      <c r="AM694" s="137" t="n">
        <v>6</v>
      </c>
      <c r="AN694" s="138" t="n">
        <v>5</v>
      </c>
      <c r="AO694" s="139"/>
      <c r="AP694" s="143" t="n">
        <v>4</v>
      </c>
      <c r="AQ694" s="135" t="n">
        <v>6</v>
      </c>
      <c r="AR694" s="143" t="n">
        <v>1</v>
      </c>
      <c r="AS694" s="135" t="n">
        <v>5</v>
      </c>
      <c r="AT694" s="143" t="n">
        <v>7</v>
      </c>
      <c r="AU694" s="135" t="n">
        <v>3</v>
      </c>
      <c r="AV694" s="143" t="n">
        <v>8</v>
      </c>
      <c r="AW694" s="135" t="n">
        <v>2</v>
      </c>
      <c r="AX694" s="139"/>
      <c r="AY694" s="143" t="n">
        <v>2</v>
      </c>
      <c r="AZ694" s="135" t="n">
        <v>3</v>
      </c>
      <c r="BA694" s="143" t="n">
        <v>6</v>
      </c>
      <c r="BB694" s="135" t="n">
        <v>8</v>
      </c>
      <c r="BC694" s="143" t="n">
        <v>4</v>
      </c>
      <c r="BD694" s="135" t="n">
        <v>10</v>
      </c>
      <c r="BE694" s="143" t="n">
        <v>9</v>
      </c>
      <c r="BF694" s="135" t="n">
        <v>5</v>
      </c>
      <c r="BG694" s="143" t="n">
        <v>7</v>
      </c>
      <c r="BH694" s="135" t="n">
        <v>1</v>
      </c>
      <c r="BI694" s="140"/>
      <c r="BJ694" s="143" t="n">
        <v>8</v>
      </c>
      <c r="BK694" s="135" t="n">
        <v>6</v>
      </c>
      <c r="BL694" s="143" t="n">
        <v>10</v>
      </c>
      <c r="BM694" s="135" t="n">
        <v>12</v>
      </c>
      <c r="BN694" s="143" t="n">
        <v>9</v>
      </c>
      <c r="BO694" s="135" t="n">
        <v>11</v>
      </c>
      <c r="BP694" s="143" t="n">
        <v>1</v>
      </c>
      <c r="BQ694" s="135" t="n">
        <v>3</v>
      </c>
      <c r="BR694" s="143" t="n">
        <v>2</v>
      </c>
      <c r="BS694" s="135" t="n">
        <v>4</v>
      </c>
      <c r="BT694" s="143" t="n">
        <v>7</v>
      </c>
      <c r="BU694" s="135" t="n">
        <v>5</v>
      </c>
      <c r="BV694" s="140"/>
      <c r="BW694" s="143" t="n">
        <v>2</v>
      </c>
      <c r="BX694" s="135" t="n">
        <v>5</v>
      </c>
      <c r="BY694" s="143" t="n">
        <v>11</v>
      </c>
      <c r="BZ694" s="135" t="n">
        <v>8</v>
      </c>
      <c r="CA694" s="143" t="n">
        <v>7</v>
      </c>
      <c r="CB694" s="135" t="n">
        <v>4</v>
      </c>
      <c r="CC694" s="143" t="n">
        <v>14</v>
      </c>
      <c r="CD694" s="135" t="n">
        <v>12</v>
      </c>
      <c r="CE694" s="143" t="n">
        <v>3</v>
      </c>
      <c r="CF694" s="135" t="n">
        <v>6</v>
      </c>
      <c r="CG694" s="143" t="n">
        <v>1</v>
      </c>
      <c r="CH694" s="135" t="n">
        <v>9</v>
      </c>
      <c r="CI694" s="143" t="n">
        <v>13</v>
      </c>
      <c r="CJ694" s="135" t="n">
        <v>10</v>
      </c>
      <c r="CK694" s="140"/>
      <c r="CL694" s="143" t="n">
        <v>9</v>
      </c>
      <c r="CM694" s="135" t="n">
        <v>12</v>
      </c>
      <c r="CN694" s="143" t="n">
        <v>7</v>
      </c>
      <c r="CO694" s="135" t="n">
        <v>6</v>
      </c>
      <c r="CP694" s="143" t="n">
        <v>2</v>
      </c>
      <c r="CQ694" s="135" t="n">
        <v>13</v>
      </c>
      <c r="CR694" s="143" t="n">
        <v>8</v>
      </c>
      <c r="CS694" s="135" t="n">
        <v>4</v>
      </c>
      <c r="CT694" s="143" t="n">
        <v>3</v>
      </c>
      <c r="CU694" s="135" t="n">
        <v>1</v>
      </c>
      <c r="CV694" s="143" t="n">
        <v>15</v>
      </c>
      <c r="CW694" s="135" t="n">
        <v>16</v>
      </c>
      <c r="CX694" s="143" t="n">
        <v>11</v>
      </c>
      <c r="CY694" s="135" t="n">
        <v>10</v>
      </c>
      <c r="CZ694" s="143" t="n">
        <v>5</v>
      </c>
      <c r="DA694" s="135" t="n">
        <v>14</v>
      </c>
      <c r="DB694" s="140"/>
      <c r="DC694" s="143" t="n">
        <v>8</v>
      </c>
      <c r="DD694" s="135" t="n">
        <v>12</v>
      </c>
      <c r="DE694" s="143" t="n">
        <v>18</v>
      </c>
      <c r="DF694" s="135" t="n">
        <v>6</v>
      </c>
      <c r="DG694" s="143" t="n">
        <v>5</v>
      </c>
      <c r="DH694" s="135" t="n">
        <v>3</v>
      </c>
      <c r="DI694" s="143" t="n">
        <v>2</v>
      </c>
      <c r="DJ694" s="135" t="n">
        <v>13</v>
      </c>
      <c r="DK694" s="143" t="n">
        <v>11</v>
      </c>
      <c r="DL694" s="135" t="n">
        <v>7</v>
      </c>
      <c r="DM694" s="143" t="n">
        <v>14</v>
      </c>
      <c r="DN694" s="135" t="n">
        <v>1</v>
      </c>
      <c r="DO694" s="143" t="n">
        <v>15</v>
      </c>
      <c r="DP694" s="135" t="n">
        <v>4</v>
      </c>
      <c r="DQ694" s="143" t="n">
        <v>9</v>
      </c>
      <c r="DR694" s="135" t="n">
        <v>17</v>
      </c>
      <c r="DS694" s="143" t="n">
        <v>10</v>
      </c>
      <c r="DT694" s="135" t="n">
        <v>16</v>
      </c>
      <c r="DU694" s="140"/>
      <c r="DV694" s="143" t="n">
        <v>11</v>
      </c>
      <c r="DW694" s="135" t="n">
        <v>9</v>
      </c>
      <c r="DX694" s="143" t="n">
        <v>10</v>
      </c>
      <c r="DY694" s="135" t="n">
        <v>12</v>
      </c>
      <c r="DZ694" s="143" t="n">
        <v>19</v>
      </c>
      <c r="EA694" s="135" t="n">
        <v>6</v>
      </c>
      <c r="EB694" s="143" t="n">
        <v>17</v>
      </c>
      <c r="EC694" s="135" t="n">
        <v>3</v>
      </c>
      <c r="ED694" s="143" t="n">
        <v>14</v>
      </c>
      <c r="EE694" s="135" t="n">
        <v>5</v>
      </c>
      <c r="EF694" s="143" t="n">
        <v>16</v>
      </c>
      <c r="EG694" s="135" t="n">
        <v>15</v>
      </c>
      <c r="EH694" s="143" t="n">
        <v>4</v>
      </c>
      <c r="EI694" s="135" t="n">
        <v>8</v>
      </c>
      <c r="EJ694" s="143" t="n">
        <v>20</v>
      </c>
      <c r="EK694" s="135" t="n">
        <v>18</v>
      </c>
      <c r="EL694" s="143" t="n">
        <v>1</v>
      </c>
      <c r="EM694" s="135" t="n">
        <v>7</v>
      </c>
      <c r="EN694" s="143" t="n">
        <v>13</v>
      </c>
      <c r="EO694" s="135" t="n">
        <v>2</v>
      </c>
      <c r="EP694" s="140"/>
    </row>
    <row r="695" customFormat="false" ht="15" hidden="false" customHeight="false" outlineLevel="0" collapsed="false">
      <c r="AB695" s="141" t="s">
        <v>5</v>
      </c>
      <c r="AC695" s="142"/>
      <c r="AD695" s="143" t="n">
        <v>4</v>
      </c>
      <c r="AE695" s="135" t="n">
        <v>2</v>
      </c>
      <c r="AF695" s="143" t="n">
        <v>3</v>
      </c>
      <c r="AG695" s="135" t="n">
        <v>1</v>
      </c>
      <c r="AH695" s="139"/>
      <c r="AI695" s="137" t="n">
        <v>5</v>
      </c>
      <c r="AJ695" s="138" t="n">
        <v>4</v>
      </c>
      <c r="AK695" s="137" t="n">
        <v>3</v>
      </c>
      <c r="AL695" s="138" t="n">
        <v>6</v>
      </c>
      <c r="AM695" s="137" t="n">
        <v>1</v>
      </c>
      <c r="AN695" s="138" t="n">
        <v>2</v>
      </c>
      <c r="AO695" s="139"/>
      <c r="AP695" s="143" t="n">
        <v>8</v>
      </c>
      <c r="AQ695" s="135" t="n">
        <v>7</v>
      </c>
      <c r="AR695" s="143" t="n">
        <v>6</v>
      </c>
      <c r="AS695" s="135" t="n">
        <v>2</v>
      </c>
      <c r="AT695" s="143" t="n">
        <v>3</v>
      </c>
      <c r="AU695" s="135" t="n">
        <v>5</v>
      </c>
      <c r="AV695" s="143" t="n">
        <v>4</v>
      </c>
      <c r="AW695" s="135" t="n">
        <v>1</v>
      </c>
      <c r="AX695" s="139"/>
      <c r="AY695" s="143" t="n">
        <v>1</v>
      </c>
      <c r="AZ695" s="135" t="n">
        <v>6</v>
      </c>
      <c r="BA695" s="143" t="n">
        <v>8</v>
      </c>
      <c r="BB695" s="135" t="n">
        <v>4</v>
      </c>
      <c r="BC695" s="143" t="n">
        <v>10</v>
      </c>
      <c r="BD695" s="135" t="n">
        <v>2</v>
      </c>
      <c r="BE695" s="143" t="n">
        <v>3</v>
      </c>
      <c r="BF695" s="135" t="n">
        <v>9</v>
      </c>
      <c r="BG695" s="143" t="n">
        <v>5</v>
      </c>
      <c r="BH695" s="135" t="n">
        <v>7</v>
      </c>
      <c r="BI695" s="140"/>
      <c r="BJ695" s="143" t="n">
        <v>12</v>
      </c>
      <c r="BK695" s="135" t="n">
        <v>3</v>
      </c>
      <c r="BL695" s="143" t="n">
        <v>4</v>
      </c>
      <c r="BM695" s="135" t="n">
        <v>9</v>
      </c>
      <c r="BN695" s="143" t="n">
        <v>2</v>
      </c>
      <c r="BO695" s="135" t="n">
        <v>7</v>
      </c>
      <c r="BP695" s="143" t="n">
        <v>11</v>
      </c>
      <c r="BQ695" s="135" t="n">
        <v>6</v>
      </c>
      <c r="BR695" s="143" t="n">
        <v>8</v>
      </c>
      <c r="BS695" s="135" t="n">
        <v>5</v>
      </c>
      <c r="BT695" s="143" t="n">
        <v>10</v>
      </c>
      <c r="BU695" s="135" t="n">
        <v>1</v>
      </c>
      <c r="BV695" s="140"/>
      <c r="BW695" s="143" t="n">
        <v>6</v>
      </c>
      <c r="BX695" s="135" t="n">
        <v>2</v>
      </c>
      <c r="BY695" s="143" t="n">
        <v>12</v>
      </c>
      <c r="BZ695" s="135" t="n">
        <v>1</v>
      </c>
      <c r="CA695" s="143" t="n">
        <v>7</v>
      </c>
      <c r="CB695" s="135" t="n">
        <v>13</v>
      </c>
      <c r="CC695" s="143" t="n">
        <v>9</v>
      </c>
      <c r="CD695" s="135" t="n">
        <v>10</v>
      </c>
      <c r="CE695" s="143" t="n">
        <v>4</v>
      </c>
      <c r="CF695" s="135" t="n">
        <v>3</v>
      </c>
      <c r="CG695" s="143" t="n">
        <v>8</v>
      </c>
      <c r="CH695" s="135" t="n">
        <v>14</v>
      </c>
      <c r="CI695" s="143" t="n">
        <v>5</v>
      </c>
      <c r="CJ695" s="135" t="n">
        <v>11</v>
      </c>
      <c r="CK695" s="140"/>
      <c r="CL695" s="143" t="n">
        <v>4</v>
      </c>
      <c r="CM695" s="135" t="n">
        <v>13</v>
      </c>
      <c r="CN695" s="143" t="n">
        <v>12</v>
      </c>
      <c r="CO695" s="135" t="n">
        <v>2</v>
      </c>
      <c r="CP695" s="143" t="n">
        <v>10</v>
      </c>
      <c r="CQ695" s="135" t="n">
        <v>8</v>
      </c>
      <c r="CR695" s="143" t="n">
        <v>16</v>
      </c>
      <c r="CS695" s="135" t="n">
        <v>5</v>
      </c>
      <c r="CT695" s="143" t="n">
        <v>1</v>
      </c>
      <c r="CU695" s="135" t="n">
        <v>9</v>
      </c>
      <c r="CV695" s="143" t="n">
        <v>6</v>
      </c>
      <c r="CW695" s="135" t="n">
        <v>11</v>
      </c>
      <c r="CX695" s="143" t="n">
        <v>14</v>
      </c>
      <c r="CY695" s="135" t="n">
        <v>7</v>
      </c>
      <c r="CZ695" s="143" t="n">
        <v>3</v>
      </c>
      <c r="DA695" s="135" t="n">
        <v>15</v>
      </c>
      <c r="DB695" s="140"/>
      <c r="DC695" s="143" t="n">
        <v>7</v>
      </c>
      <c r="DD695" s="135" t="n">
        <v>9</v>
      </c>
      <c r="DE695" s="143" t="n">
        <v>17</v>
      </c>
      <c r="DF695" s="135" t="n">
        <v>15</v>
      </c>
      <c r="DG695" s="143" t="n">
        <v>16</v>
      </c>
      <c r="DH695" s="135" t="n">
        <v>18</v>
      </c>
      <c r="DI695" s="143" t="n">
        <v>1</v>
      </c>
      <c r="DJ695" s="135" t="n">
        <v>8</v>
      </c>
      <c r="DK695" s="143" t="n">
        <v>3</v>
      </c>
      <c r="DL695" s="135" t="n">
        <v>2</v>
      </c>
      <c r="DM695" s="143" t="n">
        <v>12</v>
      </c>
      <c r="DN695" s="135" t="n">
        <v>10</v>
      </c>
      <c r="DO695" s="143" t="n">
        <v>14</v>
      </c>
      <c r="DP695" s="135" t="n">
        <v>5</v>
      </c>
      <c r="DQ695" s="143" t="n">
        <v>6</v>
      </c>
      <c r="DR695" s="135" t="n">
        <v>11</v>
      </c>
      <c r="DS695" s="143" t="n">
        <v>4</v>
      </c>
      <c r="DT695" s="135" t="n">
        <v>13</v>
      </c>
      <c r="DU695" s="140"/>
      <c r="DV695" s="143" t="n">
        <v>17</v>
      </c>
      <c r="DW695" s="135" t="n">
        <v>4</v>
      </c>
      <c r="DX695" s="143" t="n">
        <v>6</v>
      </c>
      <c r="DY695" s="135" t="n">
        <v>1</v>
      </c>
      <c r="DZ695" s="143" t="n">
        <v>12</v>
      </c>
      <c r="EA695" s="135" t="n">
        <v>14</v>
      </c>
      <c r="EB695" s="143" t="n">
        <v>18</v>
      </c>
      <c r="EC695" s="135" t="n">
        <v>13</v>
      </c>
      <c r="ED695" s="143" t="n">
        <v>9</v>
      </c>
      <c r="EE695" s="135" t="n">
        <v>20</v>
      </c>
      <c r="EF695" s="143" t="n">
        <v>15</v>
      </c>
      <c r="EG695" s="135" t="n">
        <v>7</v>
      </c>
      <c r="EH695" s="143" t="n">
        <v>2</v>
      </c>
      <c r="EI695" s="135" t="n">
        <v>16</v>
      </c>
      <c r="EJ695" s="143" t="n">
        <v>8</v>
      </c>
      <c r="EK695" s="135" t="n">
        <v>19</v>
      </c>
      <c r="EL695" s="143" t="n">
        <v>5</v>
      </c>
      <c r="EM695" s="135" t="n">
        <v>11</v>
      </c>
      <c r="EN695" s="143" t="n">
        <v>3</v>
      </c>
      <c r="EO695" s="135" t="n">
        <v>10</v>
      </c>
      <c r="EP695" s="140"/>
    </row>
    <row r="696" customFormat="false" ht="15" hidden="false" customHeight="false" outlineLevel="0" collapsed="false">
      <c r="AB696" s="141" t="s">
        <v>6</v>
      </c>
      <c r="AC696" s="142"/>
      <c r="AD696" s="143" t="n">
        <v>2</v>
      </c>
      <c r="AE696" s="135" t="n">
        <v>1</v>
      </c>
      <c r="AF696" s="143" t="n">
        <v>4</v>
      </c>
      <c r="AG696" s="135" t="n">
        <v>3</v>
      </c>
      <c r="AH696" s="139"/>
      <c r="AI696" s="137" t="n">
        <v>4</v>
      </c>
      <c r="AJ696" s="138" t="n">
        <v>3</v>
      </c>
      <c r="AK696" s="137" t="n">
        <v>1</v>
      </c>
      <c r="AL696" s="138" t="n">
        <v>6</v>
      </c>
      <c r="AM696" s="137" t="n">
        <v>2</v>
      </c>
      <c r="AN696" s="138" t="n">
        <v>5</v>
      </c>
      <c r="AO696" s="139"/>
      <c r="AP696" s="143" t="n">
        <v>1</v>
      </c>
      <c r="AQ696" s="135" t="n">
        <v>3</v>
      </c>
      <c r="AR696" s="143" t="n">
        <v>5</v>
      </c>
      <c r="AS696" s="135" t="n">
        <v>8</v>
      </c>
      <c r="AT696" s="143" t="n">
        <v>2</v>
      </c>
      <c r="AU696" s="135" t="n">
        <v>4</v>
      </c>
      <c r="AV696" s="143" t="n">
        <v>6</v>
      </c>
      <c r="AW696" s="135" t="n">
        <v>7</v>
      </c>
      <c r="AX696" s="139"/>
      <c r="AY696" s="143" t="n">
        <v>2</v>
      </c>
      <c r="AZ696" s="135" t="n">
        <v>8</v>
      </c>
      <c r="BA696" s="143" t="n">
        <v>9</v>
      </c>
      <c r="BB696" s="135" t="n">
        <v>10</v>
      </c>
      <c r="BC696" s="143" t="n">
        <v>7</v>
      </c>
      <c r="BD696" s="135" t="n">
        <v>3</v>
      </c>
      <c r="BE696" s="143" t="n">
        <v>5</v>
      </c>
      <c r="BF696" s="135" t="n">
        <v>1</v>
      </c>
      <c r="BG696" s="143" t="n">
        <v>4</v>
      </c>
      <c r="BH696" s="135" t="n">
        <v>6</v>
      </c>
      <c r="BI696" s="140"/>
      <c r="BJ696" s="143" t="n">
        <v>2</v>
      </c>
      <c r="BK696" s="135" t="n">
        <v>8</v>
      </c>
      <c r="BL696" s="143" t="n">
        <v>6</v>
      </c>
      <c r="BM696" s="135" t="n">
        <v>10</v>
      </c>
      <c r="BN696" s="143" t="n">
        <v>4</v>
      </c>
      <c r="BO696" s="135" t="n">
        <v>1</v>
      </c>
      <c r="BP696" s="143" t="n">
        <v>5</v>
      </c>
      <c r="BQ696" s="135" t="n">
        <v>9</v>
      </c>
      <c r="BR696" s="143" t="n">
        <v>11</v>
      </c>
      <c r="BS696" s="135" t="n">
        <v>3</v>
      </c>
      <c r="BT696" s="143" t="n">
        <v>12</v>
      </c>
      <c r="BU696" s="135" t="n">
        <v>7</v>
      </c>
      <c r="BV696" s="140"/>
      <c r="BW696" s="143" t="n">
        <v>13</v>
      </c>
      <c r="BX696" s="135" t="n">
        <v>4</v>
      </c>
      <c r="BY696" s="143" t="n">
        <v>1</v>
      </c>
      <c r="BZ696" s="135" t="n">
        <v>8</v>
      </c>
      <c r="CA696" s="143" t="n">
        <v>11</v>
      </c>
      <c r="CB696" s="135" t="n">
        <v>6</v>
      </c>
      <c r="CC696" s="143" t="n">
        <v>14</v>
      </c>
      <c r="CD696" s="135" t="n">
        <v>5</v>
      </c>
      <c r="CE696" s="143" t="n">
        <v>10</v>
      </c>
      <c r="CF696" s="135" t="n">
        <v>12</v>
      </c>
      <c r="CG696" s="143" t="n">
        <v>7</v>
      </c>
      <c r="CH696" s="135" t="n">
        <v>9</v>
      </c>
      <c r="CI696" s="143" t="n">
        <v>2</v>
      </c>
      <c r="CJ696" s="135" t="n">
        <v>3</v>
      </c>
      <c r="CK696" s="140"/>
      <c r="CL696" s="143" t="n">
        <v>11</v>
      </c>
      <c r="CM696" s="135" t="n">
        <v>14</v>
      </c>
      <c r="CN696" s="143" t="n">
        <v>5</v>
      </c>
      <c r="CO696" s="135" t="n">
        <v>3</v>
      </c>
      <c r="CP696" s="143" t="n">
        <v>8</v>
      </c>
      <c r="CQ696" s="135" t="n">
        <v>6</v>
      </c>
      <c r="CR696" s="143" t="n">
        <v>15</v>
      </c>
      <c r="CS696" s="135" t="n">
        <v>1</v>
      </c>
      <c r="CT696" s="143" t="n">
        <v>13</v>
      </c>
      <c r="CU696" s="135" t="n">
        <v>10</v>
      </c>
      <c r="CV696" s="143" t="n">
        <v>12</v>
      </c>
      <c r="CW696" s="135" t="n">
        <v>4</v>
      </c>
      <c r="CX696" s="143" t="n">
        <v>2</v>
      </c>
      <c r="CY696" s="135" t="n">
        <v>9</v>
      </c>
      <c r="CZ696" s="143" t="n">
        <v>7</v>
      </c>
      <c r="DA696" s="135" t="n">
        <v>16</v>
      </c>
      <c r="DB696" s="140"/>
      <c r="DC696" s="143" t="n">
        <v>13</v>
      </c>
      <c r="DD696" s="135" t="n">
        <v>17</v>
      </c>
      <c r="DE696" s="143" t="n">
        <v>9</v>
      </c>
      <c r="DF696" s="135" t="n">
        <v>6</v>
      </c>
      <c r="DG696" s="143" t="n">
        <v>10</v>
      </c>
      <c r="DH696" s="135" t="n">
        <v>8</v>
      </c>
      <c r="DI696" s="143" t="n">
        <v>15</v>
      </c>
      <c r="DJ696" s="135" t="n">
        <v>7</v>
      </c>
      <c r="DK696" s="143" t="n">
        <v>3</v>
      </c>
      <c r="DL696" s="135" t="n">
        <v>4</v>
      </c>
      <c r="DM696" s="143" t="n">
        <v>2</v>
      </c>
      <c r="DN696" s="135" t="n">
        <v>14</v>
      </c>
      <c r="DO696" s="143" t="n">
        <v>5</v>
      </c>
      <c r="DP696" s="135" t="n">
        <v>1</v>
      </c>
      <c r="DQ696" s="143" t="n">
        <v>11</v>
      </c>
      <c r="DR696" s="135" t="n">
        <v>16</v>
      </c>
      <c r="DS696" s="143" t="n">
        <v>18</v>
      </c>
      <c r="DT696" s="135" t="n">
        <v>12</v>
      </c>
      <c r="DU696" s="140"/>
      <c r="DV696" s="143" t="n">
        <v>20</v>
      </c>
      <c r="DW696" s="135" t="n">
        <v>5</v>
      </c>
      <c r="DX696" s="143" t="n">
        <v>19</v>
      </c>
      <c r="DY696" s="135" t="n">
        <v>4</v>
      </c>
      <c r="DZ696" s="143" t="n">
        <v>1</v>
      </c>
      <c r="EA696" s="135" t="n">
        <v>8</v>
      </c>
      <c r="EB696" s="143" t="n">
        <v>16</v>
      </c>
      <c r="EC696" s="135" t="n">
        <v>18</v>
      </c>
      <c r="ED696" s="143" t="n">
        <v>3</v>
      </c>
      <c r="EE696" s="135" t="n">
        <v>14</v>
      </c>
      <c r="EF696" s="143" t="n">
        <v>6</v>
      </c>
      <c r="EG696" s="135" t="n">
        <v>15</v>
      </c>
      <c r="EH696" s="143" t="n">
        <v>11</v>
      </c>
      <c r="EI696" s="135" t="n">
        <v>12</v>
      </c>
      <c r="EJ696" s="143" t="n">
        <v>7</v>
      </c>
      <c r="EK696" s="135" t="n">
        <v>2</v>
      </c>
      <c r="EL696" s="143" t="n">
        <v>13</v>
      </c>
      <c r="EM696" s="135" t="n">
        <v>9</v>
      </c>
      <c r="EN696" s="143" t="n">
        <v>10</v>
      </c>
      <c r="EO696" s="135" t="n">
        <v>17</v>
      </c>
      <c r="EP696" s="140"/>
    </row>
    <row r="697" customFormat="false" ht="15" hidden="false" customHeight="false" outlineLevel="0" collapsed="false">
      <c r="AB697" s="141" t="s">
        <v>7</v>
      </c>
      <c r="AC697" s="142"/>
      <c r="AD697" s="143" t="n">
        <v>3</v>
      </c>
      <c r="AE697" s="135" t="n">
        <v>2</v>
      </c>
      <c r="AF697" s="143" t="n">
        <v>4</v>
      </c>
      <c r="AG697" s="135" t="n">
        <v>1</v>
      </c>
      <c r="AH697" s="139"/>
      <c r="AI697" s="137" t="n">
        <v>1</v>
      </c>
      <c r="AJ697" s="138" t="n">
        <v>5</v>
      </c>
      <c r="AK697" s="137" t="n">
        <v>3</v>
      </c>
      <c r="AL697" s="138" t="n">
        <v>2</v>
      </c>
      <c r="AM697" s="137" t="n">
        <v>6</v>
      </c>
      <c r="AN697" s="138" t="n">
        <v>4</v>
      </c>
      <c r="AO697" s="139"/>
      <c r="AP697" s="143" t="n">
        <v>5</v>
      </c>
      <c r="AQ697" s="135" t="n">
        <v>6</v>
      </c>
      <c r="AR697" s="143" t="n">
        <v>7</v>
      </c>
      <c r="AS697" s="135" t="n">
        <v>4</v>
      </c>
      <c r="AT697" s="143" t="n">
        <v>1</v>
      </c>
      <c r="AU697" s="135" t="n">
        <v>2</v>
      </c>
      <c r="AV697" s="143" t="n">
        <v>3</v>
      </c>
      <c r="AW697" s="135" t="n">
        <v>8</v>
      </c>
      <c r="AX697" s="139"/>
      <c r="AY697" s="143" t="n">
        <v>7</v>
      </c>
      <c r="AZ697" s="135" t="n">
        <v>10</v>
      </c>
      <c r="BA697" s="143" t="n">
        <v>8</v>
      </c>
      <c r="BB697" s="135" t="n">
        <v>9</v>
      </c>
      <c r="BC697" s="143" t="n">
        <v>1</v>
      </c>
      <c r="BD697" s="135" t="n">
        <v>4</v>
      </c>
      <c r="BE697" s="143" t="n">
        <v>6</v>
      </c>
      <c r="BF697" s="135" t="n">
        <v>2</v>
      </c>
      <c r="BG697" s="143" t="n">
        <v>3</v>
      </c>
      <c r="BH697" s="135" t="n">
        <v>5</v>
      </c>
      <c r="BI697" s="140"/>
      <c r="BJ697" s="143" t="n">
        <v>9</v>
      </c>
      <c r="BK697" s="135" t="n">
        <v>1</v>
      </c>
      <c r="BL697" s="143" t="n">
        <v>7</v>
      </c>
      <c r="BM697" s="135" t="n">
        <v>11</v>
      </c>
      <c r="BN697" s="143" t="n">
        <v>3</v>
      </c>
      <c r="BO697" s="135" t="n">
        <v>10</v>
      </c>
      <c r="BP697" s="143" t="n">
        <v>6</v>
      </c>
      <c r="BQ697" s="135" t="n">
        <v>12</v>
      </c>
      <c r="BR697" s="143" t="n">
        <v>5</v>
      </c>
      <c r="BS697" s="135" t="n">
        <v>2</v>
      </c>
      <c r="BT697" s="143" t="n">
        <v>4</v>
      </c>
      <c r="BU697" s="135" t="n">
        <v>8</v>
      </c>
      <c r="BV697" s="140"/>
      <c r="BW697" s="143" t="n">
        <v>9</v>
      </c>
      <c r="BX697" s="135" t="n">
        <v>13</v>
      </c>
      <c r="BY697" s="143" t="n">
        <v>5</v>
      </c>
      <c r="BZ697" s="135" t="n">
        <v>1</v>
      </c>
      <c r="CA697" s="143" t="n">
        <v>8</v>
      </c>
      <c r="CB697" s="135" t="n">
        <v>10</v>
      </c>
      <c r="CC697" s="143" t="n">
        <v>6</v>
      </c>
      <c r="CD697" s="135" t="n">
        <v>14</v>
      </c>
      <c r="CE697" s="143" t="n">
        <v>4</v>
      </c>
      <c r="CF697" s="135" t="n">
        <v>2</v>
      </c>
      <c r="CG697" s="143" t="n">
        <v>3</v>
      </c>
      <c r="CH697" s="135" t="n">
        <v>11</v>
      </c>
      <c r="CI697" s="143" t="n">
        <v>12</v>
      </c>
      <c r="CJ697" s="135" t="n">
        <v>7</v>
      </c>
      <c r="CK697" s="140"/>
      <c r="CL697" s="143" t="n">
        <v>10</v>
      </c>
      <c r="CM697" s="135" t="n">
        <v>12</v>
      </c>
      <c r="CN697" s="143" t="n">
        <v>14</v>
      </c>
      <c r="CO697" s="135" t="n">
        <v>8</v>
      </c>
      <c r="CP697" s="143" t="n">
        <v>4</v>
      </c>
      <c r="CQ697" s="135" t="n">
        <v>9</v>
      </c>
      <c r="CR697" s="143" t="n">
        <v>1</v>
      </c>
      <c r="CS697" s="135" t="n">
        <v>2</v>
      </c>
      <c r="CT697" s="143" t="n">
        <v>3</v>
      </c>
      <c r="CU697" s="135" t="n">
        <v>7</v>
      </c>
      <c r="CV697" s="143" t="n">
        <v>15</v>
      </c>
      <c r="CW697" s="135" t="n">
        <v>5</v>
      </c>
      <c r="CX697" s="143" t="n">
        <v>6</v>
      </c>
      <c r="CY697" s="135" t="n">
        <v>13</v>
      </c>
      <c r="CZ697" s="143" t="n">
        <v>16</v>
      </c>
      <c r="DA697" s="135" t="n">
        <v>11</v>
      </c>
      <c r="DB697" s="140"/>
      <c r="DC697" s="143" t="n">
        <v>7</v>
      </c>
      <c r="DD697" s="135" t="n">
        <v>13</v>
      </c>
      <c r="DE697" s="143" t="n">
        <v>16</v>
      </c>
      <c r="DF697" s="135" t="n">
        <v>9</v>
      </c>
      <c r="DG697" s="143" t="n">
        <v>12</v>
      </c>
      <c r="DH697" s="135" t="n">
        <v>11</v>
      </c>
      <c r="DI697" s="143" t="n">
        <v>14</v>
      </c>
      <c r="DJ697" s="135" t="n">
        <v>4</v>
      </c>
      <c r="DK697" s="143" t="n">
        <v>5</v>
      </c>
      <c r="DL697" s="135" t="n">
        <v>2</v>
      </c>
      <c r="DM697" s="143" t="n">
        <v>6</v>
      </c>
      <c r="DN697" s="135" t="n">
        <v>15</v>
      </c>
      <c r="DO697" s="143" t="n">
        <v>8</v>
      </c>
      <c r="DP697" s="135" t="n">
        <v>18</v>
      </c>
      <c r="DQ697" s="143" t="n">
        <v>1</v>
      </c>
      <c r="DR697" s="135" t="n">
        <v>10</v>
      </c>
      <c r="DS697" s="143" t="n">
        <v>17</v>
      </c>
      <c r="DT697" s="135" t="n">
        <v>3</v>
      </c>
      <c r="DU697" s="140"/>
      <c r="DV697" s="143" t="n">
        <v>14</v>
      </c>
      <c r="DW697" s="135" t="n">
        <v>10</v>
      </c>
      <c r="DX697" s="143" t="n">
        <v>5</v>
      </c>
      <c r="DY697" s="135" t="n">
        <v>13</v>
      </c>
      <c r="DZ697" s="143" t="n">
        <v>9</v>
      </c>
      <c r="EA697" s="135" t="n">
        <v>16</v>
      </c>
      <c r="EB697" s="143" t="n">
        <v>3</v>
      </c>
      <c r="EC697" s="135" t="n">
        <v>11</v>
      </c>
      <c r="ED697" s="143" t="n">
        <v>4</v>
      </c>
      <c r="EE697" s="135" t="n">
        <v>1</v>
      </c>
      <c r="EF697" s="143" t="n">
        <v>12</v>
      </c>
      <c r="EG697" s="135" t="n">
        <v>20</v>
      </c>
      <c r="EH697" s="143" t="n">
        <v>2</v>
      </c>
      <c r="EI697" s="135" t="n">
        <v>6</v>
      </c>
      <c r="EJ697" s="143" t="n">
        <v>18</v>
      </c>
      <c r="EK697" s="135" t="n">
        <v>7</v>
      </c>
      <c r="EL697" s="143" t="n">
        <v>15</v>
      </c>
      <c r="EM697" s="135" t="n">
        <v>8</v>
      </c>
      <c r="EN697" s="143" t="n">
        <v>17</v>
      </c>
      <c r="EO697" s="135" t="n">
        <v>19</v>
      </c>
      <c r="EP697" s="140"/>
    </row>
    <row r="698" customFormat="false" ht="15" hidden="false" customHeight="false" outlineLevel="0" collapsed="false">
      <c r="AB698" s="141" t="s">
        <v>8</v>
      </c>
      <c r="AC698" s="142"/>
      <c r="AD698" s="143" t="n">
        <v>2</v>
      </c>
      <c r="AE698" s="135" t="n">
        <v>4</v>
      </c>
      <c r="AF698" s="143" t="n">
        <v>1</v>
      </c>
      <c r="AG698" s="135" t="n">
        <v>3</v>
      </c>
      <c r="AH698" s="139"/>
      <c r="AI698" s="137" t="n">
        <v>6</v>
      </c>
      <c r="AJ698" s="138" t="n">
        <v>2</v>
      </c>
      <c r="AK698" s="137" t="n">
        <v>5</v>
      </c>
      <c r="AL698" s="138" t="n">
        <v>3</v>
      </c>
      <c r="AM698" s="137" t="n">
        <v>4</v>
      </c>
      <c r="AN698" s="138" t="n">
        <v>1</v>
      </c>
      <c r="AO698" s="139"/>
      <c r="AP698" s="143" t="n">
        <v>4</v>
      </c>
      <c r="AQ698" s="135" t="n">
        <v>5</v>
      </c>
      <c r="AR698" s="143" t="n">
        <v>6</v>
      </c>
      <c r="AS698" s="135" t="n">
        <v>3</v>
      </c>
      <c r="AT698" s="143" t="n">
        <v>2</v>
      </c>
      <c r="AU698" s="135" t="n">
        <v>7</v>
      </c>
      <c r="AV698" s="143" t="n">
        <v>1</v>
      </c>
      <c r="AW698" s="135" t="n">
        <v>8</v>
      </c>
      <c r="AX698" s="139"/>
      <c r="AY698" s="143" t="n">
        <v>9</v>
      </c>
      <c r="AZ698" s="135" t="n">
        <v>6</v>
      </c>
      <c r="BA698" s="143" t="n">
        <v>3</v>
      </c>
      <c r="BB698" s="135" t="n">
        <v>1</v>
      </c>
      <c r="BC698" s="143" t="n">
        <v>10</v>
      </c>
      <c r="BD698" s="135" t="n">
        <v>5</v>
      </c>
      <c r="BE698" s="143" t="n">
        <v>2</v>
      </c>
      <c r="BF698" s="135" t="n">
        <v>4</v>
      </c>
      <c r="BG698" s="143" t="n">
        <v>8</v>
      </c>
      <c r="BH698" s="135" t="n">
        <v>7</v>
      </c>
      <c r="BI698" s="140"/>
      <c r="BJ698" s="143" t="n">
        <v>11</v>
      </c>
      <c r="BK698" s="135" t="n">
        <v>4</v>
      </c>
      <c r="BL698" s="143" t="n">
        <v>2</v>
      </c>
      <c r="BM698" s="135" t="n">
        <v>6</v>
      </c>
      <c r="BN698" s="143" t="n">
        <v>12</v>
      </c>
      <c r="BO698" s="135" t="n">
        <v>5</v>
      </c>
      <c r="BP698" s="143" t="n">
        <v>8</v>
      </c>
      <c r="BQ698" s="135" t="n">
        <v>1</v>
      </c>
      <c r="BR698" s="143" t="n">
        <v>10</v>
      </c>
      <c r="BS698" s="135" t="n">
        <v>7</v>
      </c>
      <c r="BT698" s="143" t="n">
        <v>3</v>
      </c>
      <c r="BU698" s="135" t="n">
        <v>9</v>
      </c>
      <c r="BV698" s="140"/>
      <c r="BW698" s="143" t="n">
        <v>9</v>
      </c>
      <c r="BX698" s="135" t="n">
        <v>4</v>
      </c>
      <c r="BY698" s="143" t="n">
        <v>10</v>
      </c>
      <c r="BZ698" s="135" t="n">
        <v>5</v>
      </c>
      <c r="CA698" s="143" t="n">
        <v>14</v>
      </c>
      <c r="CB698" s="135" t="n">
        <v>3</v>
      </c>
      <c r="CC698" s="143" t="n">
        <v>11</v>
      </c>
      <c r="CD698" s="135" t="n">
        <v>2</v>
      </c>
      <c r="CE698" s="143" t="n">
        <v>13</v>
      </c>
      <c r="CF698" s="135" t="n">
        <v>12</v>
      </c>
      <c r="CG698" s="143" t="n">
        <v>1</v>
      </c>
      <c r="CH698" s="135" t="n">
        <v>6</v>
      </c>
      <c r="CI698" s="143" t="n">
        <v>7</v>
      </c>
      <c r="CJ698" s="135" t="n">
        <v>8</v>
      </c>
      <c r="CK698" s="140"/>
      <c r="CL698" s="143" t="n">
        <v>8</v>
      </c>
      <c r="CM698" s="135" t="n">
        <v>16</v>
      </c>
      <c r="CN698" s="143" t="n">
        <v>2</v>
      </c>
      <c r="CO698" s="135" t="n">
        <v>4</v>
      </c>
      <c r="CP698" s="143" t="n">
        <v>7</v>
      </c>
      <c r="CQ698" s="135" t="n">
        <v>15</v>
      </c>
      <c r="CR698" s="143" t="n">
        <v>1</v>
      </c>
      <c r="CS698" s="135" t="n">
        <v>5</v>
      </c>
      <c r="CT698" s="143" t="n">
        <v>12</v>
      </c>
      <c r="CU698" s="135" t="n">
        <v>6</v>
      </c>
      <c r="CV698" s="143" t="n">
        <v>13</v>
      </c>
      <c r="CW698" s="135" t="n">
        <v>14</v>
      </c>
      <c r="CX698" s="143" t="n">
        <v>11</v>
      </c>
      <c r="CY698" s="135" t="n">
        <v>3</v>
      </c>
      <c r="CZ698" s="143" t="n">
        <v>9</v>
      </c>
      <c r="DA698" s="135" t="n">
        <v>10</v>
      </c>
      <c r="DB698" s="140"/>
      <c r="DC698" s="143" t="n">
        <v>4</v>
      </c>
      <c r="DD698" s="135" t="n">
        <v>5</v>
      </c>
      <c r="DE698" s="143" t="n">
        <v>9</v>
      </c>
      <c r="DF698" s="135" t="n">
        <v>12</v>
      </c>
      <c r="DG698" s="143" t="n">
        <v>3</v>
      </c>
      <c r="DH698" s="135" t="n">
        <v>7</v>
      </c>
      <c r="DI698" s="143" t="n">
        <v>18</v>
      </c>
      <c r="DJ698" s="135" t="n">
        <v>10</v>
      </c>
      <c r="DK698" s="143" t="n">
        <v>15</v>
      </c>
      <c r="DL698" s="135" t="n">
        <v>16</v>
      </c>
      <c r="DM698" s="143" t="n">
        <v>14</v>
      </c>
      <c r="DN698" s="135" t="n">
        <v>17</v>
      </c>
      <c r="DO698" s="143" t="n">
        <v>11</v>
      </c>
      <c r="DP698" s="135" t="n">
        <v>8</v>
      </c>
      <c r="DQ698" s="143" t="n">
        <v>2</v>
      </c>
      <c r="DR698" s="135" t="n">
        <v>1</v>
      </c>
      <c r="DS698" s="143" t="n">
        <v>13</v>
      </c>
      <c r="DT698" s="135" t="n">
        <v>6</v>
      </c>
      <c r="DU698" s="140"/>
      <c r="DV698" s="143" t="n">
        <v>7</v>
      </c>
      <c r="DW698" s="135" t="n">
        <v>9</v>
      </c>
      <c r="DX698" s="143" t="n">
        <v>20</v>
      </c>
      <c r="DY698" s="135" t="n">
        <v>3</v>
      </c>
      <c r="DZ698" s="143" t="n">
        <v>4</v>
      </c>
      <c r="EA698" s="135" t="n">
        <v>15</v>
      </c>
      <c r="EB698" s="143" t="n">
        <v>16</v>
      </c>
      <c r="EC698" s="135" t="n">
        <v>5</v>
      </c>
      <c r="ED698" s="143" t="n">
        <v>14</v>
      </c>
      <c r="EE698" s="135" t="n">
        <v>17</v>
      </c>
      <c r="EF698" s="143" t="n">
        <v>6</v>
      </c>
      <c r="EG698" s="135" t="n">
        <v>18</v>
      </c>
      <c r="EH698" s="143" t="n">
        <v>8</v>
      </c>
      <c r="EI698" s="135" t="n">
        <v>2</v>
      </c>
      <c r="EJ698" s="143" t="n">
        <v>13</v>
      </c>
      <c r="EK698" s="135" t="n">
        <v>12</v>
      </c>
      <c r="EL698" s="143" t="n">
        <v>11</v>
      </c>
      <c r="EM698" s="135" t="n">
        <v>10</v>
      </c>
      <c r="EN698" s="143" t="n">
        <v>1</v>
      </c>
      <c r="EO698" s="135" t="n">
        <v>19</v>
      </c>
      <c r="EP698" s="140"/>
    </row>
    <row r="699" customFormat="false" ht="15" hidden="false" customHeight="false" outlineLevel="0" collapsed="false">
      <c r="AB699" s="141" t="s">
        <v>9</v>
      </c>
      <c r="AC699" s="142"/>
      <c r="AD699" s="143" t="n">
        <v>1</v>
      </c>
      <c r="AE699" s="135" t="n">
        <v>2</v>
      </c>
      <c r="AF699" s="143" t="n">
        <v>3</v>
      </c>
      <c r="AG699" s="135" t="n">
        <v>4</v>
      </c>
      <c r="AH699" s="139"/>
      <c r="AI699" s="137" t="n">
        <v>5</v>
      </c>
      <c r="AJ699" s="138" t="n">
        <v>6</v>
      </c>
      <c r="AK699" s="137" t="n">
        <v>2</v>
      </c>
      <c r="AL699" s="138" t="n">
        <v>4</v>
      </c>
      <c r="AM699" s="137" t="n">
        <v>3</v>
      </c>
      <c r="AN699" s="138" t="n">
        <v>1</v>
      </c>
      <c r="AO699" s="139"/>
      <c r="AP699" s="143" t="n">
        <v>1</v>
      </c>
      <c r="AQ699" s="135" t="n">
        <v>7</v>
      </c>
      <c r="AR699" s="143" t="n">
        <v>5</v>
      </c>
      <c r="AS699" s="135" t="n">
        <v>2</v>
      </c>
      <c r="AT699" s="143" t="n">
        <v>3</v>
      </c>
      <c r="AU699" s="135" t="n">
        <v>4</v>
      </c>
      <c r="AV699" s="143" t="n">
        <v>8</v>
      </c>
      <c r="AW699" s="135" t="n">
        <v>6</v>
      </c>
      <c r="AX699" s="139"/>
      <c r="AY699" s="143" t="n">
        <v>1</v>
      </c>
      <c r="AZ699" s="135" t="n">
        <v>2</v>
      </c>
      <c r="BA699" s="143" t="n">
        <v>4</v>
      </c>
      <c r="BB699" s="135" t="n">
        <v>9</v>
      </c>
      <c r="BC699" s="143" t="n">
        <v>5</v>
      </c>
      <c r="BD699" s="135" t="n">
        <v>8</v>
      </c>
      <c r="BE699" s="143" t="n">
        <v>6</v>
      </c>
      <c r="BF699" s="135" t="n">
        <v>7</v>
      </c>
      <c r="BG699" s="143" t="n">
        <v>10</v>
      </c>
      <c r="BH699" s="135" t="n">
        <v>3</v>
      </c>
      <c r="BI699" s="140"/>
      <c r="BJ699" s="143" t="n">
        <v>6</v>
      </c>
      <c r="BK699" s="135" t="n">
        <v>9</v>
      </c>
      <c r="BL699" s="143" t="n">
        <v>1</v>
      </c>
      <c r="BM699" s="135" t="n">
        <v>7</v>
      </c>
      <c r="BN699" s="143" t="n">
        <v>11</v>
      </c>
      <c r="BO699" s="135" t="n">
        <v>2</v>
      </c>
      <c r="BP699" s="143" t="n">
        <v>12</v>
      </c>
      <c r="BQ699" s="135" t="n">
        <v>4</v>
      </c>
      <c r="BR699" s="143" t="n">
        <v>3</v>
      </c>
      <c r="BS699" s="135" t="n">
        <v>8</v>
      </c>
      <c r="BT699" s="143" t="n">
        <v>5</v>
      </c>
      <c r="BU699" s="135" t="n">
        <v>10</v>
      </c>
      <c r="BV699" s="140"/>
      <c r="BW699" s="143" t="n">
        <v>3</v>
      </c>
      <c r="BX699" s="135" t="n">
        <v>1</v>
      </c>
      <c r="BY699" s="143" t="n">
        <v>4</v>
      </c>
      <c r="BZ699" s="135" t="n">
        <v>11</v>
      </c>
      <c r="CA699" s="143" t="n">
        <v>8</v>
      </c>
      <c r="CB699" s="135" t="n">
        <v>13</v>
      </c>
      <c r="CC699" s="143" t="n">
        <v>6</v>
      </c>
      <c r="CD699" s="135" t="n">
        <v>10</v>
      </c>
      <c r="CE699" s="143" t="n">
        <v>2</v>
      </c>
      <c r="CF699" s="135" t="n">
        <v>14</v>
      </c>
      <c r="CG699" s="143" t="n">
        <v>5</v>
      </c>
      <c r="CH699" s="135" t="n">
        <v>7</v>
      </c>
      <c r="CI699" s="143" t="n">
        <v>12</v>
      </c>
      <c r="CJ699" s="135" t="n">
        <v>9</v>
      </c>
      <c r="CK699" s="140"/>
      <c r="CL699" s="143" t="n">
        <v>14</v>
      </c>
      <c r="CM699" s="135" t="n">
        <v>12</v>
      </c>
      <c r="CN699" s="143" t="n">
        <v>16</v>
      </c>
      <c r="CO699" s="135" t="n">
        <v>13</v>
      </c>
      <c r="CP699" s="143" t="n">
        <v>6</v>
      </c>
      <c r="CQ699" s="135" t="n">
        <v>9</v>
      </c>
      <c r="CR699" s="143" t="n">
        <v>15</v>
      </c>
      <c r="CS699" s="135" t="n">
        <v>11</v>
      </c>
      <c r="CT699" s="143" t="n">
        <v>4</v>
      </c>
      <c r="CU699" s="135" t="n">
        <v>1</v>
      </c>
      <c r="CV699" s="143" t="n">
        <v>3</v>
      </c>
      <c r="CW699" s="135" t="n">
        <v>8</v>
      </c>
      <c r="CX699" s="143" t="n">
        <v>5</v>
      </c>
      <c r="CY699" s="135" t="n">
        <v>7</v>
      </c>
      <c r="CZ699" s="143" t="n">
        <v>10</v>
      </c>
      <c r="DA699" s="135" t="n">
        <v>2</v>
      </c>
      <c r="DB699" s="140"/>
      <c r="DC699" s="143" t="n">
        <v>12</v>
      </c>
      <c r="DD699" s="135" t="n">
        <v>15</v>
      </c>
      <c r="DE699" s="143" t="n">
        <v>6</v>
      </c>
      <c r="DF699" s="135" t="n">
        <v>3</v>
      </c>
      <c r="DG699" s="143" t="n">
        <v>4</v>
      </c>
      <c r="DH699" s="135" t="n">
        <v>2</v>
      </c>
      <c r="DI699" s="143" t="n">
        <v>16</v>
      </c>
      <c r="DJ699" s="135" t="n">
        <v>13</v>
      </c>
      <c r="DK699" s="143" t="n">
        <v>10</v>
      </c>
      <c r="DL699" s="135" t="n">
        <v>11</v>
      </c>
      <c r="DM699" s="143" t="n">
        <v>8</v>
      </c>
      <c r="DN699" s="135" t="n">
        <v>9</v>
      </c>
      <c r="DO699" s="143" t="n">
        <v>17</v>
      </c>
      <c r="DP699" s="135" t="n">
        <v>5</v>
      </c>
      <c r="DQ699" s="143" t="n">
        <v>7</v>
      </c>
      <c r="DR699" s="135" t="n">
        <v>14</v>
      </c>
      <c r="DS699" s="143" t="n">
        <v>1</v>
      </c>
      <c r="DT699" s="135" t="n">
        <v>18</v>
      </c>
      <c r="DU699" s="140"/>
      <c r="DV699" s="143" t="n">
        <v>2</v>
      </c>
      <c r="DW699" s="135" t="n">
        <v>4</v>
      </c>
      <c r="DX699" s="143" t="n">
        <v>14</v>
      </c>
      <c r="DY699" s="135" t="n">
        <v>11</v>
      </c>
      <c r="DZ699" s="143" t="n">
        <v>17</v>
      </c>
      <c r="EA699" s="135" t="n">
        <v>1</v>
      </c>
      <c r="EB699" s="143" t="n">
        <v>9</v>
      </c>
      <c r="EC699" s="135" t="n">
        <v>6</v>
      </c>
      <c r="ED699" s="143" t="n">
        <v>5</v>
      </c>
      <c r="EE699" s="135" t="n">
        <v>7</v>
      </c>
      <c r="EF699" s="143" t="n">
        <v>12</v>
      </c>
      <c r="EG699" s="135" t="n">
        <v>16</v>
      </c>
      <c r="EH699" s="143" t="n">
        <v>15</v>
      </c>
      <c r="EI699" s="135" t="n">
        <v>19</v>
      </c>
      <c r="EJ699" s="143" t="n">
        <v>18</v>
      </c>
      <c r="EK699" s="135" t="n">
        <v>8</v>
      </c>
      <c r="EL699" s="143" t="n">
        <v>10</v>
      </c>
      <c r="EM699" s="135" t="n">
        <v>20</v>
      </c>
      <c r="EN699" s="143" t="n">
        <v>3</v>
      </c>
      <c r="EO699" s="135" t="n">
        <v>13</v>
      </c>
      <c r="EP699" s="140"/>
    </row>
    <row r="700" customFormat="false" ht="15" hidden="false" customHeight="false" outlineLevel="0" collapsed="false">
      <c r="AB700" s="141" t="s">
        <v>10</v>
      </c>
      <c r="AC700" s="142"/>
      <c r="AD700" s="143" t="n">
        <v>1</v>
      </c>
      <c r="AE700" s="135" t="n">
        <v>4</v>
      </c>
      <c r="AF700" s="143" t="n">
        <v>2</v>
      </c>
      <c r="AG700" s="135" t="n">
        <v>3</v>
      </c>
      <c r="AH700" s="139"/>
      <c r="AI700" s="137" t="n">
        <v>2</v>
      </c>
      <c r="AJ700" s="138" t="n">
        <v>1</v>
      </c>
      <c r="AK700" s="137" t="n">
        <v>4</v>
      </c>
      <c r="AL700" s="138" t="n">
        <v>5</v>
      </c>
      <c r="AM700" s="137" t="n">
        <v>6</v>
      </c>
      <c r="AN700" s="138" t="n">
        <v>3</v>
      </c>
      <c r="AO700" s="139"/>
      <c r="AP700" s="143" t="n">
        <v>2</v>
      </c>
      <c r="AQ700" s="135" t="n">
        <v>3</v>
      </c>
      <c r="AR700" s="143" t="n">
        <v>4</v>
      </c>
      <c r="AS700" s="135" t="n">
        <v>8</v>
      </c>
      <c r="AT700" s="143" t="n">
        <v>6</v>
      </c>
      <c r="AU700" s="135" t="n">
        <v>1</v>
      </c>
      <c r="AV700" s="143" t="n">
        <v>5</v>
      </c>
      <c r="AW700" s="135" t="n">
        <v>7</v>
      </c>
      <c r="AX700" s="139"/>
      <c r="AY700" s="143" t="n">
        <v>2</v>
      </c>
      <c r="AZ700" s="135" t="n">
        <v>9</v>
      </c>
      <c r="BA700" s="143" t="n">
        <v>4</v>
      </c>
      <c r="BB700" s="135" t="n">
        <v>7</v>
      </c>
      <c r="BC700" s="143" t="n">
        <v>10</v>
      </c>
      <c r="BD700" s="135" t="n">
        <v>1</v>
      </c>
      <c r="BE700" s="143" t="n">
        <v>6</v>
      </c>
      <c r="BF700" s="135" t="n">
        <v>5</v>
      </c>
      <c r="BG700" s="143" t="n">
        <v>8</v>
      </c>
      <c r="BH700" s="135" t="n">
        <v>3</v>
      </c>
      <c r="BI700" s="140"/>
      <c r="BJ700" s="143" t="n">
        <v>8</v>
      </c>
      <c r="BK700" s="135" t="n">
        <v>12</v>
      </c>
      <c r="BL700" s="143" t="n">
        <v>11</v>
      </c>
      <c r="BM700" s="135" t="n">
        <v>5</v>
      </c>
      <c r="BN700" s="143" t="n">
        <v>10</v>
      </c>
      <c r="BO700" s="135" t="n">
        <v>4</v>
      </c>
      <c r="BP700" s="143" t="n">
        <v>3</v>
      </c>
      <c r="BQ700" s="135" t="n">
        <v>7</v>
      </c>
      <c r="BR700" s="143" t="n">
        <v>6</v>
      </c>
      <c r="BS700" s="135" t="n">
        <v>1</v>
      </c>
      <c r="BT700" s="143" t="n">
        <v>9</v>
      </c>
      <c r="BU700" s="135" t="n">
        <v>2</v>
      </c>
      <c r="BV700" s="140"/>
      <c r="BW700" s="143" t="n">
        <v>12</v>
      </c>
      <c r="BX700" s="135" t="n">
        <v>4</v>
      </c>
      <c r="BY700" s="143" t="n">
        <v>9</v>
      </c>
      <c r="BZ700" s="135" t="n">
        <v>8</v>
      </c>
      <c r="CA700" s="143" t="n">
        <v>12</v>
      </c>
      <c r="CB700" s="135" t="n">
        <v>5</v>
      </c>
      <c r="CC700" s="143" t="n">
        <v>7</v>
      </c>
      <c r="CD700" s="135" t="n">
        <v>6</v>
      </c>
      <c r="CE700" s="143" t="n">
        <v>10</v>
      </c>
      <c r="CF700" s="135" t="n">
        <v>3</v>
      </c>
      <c r="CG700" s="143" t="n">
        <v>14</v>
      </c>
      <c r="CH700" s="135" t="n">
        <v>11</v>
      </c>
      <c r="CI700" s="143" t="n">
        <v>1</v>
      </c>
      <c r="CJ700" s="135" t="n">
        <v>2</v>
      </c>
      <c r="CK700" s="140"/>
      <c r="CL700" s="143" t="n">
        <v>1</v>
      </c>
      <c r="CM700" s="135" t="n">
        <v>7</v>
      </c>
      <c r="CN700" s="143" t="n">
        <v>11</v>
      </c>
      <c r="CO700" s="135" t="n">
        <v>5</v>
      </c>
      <c r="CP700" s="143" t="n">
        <v>4</v>
      </c>
      <c r="CQ700" s="135" t="n">
        <v>10</v>
      </c>
      <c r="CR700" s="143" t="n">
        <v>2</v>
      </c>
      <c r="CS700" s="135" t="n">
        <v>6</v>
      </c>
      <c r="CT700" s="143" t="n">
        <v>12</v>
      </c>
      <c r="CU700" s="135" t="n">
        <v>16</v>
      </c>
      <c r="CV700" s="143" t="n">
        <v>13</v>
      </c>
      <c r="CW700" s="135" t="n">
        <v>3</v>
      </c>
      <c r="CX700" s="143" t="n">
        <v>8</v>
      </c>
      <c r="CY700" s="135" t="n">
        <v>15</v>
      </c>
      <c r="CZ700" s="143" t="n">
        <v>9</v>
      </c>
      <c r="DA700" s="135" t="n">
        <v>14</v>
      </c>
      <c r="DB700" s="140"/>
      <c r="DC700" s="143" t="n">
        <v>9</v>
      </c>
      <c r="DD700" s="135" t="n">
        <v>10</v>
      </c>
      <c r="DE700" s="143" t="n">
        <v>11</v>
      </c>
      <c r="DF700" s="135" t="n">
        <v>18</v>
      </c>
      <c r="DG700" s="143" t="n">
        <v>3</v>
      </c>
      <c r="DH700" s="135" t="n">
        <v>16</v>
      </c>
      <c r="DI700" s="143" t="n">
        <v>2</v>
      </c>
      <c r="DJ700" s="135" t="n">
        <v>17</v>
      </c>
      <c r="DK700" s="143" t="n">
        <v>14</v>
      </c>
      <c r="DL700" s="135" t="n">
        <v>6</v>
      </c>
      <c r="DM700" s="143" t="n">
        <v>13</v>
      </c>
      <c r="DN700" s="135" t="n">
        <v>12</v>
      </c>
      <c r="DO700" s="143" t="n">
        <v>15</v>
      </c>
      <c r="DP700" s="135" t="n">
        <v>8</v>
      </c>
      <c r="DQ700" s="143" t="n">
        <v>4</v>
      </c>
      <c r="DR700" s="135" t="n">
        <v>1</v>
      </c>
      <c r="DS700" s="143" t="n">
        <v>5</v>
      </c>
      <c r="DT700" s="135" t="n">
        <v>7</v>
      </c>
      <c r="DU700" s="140"/>
      <c r="DV700" s="143" t="n">
        <v>1</v>
      </c>
      <c r="DW700" s="135" t="n">
        <v>15</v>
      </c>
      <c r="DX700" s="143" t="n">
        <v>20</v>
      </c>
      <c r="DY700" s="135" t="n">
        <v>14</v>
      </c>
      <c r="DZ700" s="143" t="n">
        <v>4</v>
      </c>
      <c r="EA700" s="135" t="n">
        <v>18</v>
      </c>
      <c r="EB700" s="143" t="n">
        <v>7</v>
      </c>
      <c r="EC700" s="135" t="n">
        <v>12</v>
      </c>
      <c r="ED700" s="143" t="n">
        <v>8</v>
      </c>
      <c r="EE700" s="135" t="n">
        <v>9</v>
      </c>
      <c r="EF700" s="143" t="n">
        <v>16</v>
      </c>
      <c r="EG700" s="135" t="n">
        <v>3</v>
      </c>
      <c r="EH700" s="143" t="n">
        <v>19</v>
      </c>
      <c r="EI700" s="135" t="n">
        <v>2</v>
      </c>
      <c r="EJ700" s="143" t="n">
        <v>13</v>
      </c>
      <c r="EK700" s="135" t="n">
        <v>10</v>
      </c>
      <c r="EL700" s="143" t="n">
        <v>11</v>
      </c>
      <c r="EM700" s="135" t="n">
        <v>17</v>
      </c>
      <c r="EN700" s="143" t="n">
        <v>6</v>
      </c>
      <c r="EO700" s="135" t="n">
        <v>5</v>
      </c>
      <c r="EP700" s="140"/>
    </row>
    <row r="701" customFormat="false" ht="15" hidden="false" customHeight="false" outlineLevel="0" collapsed="false">
      <c r="AB701" s="141" t="s">
        <v>11</v>
      </c>
      <c r="AC701" s="142"/>
      <c r="AD701" s="143" t="n">
        <v>3</v>
      </c>
      <c r="AE701" s="135" t="n">
        <v>1</v>
      </c>
      <c r="AF701" s="143" t="n">
        <v>4</v>
      </c>
      <c r="AG701" s="135" t="n">
        <v>2</v>
      </c>
      <c r="AH701" s="139"/>
      <c r="AI701" s="137" t="n">
        <v>5</v>
      </c>
      <c r="AJ701" s="138" t="n">
        <v>2</v>
      </c>
      <c r="AK701" s="137" t="n">
        <v>3</v>
      </c>
      <c r="AL701" s="138" t="n">
        <v>4</v>
      </c>
      <c r="AM701" s="137" t="n">
        <v>6</v>
      </c>
      <c r="AN701" s="138" t="n">
        <v>1</v>
      </c>
      <c r="AO701" s="139"/>
      <c r="AP701" s="143" t="n">
        <v>2</v>
      </c>
      <c r="AQ701" s="135" t="n">
        <v>8</v>
      </c>
      <c r="AR701" s="143" t="n">
        <v>6</v>
      </c>
      <c r="AS701" s="135" t="n">
        <v>4</v>
      </c>
      <c r="AT701" s="143" t="n">
        <v>5</v>
      </c>
      <c r="AU701" s="135" t="n">
        <v>1</v>
      </c>
      <c r="AV701" s="143" t="n">
        <v>3</v>
      </c>
      <c r="AW701" s="135" t="n">
        <v>7</v>
      </c>
      <c r="AX701" s="139"/>
      <c r="AY701" s="143" t="n">
        <v>1</v>
      </c>
      <c r="AZ701" s="135" t="n">
        <v>9</v>
      </c>
      <c r="BA701" s="143" t="n">
        <v>5</v>
      </c>
      <c r="BB701" s="135" t="n">
        <v>4</v>
      </c>
      <c r="BC701" s="143" t="n">
        <v>7</v>
      </c>
      <c r="BD701" s="135" t="n">
        <v>2</v>
      </c>
      <c r="BE701" s="143" t="n">
        <v>3</v>
      </c>
      <c r="BF701" s="135" t="n">
        <v>6</v>
      </c>
      <c r="BG701" s="143" t="n">
        <v>10</v>
      </c>
      <c r="BH701" s="135" t="n">
        <v>8</v>
      </c>
      <c r="BI701" s="140"/>
      <c r="BJ701" s="143" t="n">
        <v>6</v>
      </c>
      <c r="BK701" s="135" t="n">
        <v>5</v>
      </c>
      <c r="BL701" s="143" t="n">
        <v>10</v>
      </c>
      <c r="BM701" s="135" t="n">
        <v>9</v>
      </c>
      <c r="BN701" s="143" t="n">
        <v>8</v>
      </c>
      <c r="BO701" s="135" t="n">
        <v>7</v>
      </c>
      <c r="BP701" s="143" t="n">
        <v>1</v>
      </c>
      <c r="BQ701" s="135" t="n">
        <v>2</v>
      </c>
      <c r="BR701" s="143" t="n">
        <v>12</v>
      </c>
      <c r="BS701" s="135" t="n">
        <v>11</v>
      </c>
      <c r="BT701" s="143" t="n">
        <v>4</v>
      </c>
      <c r="BU701" s="135" t="n">
        <v>3</v>
      </c>
      <c r="BV701" s="140"/>
      <c r="BW701" s="143" t="n">
        <v>6</v>
      </c>
      <c r="BX701" s="135" t="n">
        <v>13</v>
      </c>
      <c r="BY701" s="143" t="n">
        <v>3</v>
      </c>
      <c r="BZ701" s="135" t="n">
        <v>7</v>
      </c>
      <c r="CA701" s="143" t="n">
        <v>2</v>
      </c>
      <c r="CB701" s="135" t="n">
        <v>10</v>
      </c>
      <c r="CC701" s="143" t="n">
        <v>4</v>
      </c>
      <c r="CD701" s="135" t="n">
        <v>14</v>
      </c>
      <c r="CE701" s="143" t="n">
        <v>11</v>
      </c>
      <c r="CF701" s="135" t="n">
        <v>1</v>
      </c>
      <c r="CG701" s="143" t="n">
        <v>5</v>
      </c>
      <c r="CH701" s="135" t="n">
        <v>9</v>
      </c>
      <c r="CI701" s="143" t="n">
        <v>8</v>
      </c>
      <c r="CJ701" s="135" t="n">
        <v>12</v>
      </c>
      <c r="CK701" s="140"/>
      <c r="CL701" s="143" t="n">
        <v>15</v>
      </c>
      <c r="CM701" s="135" t="n">
        <v>13</v>
      </c>
      <c r="CN701" s="143" t="n">
        <v>16</v>
      </c>
      <c r="CO701" s="135" t="n">
        <v>9</v>
      </c>
      <c r="CP701" s="143" t="n">
        <v>5</v>
      </c>
      <c r="CQ701" s="135" t="n">
        <v>8</v>
      </c>
      <c r="CR701" s="143" t="n">
        <v>7</v>
      </c>
      <c r="CS701" s="135" t="n">
        <v>11</v>
      </c>
      <c r="CT701" s="143" t="n">
        <v>6</v>
      </c>
      <c r="CU701" s="135" t="n">
        <v>4</v>
      </c>
      <c r="CV701" s="143" t="n">
        <v>14</v>
      </c>
      <c r="CW701" s="135" t="n">
        <v>2</v>
      </c>
      <c r="CX701" s="143" t="n">
        <v>10</v>
      </c>
      <c r="CY701" s="135" t="n">
        <v>1</v>
      </c>
      <c r="CZ701" s="143" t="n">
        <v>3</v>
      </c>
      <c r="DA701" s="135" t="n">
        <v>12</v>
      </c>
      <c r="DB701" s="140"/>
      <c r="DC701" s="143" t="n">
        <v>18</v>
      </c>
      <c r="DD701" s="135" t="n">
        <v>9</v>
      </c>
      <c r="DE701" s="143" t="n">
        <v>6</v>
      </c>
      <c r="DF701" s="135" t="n">
        <v>5</v>
      </c>
      <c r="DG701" s="143" t="n">
        <v>7</v>
      </c>
      <c r="DH701" s="135" t="n">
        <v>2</v>
      </c>
      <c r="DI701" s="143" t="n">
        <v>17</v>
      </c>
      <c r="DJ701" s="135" t="n">
        <v>4</v>
      </c>
      <c r="DK701" s="143" t="n">
        <v>16</v>
      </c>
      <c r="DL701" s="135" t="n">
        <v>14</v>
      </c>
      <c r="DM701" s="143" t="n">
        <v>10</v>
      </c>
      <c r="DN701" s="135" t="n">
        <v>15</v>
      </c>
      <c r="DO701" s="143" t="n">
        <v>8</v>
      </c>
      <c r="DP701" s="135" t="n">
        <v>13</v>
      </c>
      <c r="DQ701" s="143" t="n">
        <v>12</v>
      </c>
      <c r="DR701" s="135" t="n">
        <v>3</v>
      </c>
      <c r="DS701" s="143" t="n">
        <v>1</v>
      </c>
      <c r="DT701" s="135" t="n">
        <v>11</v>
      </c>
      <c r="DU701" s="140"/>
      <c r="DV701" s="143" t="n">
        <v>11</v>
      </c>
      <c r="DW701" s="135" t="n">
        <v>20</v>
      </c>
      <c r="DX701" s="143" t="n">
        <v>14</v>
      </c>
      <c r="DY701" s="135" t="n">
        <v>13</v>
      </c>
      <c r="DZ701" s="143" t="n">
        <v>15</v>
      </c>
      <c r="EA701" s="135" t="n">
        <v>17</v>
      </c>
      <c r="EB701" s="143" t="n">
        <v>5</v>
      </c>
      <c r="EC701" s="135" t="n">
        <v>8</v>
      </c>
      <c r="ED701" s="143" t="n">
        <v>7</v>
      </c>
      <c r="EE701" s="135" t="n">
        <v>3</v>
      </c>
      <c r="EF701" s="143" t="n">
        <v>18</v>
      </c>
      <c r="EG701" s="135" t="n">
        <v>19</v>
      </c>
      <c r="EH701" s="143" t="n">
        <v>10</v>
      </c>
      <c r="EI701" s="135" t="n">
        <v>16</v>
      </c>
      <c r="EJ701" s="143" t="n">
        <v>2</v>
      </c>
      <c r="EK701" s="135" t="n">
        <v>1</v>
      </c>
      <c r="EL701" s="143" t="n">
        <v>9</v>
      </c>
      <c r="EM701" s="135" t="n">
        <v>4</v>
      </c>
      <c r="EN701" s="143" t="n">
        <v>12</v>
      </c>
      <c r="EO701" s="135" t="n">
        <v>6</v>
      </c>
      <c r="EP701" s="140"/>
    </row>
    <row r="702" customFormat="false" ht="15" hidden="false" customHeight="false" outlineLevel="0" collapsed="false">
      <c r="AB702" s="141" t="s">
        <v>12</v>
      </c>
      <c r="AC702" s="142"/>
      <c r="AD702" s="143" t="n">
        <v>4</v>
      </c>
      <c r="AE702" s="135" t="n">
        <v>3</v>
      </c>
      <c r="AF702" s="143" t="n">
        <v>2</v>
      </c>
      <c r="AG702" s="135" t="n">
        <v>1</v>
      </c>
      <c r="AH702" s="139"/>
      <c r="AI702" s="137" t="n">
        <v>4</v>
      </c>
      <c r="AJ702" s="138" t="n">
        <v>6</v>
      </c>
      <c r="AK702" s="137" t="n">
        <v>5</v>
      </c>
      <c r="AL702" s="138" t="n">
        <v>1</v>
      </c>
      <c r="AM702" s="137" t="n">
        <v>2</v>
      </c>
      <c r="AN702" s="138" t="n">
        <v>3</v>
      </c>
      <c r="AO702" s="139"/>
      <c r="AP702" s="143" t="n">
        <v>1</v>
      </c>
      <c r="AQ702" s="135" t="n">
        <v>4</v>
      </c>
      <c r="AR702" s="143" t="n">
        <v>7</v>
      </c>
      <c r="AS702" s="135" t="n">
        <v>8</v>
      </c>
      <c r="AT702" s="143" t="n">
        <v>2</v>
      </c>
      <c r="AU702" s="135" t="n">
        <v>6</v>
      </c>
      <c r="AV702" s="143" t="n">
        <v>5</v>
      </c>
      <c r="AW702" s="135" t="n">
        <v>3</v>
      </c>
      <c r="AX702" s="139"/>
      <c r="AY702" s="143" t="n">
        <v>6</v>
      </c>
      <c r="AZ702" s="135" t="n">
        <v>10</v>
      </c>
      <c r="BA702" s="143" t="n">
        <v>8</v>
      </c>
      <c r="BB702" s="135" t="n">
        <v>1</v>
      </c>
      <c r="BC702" s="143" t="n">
        <v>2</v>
      </c>
      <c r="BD702" s="135" t="n">
        <v>5</v>
      </c>
      <c r="BE702" s="143" t="n">
        <v>9</v>
      </c>
      <c r="BF702" s="135" t="n">
        <v>7</v>
      </c>
      <c r="BG702" s="143" t="n">
        <v>4</v>
      </c>
      <c r="BH702" s="135" t="n">
        <v>3</v>
      </c>
      <c r="BI702" s="140"/>
      <c r="BJ702" s="143" t="n">
        <v>12</v>
      </c>
      <c r="BK702" s="135" t="n">
        <v>1</v>
      </c>
      <c r="BL702" s="143" t="n">
        <v>6</v>
      </c>
      <c r="BM702" s="135" t="n">
        <v>7</v>
      </c>
      <c r="BN702" s="143" t="n">
        <v>5</v>
      </c>
      <c r="BO702" s="135" t="n">
        <v>4</v>
      </c>
      <c r="BP702" s="143" t="n">
        <v>10</v>
      </c>
      <c r="BQ702" s="135" t="n">
        <v>11</v>
      </c>
      <c r="BR702" s="143" t="n">
        <v>3</v>
      </c>
      <c r="BS702" s="135" t="n">
        <v>2</v>
      </c>
      <c r="BT702" s="143" t="n">
        <v>8</v>
      </c>
      <c r="BU702" s="135" t="n">
        <v>9</v>
      </c>
      <c r="BV702" s="140"/>
      <c r="BW702" s="143" t="n">
        <v>7</v>
      </c>
      <c r="BX702" s="135" t="n">
        <v>2</v>
      </c>
      <c r="BY702" s="143" t="n">
        <v>12</v>
      </c>
      <c r="BZ702" s="135" t="n">
        <v>5</v>
      </c>
      <c r="CA702" s="143" t="n">
        <v>9</v>
      </c>
      <c r="CB702" s="135" t="n">
        <v>6</v>
      </c>
      <c r="CC702" s="143" t="n">
        <v>8</v>
      </c>
      <c r="CD702" s="135" t="n">
        <v>4</v>
      </c>
      <c r="CE702" s="143" t="n">
        <v>1</v>
      </c>
      <c r="CF702" s="135" t="n">
        <v>14</v>
      </c>
      <c r="CG702" s="143" t="n">
        <v>12</v>
      </c>
      <c r="CH702" s="135" t="n">
        <v>3</v>
      </c>
      <c r="CI702" s="143" t="n">
        <v>10</v>
      </c>
      <c r="CJ702" s="135" t="n">
        <v>11</v>
      </c>
      <c r="CK702" s="140"/>
      <c r="CL702" s="143" t="n">
        <v>10</v>
      </c>
      <c r="CM702" s="135" t="n">
        <v>6</v>
      </c>
      <c r="CN702" s="143" t="n">
        <v>9</v>
      </c>
      <c r="CO702" s="135" t="n">
        <v>3</v>
      </c>
      <c r="CP702" s="143" t="n">
        <v>4</v>
      </c>
      <c r="CQ702" s="135" t="n">
        <v>14</v>
      </c>
      <c r="CR702" s="143" t="n">
        <v>12</v>
      </c>
      <c r="CS702" s="135" t="n">
        <v>15</v>
      </c>
      <c r="CT702" s="143" t="n">
        <v>1</v>
      </c>
      <c r="CU702" s="135" t="n">
        <v>11</v>
      </c>
      <c r="CV702" s="143" t="n">
        <v>13</v>
      </c>
      <c r="CW702" s="135" t="n">
        <v>5</v>
      </c>
      <c r="CX702" s="143" t="n">
        <v>8</v>
      </c>
      <c r="CY702" s="135" t="n">
        <v>7</v>
      </c>
      <c r="CZ702" s="143" t="n">
        <v>2</v>
      </c>
      <c r="DA702" s="135" t="n">
        <v>16</v>
      </c>
      <c r="DB702" s="140"/>
      <c r="DC702" s="143" t="n">
        <v>4</v>
      </c>
      <c r="DD702" s="135" t="n">
        <v>7</v>
      </c>
      <c r="DE702" s="143" t="n">
        <v>13</v>
      </c>
      <c r="DF702" s="135" t="n">
        <v>10</v>
      </c>
      <c r="DG702" s="143" t="n">
        <v>14</v>
      </c>
      <c r="DH702" s="135" t="n">
        <v>12</v>
      </c>
      <c r="DI702" s="143" t="n">
        <v>15</v>
      </c>
      <c r="DJ702" s="135" t="n">
        <v>18</v>
      </c>
      <c r="DK702" s="143" t="n">
        <v>5</v>
      </c>
      <c r="DL702" s="135" t="n">
        <v>16</v>
      </c>
      <c r="DM702" s="143" t="n">
        <v>3</v>
      </c>
      <c r="DN702" s="135" t="n">
        <v>8</v>
      </c>
      <c r="DO702" s="143" t="n">
        <v>17</v>
      </c>
      <c r="DP702" s="135" t="n">
        <v>1</v>
      </c>
      <c r="DQ702" s="143" t="n">
        <v>9</v>
      </c>
      <c r="DR702" s="135" t="n">
        <v>11</v>
      </c>
      <c r="DS702" s="143" t="n">
        <v>2</v>
      </c>
      <c r="DT702" s="135" t="n">
        <v>6</v>
      </c>
      <c r="DU702" s="140"/>
      <c r="DV702" s="143" t="n">
        <v>1</v>
      </c>
      <c r="DW702" s="135" t="n">
        <v>18</v>
      </c>
      <c r="DX702" s="143" t="n">
        <v>16</v>
      </c>
      <c r="DY702" s="135" t="n">
        <v>14</v>
      </c>
      <c r="DZ702" s="143" t="n">
        <v>7</v>
      </c>
      <c r="EA702" s="135" t="n">
        <v>10</v>
      </c>
      <c r="EB702" s="143" t="n">
        <v>4</v>
      </c>
      <c r="EC702" s="135" t="n">
        <v>5</v>
      </c>
      <c r="ED702" s="143" t="n">
        <v>17</v>
      </c>
      <c r="EE702" s="135" t="n">
        <v>20</v>
      </c>
      <c r="EF702" s="143" t="n">
        <v>13</v>
      </c>
      <c r="EG702" s="135" t="n">
        <v>11</v>
      </c>
      <c r="EH702" s="143" t="n">
        <v>15</v>
      </c>
      <c r="EI702" s="135" t="n">
        <v>2</v>
      </c>
      <c r="EJ702" s="143" t="n">
        <v>8</v>
      </c>
      <c r="EK702" s="135" t="n">
        <v>12</v>
      </c>
      <c r="EL702" s="143" t="n">
        <v>19</v>
      </c>
      <c r="EM702" s="135" t="n">
        <v>9</v>
      </c>
      <c r="EN702" s="143" t="n">
        <v>6</v>
      </c>
      <c r="EO702" s="135" t="n">
        <v>3</v>
      </c>
      <c r="EP702" s="140"/>
    </row>
    <row r="703" customFormat="false" ht="15" hidden="false" customHeight="false" outlineLevel="0" collapsed="false">
      <c r="AB703" s="141" t="s">
        <v>13</v>
      </c>
      <c r="AC703" s="142"/>
      <c r="AD703" s="143" t="n">
        <v>4</v>
      </c>
      <c r="AE703" s="135" t="n">
        <v>1</v>
      </c>
      <c r="AF703" s="143" t="n">
        <v>3</v>
      </c>
      <c r="AG703" s="135" t="n">
        <v>2</v>
      </c>
      <c r="AH703" s="139"/>
      <c r="AI703" s="137" t="n">
        <v>1</v>
      </c>
      <c r="AJ703" s="138" t="n">
        <v>4</v>
      </c>
      <c r="AK703" s="137" t="n">
        <v>2</v>
      </c>
      <c r="AL703" s="138" t="n">
        <v>6</v>
      </c>
      <c r="AM703" s="137" t="n">
        <v>3</v>
      </c>
      <c r="AN703" s="138" t="n">
        <v>5</v>
      </c>
      <c r="AO703" s="139"/>
      <c r="AP703" s="143" t="n">
        <v>7</v>
      </c>
      <c r="AQ703" s="135" t="n">
        <v>6</v>
      </c>
      <c r="AR703" s="143" t="n">
        <v>3</v>
      </c>
      <c r="AS703" s="135" t="n">
        <v>1</v>
      </c>
      <c r="AT703" s="143" t="n">
        <v>8</v>
      </c>
      <c r="AU703" s="135" t="n">
        <v>5</v>
      </c>
      <c r="AV703" s="143" t="n">
        <v>4</v>
      </c>
      <c r="AW703" s="135" t="n">
        <v>2</v>
      </c>
      <c r="AX703" s="139"/>
      <c r="AY703" s="143" t="n">
        <v>1</v>
      </c>
      <c r="AZ703" s="135" t="n">
        <v>7</v>
      </c>
      <c r="BA703" s="143" t="n">
        <v>3</v>
      </c>
      <c r="BB703" s="135" t="n">
        <v>2</v>
      </c>
      <c r="BC703" s="143" t="n">
        <v>8</v>
      </c>
      <c r="BD703" s="135" t="n">
        <v>6</v>
      </c>
      <c r="BE703" s="143" t="n">
        <v>10</v>
      </c>
      <c r="BF703" s="135" t="n">
        <v>4</v>
      </c>
      <c r="BG703" s="143" t="n">
        <v>5</v>
      </c>
      <c r="BH703" s="135" t="n">
        <v>9</v>
      </c>
      <c r="BI703" s="140"/>
      <c r="BJ703" s="143" t="n">
        <v>10</v>
      </c>
      <c r="BK703" s="135" t="n">
        <v>8</v>
      </c>
      <c r="BL703" s="143" t="n">
        <v>11</v>
      </c>
      <c r="BM703" s="135" t="n">
        <v>1</v>
      </c>
      <c r="BN703" s="143" t="n">
        <v>7</v>
      </c>
      <c r="BO703" s="135" t="n">
        <v>9</v>
      </c>
      <c r="BP703" s="143" t="n">
        <v>3</v>
      </c>
      <c r="BQ703" s="135" t="n">
        <v>5</v>
      </c>
      <c r="BR703" s="143" t="n">
        <v>4</v>
      </c>
      <c r="BS703" s="135" t="n">
        <v>6</v>
      </c>
      <c r="BT703" s="143" t="n">
        <v>2</v>
      </c>
      <c r="BU703" s="135" t="n">
        <v>12</v>
      </c>
      <c r="BV703" s="140"/>
      <c r="BW703" s="143" t="n">
        <v>14</v>
      </c>
      <c r="BX703" s="135" t="n">
        <v>10</v>
      </c>
      <c r="BY703" s="143" t="n">
        <v>6</v>
      </c>
      <c r="BZ703" s="135" t="n">
        <v>12</v>
      </c>
      <c r="CA703" s="143" t="n">
        <v>3</v>
      </c>
      <c r="CB703" s="135" t="n">
        <v>9</v>
      </c>
      <c r="CC703" s="143" t="n">
        <v>2</v>
      </c>
      <c r="CD703" s="135" t="n">
        <v>13</v>
      </c>
      <c r="CE703" s="143" t="n">
        <v>4</v>
      </c>
      <c r="CF703" s="135" t="n">
        <v>1</v>
      </c>
      <c r="CG703" s="143" t="n">
        <v>11</v>
      </c>
      <c r="CH703" s="135" t="n">
        <v>7</v>
      </c>
      <c r="CI703" s="143" t="n">
        <v>5</v>
      </c>
      <c r="CJ703" s="135" t="n">
        <v>8</v>
      </c>
      <c r="CK703" s="140"/>
      <c r="CL703" s="143" t="n">
        <v>16</v>
      </c>
      <c r="CM703" s="135" t="n">
        <v>4</v>
      </c>
      <c r="CN703" s="143" t="n">
        <v>15</v>
      </c>
      <c r="CO703" s="135" t="n">
        <v>9</v>
      </c>
      <c r="CP703" s="143" t="n">
        <v>5</v>
      </c>
      <c r="CQ703" s="135" t="n">
        <v>12</v>
      </c>
      <c r="CR703" s="143" t="n">
        <v>3</v>
      </c>
      <c r="CS703" s="135" t="n">
        <v>2</v>
      </c>
      <c r="CT703" s="143" t="n">
        <v>7</v>
      </c>
      <c r="CU703" s="135" t="n">
        <v>13</v>
      </c>
      <c r="CV703" s="143" t="n">
        <v>11</v>
      </c>
      <c r="CW703" s="135" t="n">
        <v>8</v>
      </c>
      <c r="CX703" s="143" t="n">
        <v>14</v>
      </c>
      <c r="CY703" s="135" t="n">
        <v>10</v>
      </c>
      <c r="CZ703" s="143" t="n">
        <v>6</v>
      </c>
      <c r="DA703" s="135" t="n">
        <v>1</v>
      </c>
      <c r="DB703" s="140"/>
      <c r="DC703" s="143" t="n">
        <v>18</v>
      </c>
      <c r="DD703" s="135" t="n">
        <v>13</v>
      </c>
      <c r="DE703" s="143" t="n">
        <v>12</v>
      </c>
      <c r="DF703" s="135" t="n">
        <v>5</v>
      </c>
      <c r="DG703" s="143" t="n">
        <v>16</v>
      </c>
      <c r="DH703" s="135" t="n">
        <v>2</v>
      </c>
      <c r="DI703" s="143" t="n">
        <v>8</v>
      </c>
      <c r="DJ703" s="135" t="n">
        <v>14</v>
      </c>
      <c r="DK703" s="143" t="n">
        <v>1</v>
      </c>
      <c r="DL703" s="135" t="n">
        <v>9</v>
      </c>
      <c r="DM703" s="143" t="n">
        <v>11</v>
      </c>
      <c r="DN703" s="135" t="n">
        <v>15</v>
      </c>
      <c r="DO703" s="143" t="n">
        <v>6</v>
      </c>
      <c r="DP703" s="135" t="n">
        <v>4</v>
      </c>
      <c r="DQ703" s="143" t="n">
        <v>10</v>
      </c>
      <c r="DR703" s="135" t="n">
        <v>3</v>
      </c>
      <c r="DS703" s="143" t="n">
        <v>7</v>
      </c>
      <c r="DT703" s="135" t="n">
        <v>17</v>
      </c>
      <c r="DU703" s="140"/>
      <c r="DV703" s="143" t="n">
        <v>3</v>
      </c>
      <c r="DW703" s="135" t="n">
        <v>8</v>
      </c>
      <c r="DX703" s="143" t="n">
        <v>9</v>
      </c>
      <c r="DY703" s="135" t="n">
        <v>1</v>
      </c>
      <c r="DZ703" s="143" t="n">
        <v>16</v>
      </c>
      <c r="EA703" s="135" t="n">
        <v>11</v>
      </c>
      <c r="EB703" s="143" t="n">
        <v>12</v>
      </c>
      <c r="EC703" s="135" t="n">
        <v>4</v>
      </c>
      <c r="ED703" s="143" t="n">
        <v>2</v>
      </c>
      <c r="EE703" s="135" t="n">
        <v>17</v>
      </c>
      <c r="EF703" s="143" t="n">
        <v>5</v>
      </c>
      <c r="EG703" s="135" t="n">
        <v>19</v>
      </c>
      <c r="EH703" s="143" t="n">
        <v>10</v>
      </c>
      <c r="EI703" s="135" t="n">
        <v>6</v>
      </c>
      <c r="EJ703" s="143" t="n">
        <v>18</v>
      </c>
      <c r="EK703" s="135" t="n">
        <v>15</v>
      </c>
      <c r="EL703" s="143" t="n">
        <v>20</v>
      </c>
      <c r="EM703" s="135" t="n">
        <v>13</v>
      </c>
      <c r="EN703" s="143" t="n">
        <v>14</v>
      </c>
      <c r="EO703" s="135" t="n">
        <v>7</v>
      </c>
      <c r="EP703" s="140"/>
    </row>
    <row r="704" customFormat="false" ht="15" hidden="false" customHeight="false" outlineLevel="0" collapsed="false">
      <c r="AB704" s="141" t="s">
        <v>14</v>
      </c>
      <c r="AC704" s="142"/>
      <c r="AD704" s="143" t="n">
        <v>1</v>
      </c>
      <c r="AE704" s="135" t="n">
        <v>3</v>
      </c>
      <c r="AF704" s="143" t="n">
        <v>2</v>
      </c>
      <c r="AG704" s="135" t="n">
        <v>4</v>
      </c>
      <c r="AH704" s="139"/>
      <c r="AI704" s="137" t="n">
        <v>1</v>
      </c>
      <c r="AJ704" s="138" t="n">
        <v>3</v>
      </c>
      <c r="AK704" s="137" t="n">
        <v>6</v>
      </c>
      <c r="AL704" s="138" t="n">
        <v>5</v>
      </c>
      <c r="AM704" s="137" t="n">
        <v>4</v>
      </c>
      <c r="AN704" s="138" t="n">
        <v>2</v>
      </c>
      <c r="AO704" s="139"/>
      <c r="AP704" s="143" t="n">
        <v>8</v>
      </c>
      <c r="AQ704" s="135" t="n">
        <v>3</v>
      </c>
      <c r="AR704" s="143" t="n">
        <v>6</v>
      </c>
      <c r="AS704" s="135" t="n">
        <v>5</v>
      </c>
      <c r="AT704" s="143" t="n">
        <v>4</v>
      </c>
      <c r="AU704" s="135" t="n">
        <v>7</v>
      </c>
      <c r="AV704" s="143" t="n">
        <v>2</v>
      </c>
      <c r="AW704" s="135" t="n">
        <v>1</v>
      </c>
      <c r="AX704" s="139"/>
      <c r="AY704" s="143" t="n">
        <v>7</v>
      </c>
      <c r="AZ704" s="135" t="n">
        <v>5</v>
      </c>
      <c r="BA704" s="143" t="n">
        <v>6</v>
      </c>
      <c r="BB704" s="135" t="n">
        <v>1</v>
      </c>
      <c r="BC704" s="143" t="n">
        <v>4</v>
      </c>
      <c r="BD704" s="135" t="n">
        <v>8</v>
      </c>
      <c r="BE704" s="143" t="n">
        <v>2</v>
      </c>
      <c r="BF704" s="135" t="n">
        <v>10</v>
      </c>
      <c r="BG704" s="143" t="n">
        <v>9</v>
      </c>
      <c r="BH704" s="135" t="n">
        <v>3</v>
      </c>
      <c r="BI704" s="140"/>
      <c r="BJ704" s="143" t="n">
        <v>3</v>
      </c>
      <c r="BK704" s="135" t="n">
        <v>6</v>
      </c>
      <c r="BL704" s="143" t="n">
        <v>9</v>
      </c>
      <c r="BM704" s="135" t="n">
        <v>12</v>
      </c>
      <c r="BN704" s="143" t="n">
        <v>10</v>
      </c>
      <c r="BO704" s="135" t="n">
        <v>2</v>
      </c>
      <c r="BP704" s="143" t="n">
        <v>4</v>
      </c>
      <c r="BQ704" s="135" t="n">
        <v>7</v>
      </c>
      <c r="BR704" s="143" t="n">
        <v>11</v>
      </c>
      <c r="BS704" s="135" t="n">
        <v>8</v>
      </c>
      <c r="BT704" s="143" t="n">
        <v>1</v>
      </c>
      <c r="BU704" s="135" t="n">
        <v>5</v>
      </c>
      <c r="BV704" s="140"/>
      <c r="BW704" s="143" t="n">
        <v>6</v>
      </c>
      <c r="BX704" s="135" t="n">
        <v>8</v>
      </c>
      <c r="BY704" s="143" t="n">
        <v>3</v>
      </c>
      <c r="BZ704" s="135" t="n">
        <v>12</v>
      </c>
      <c r="CA704" s="143" t="n">
        <v>7</v>
      </c>
      <c r="CB704" s="135" t="n">
        <v>14</v>
      </c>
      <c r="CC704" s="143" t="n">
        <v>10</v>
      </c>
      <c r="CD704" s="135" t="n">
        <v>1</v>
      </c>
      <c r="CE704" s="143" t="n">
        <v>5</v>
      </c>
      <c r="CF704" s="135" t="n">
        <v>4</v>
      </c>
      <c r="CG704" s="143" t="n">
        <v>13</v>
      </c>
      <c r="CH704" s="135" t="n">
        <v>11</v>
      </c>
      <c r="CI704" s="143" t="n">
        <v>2</v>
      </c>
      <c r="CJ704" s="135" t="n">
        <v>9</v>
      </c>
      <c r="CK704" s="140"/>
      <c r="CL704" s="143" t="n">
        <v>13</v>
      </c>
      <c r="CM704" s="135" t="n">
        <v>11</v>
      </c>
      <c r="CN704" s="143" t="n">
        <v>10</v>
      </c>
      <c r="CO704" s="135" t="n">
        <v>16</v>
      </c>
      <c r="CP704" s="143" t="n">
        <v>9</v>
      </c>
      <c r="CQ704" s="135" t="n">
        <v>5</v>
      </c>
      <c r="CR704" s="143" t="n">
        <v>2</v>
      </c>
      <c r="CS704" s="135" t="n">
        <v>15</v>
      </c>
      <c r="CT704" s="143" t="n">
        <v>4</v>
      </c>
      <c r="CU704" s="135" t="n">
        <v>3</v>
      </c>
      <c r="CV704" s="143" t="n">
        <v>6</v>
      </c>
      <c r="CW704" s="135" t="n">
        <v>14</v>
      </c>
      <c r="CX704" s="143" t="n">
        <v>12</v>
      </c>
      <c r="CY704" s="135" t="n">
        <v>7</v>
      </c>
      <c r="CZ704" s="143" t="n">
        <v>1</v>
      </c>
      <c r="DA704" s="135" t="n">
        <v>8</v>
      </c>
      <c r="DB704" s="140"/>
      <c r="DC704" s="143" t="n">
        <v>17</v>
      </c>
      <c r="DD704" s="135" t="n">
        <v>6</v>
      </c>
      <c r="DE704" s="143" t="n">
        <v>5</v>
      </c>
      <c r="DF704" s="135" t="n">
        <v>8</v>
      </c>
      <c r="DG704" s="143" t="n">
        <v>13</v>
      </c>
      <c r="DH704" s="135" t="n">
        <v>11</v>
      </c>
      <c r="DI704" s="143" t="n">
        <v>2</v>
      </c>
      <c r="DJ704" s="135" t="n">
        <v>12</v>
      </c>
      <c r="DK704" s="143" t="n">
        <v>14</v>
      </c>
      <c r="DL704" s="135" t="n">
        <v>10</v>
      </c>
      <c r="DM704" s="143" t="n">
        <v>4</v>
      </c>
      <c r="DN704" s="135" t="n">
        <v>16</v>
      </c>
      <c r="DO704" s="143" t="n">
        <v>7</v>
      </c>
      <c r="DP704" s="135" t="n">
        <v>1</v>
      </c>
      <c r="DQ704" s="143" t="n">
        <v>3</v>
      </c>
      <c r="DR704" s="135" t="n">
        <v>18</v>
      </c>
      <c r="DS704" s="143" t="n">
        <v>15</v>
      </c>
      <c r="DT704" s="135" t="n">
        <v>9</v>
      </c>
      <c r="DU704" s="140"/>
      <c r="DV704" s="143" t="n">
        <v>7</v>
      </c>
      <c r="DW704" s="135" t="n">
        <v>11</v>
      </c>
      <c r="DX704" s="143" t="n">
        <v>6</v>
      </c>
      <c r="DY704" s="135" t="n">
        <v>14</v>
      </c>
      <c r="DZ704" s="143" t="n">
        <v>4</v>
      </c>
      <c r="EA704" s="135" t="n">
        <v>3</v>
      </c>
      <c r="EB704" s="143" t="n">
        <v>16</v>
      </c>
      <c r="EC704" s="135" t="n">
        <v>20</v>
      </c>
      <c r="ED704" s="143" t="n">
        <v>19</v>
      </c>
      <c r="EE704" s="135" t="n">
        <v>12</v>
      </c>
      <c r="EF704" s="143" t="n">
        <v>15</v>
      </c>
      <c r="EG704" s="135" t="n">
        <v>9</v>
      </c>
      <c r="EH704" s="143" t="n">
        <v>17</v>
      </c>
      <c r="EI704" s="135" t="n">
        <v>13</v>
      </c>
      <c r="EJ704" s="143" t="n">
        <v>2</v>
      </c>
      <c r="EK704" s="135" t="n">
        <v>18</v>
      </c>
      <c r="EL704" s="143" t="n">
        <v>1</v>
      </c>
      <c r="EM704" s="135" t="n">
        <v>5</v>
      </c>
      <c r="EN704" s="143" t="n">
        <v>8</v>
      </c>
      <c r="EO704" s="135" t="n">
        <v>10</v>
      </c>
      <c r="EP704" s="140"/>
    </row>
    <row r="705" customFormat="false" ht="15" hidden="false" customHeight="false" outlineLevel="0" collapsed="false">
      <c r="AB705" s="141" t="s">
        <v>15</v>
      </c>
      <c r="AC705" s="142"/>
      <c r="AD705" s="143" t="n">
        <v>3</v>
      </c>
      <c r="AE705" s="135" t="n">
        <v>4</v>
      </c>
      <c r="AF705" s="143" t="n">
        <v>1</v>
      </c>
      <c r="AG705" s="135" t="n">
        <v>2</v>
      </c>
      <c r="AH705" s="139"/>
      <c r="AI705" s="137" t="n">
        <v>3</v>
      </c>
      <c r="AJ705" s="138" t="n">
        <v>6</v>
      </c>
      <c r="AK705" s="137" t="n">
        <v>1</v>
      </c>
      <c r="AL705" s="138" t="n">
        <v>2</v>
      </c>
      <c r="AM705" s="137" t="n">
        <v>5</v>
      </c>
      <c r="AN705" s="138" t="n">
        <v>4</v>
      </c>
      <c r="AO705" s="139"/>
      <c r="AP705" s="143" t="n">
        <v>8</v>
      </c>
      <c r="AQ705" s="135" t="n">
        <v>1</v>
      </c>
      <c r="AR705" s="143" t="n">
        <v>5</v>
      </c>
      <c r="AS705" s="135" t="n">
        <v>4</v>
      </c>
      <c r="AT705" s="143" t="n">
        <v>3</v>
      </c>
      <c r="AU705" s="135" t="n">
        <v>6</v>
      </c>
      <c r="AV705" s="143" t="n">
        <v>7</v>
      </c>
      <c r="AW705" s="135" t="n">
        <v>2</v>
      </c>
      <c r="AX705" s="139"/>
      <c r="AY705" s="143" t="n">
        <v>6</v>
      </c>
      <c r="AZ705" s="135" t="n">
        <v>4</v>
      </c>
      <c r="BA705" s="143" t="n">
        <v>8</v>
      </c>
      <c r="BB705" s="135" t="n">
        <v>2</v>
      </c>
      <c r="BC705" s="143" t="n">
        <v>10</v>
      </c>
      <c r="BD705" s="135" t="n">
        <v>9</v>
      </c>
      <c r="BE705" s="143" t="n">
        <v>3</v>
      </c>
      <c r="BF705" s="135" t="n">
        <v>7</v>
      </c>
      <c r="BG705" s="143" t="n">
        <v>1</v>
      </c>
      <c r="BH705" s="135" t="n">
        <v>5</v>
      </c>
      <c r="BI705" s="140"/>
      <c r="BJ705" s="143" t="n">
        <v>11</v>
      </c>
      <c r="BK705" s="135" t="n">
        <v>9</v>
      </c>
      <c r="BL705" s="143" t="n">
        <v>4</v>
      </c>
      <c r="BM705" s="135" t="n">
        <v>2</v>
      </c>
      <c r="BN705" s="143" t="n">
        <v>3</v>
      </c>
      <c r="BO705" s="135" t="n">
        <v>1</v>
      </c>
      <c r="BP705" s="143" t="n">
        <v>8</v>
      </c>
      <c r="BQ705" s="135" t="n">
        <v>6</v>
      </c>
      <c r="BR705" s="143" t="n">
        <v>5</v>
      </c>
      <c r="BS705" s="135" t="n">
        <v>7</v>
      </c>
      <c r="BT705" s="143" t="n">
        <v>12</v>
      </c>
      <c r="BU705" s="135" t="n">
        <v>10</v>
      </c>
      <c r="BV705" s="140"/>
      <c r="BW705" s="143" t="n">
        <v>1</v>
      </c>
      <c r="BX705" s="135" t="n">
        <v>7</v>
      </c>
      <c r="BY705" s="143" t="n">
        <v>8</v>
      </c>
      <c r="BZ705" s="135" t="n">
        <v>3</v>
      </c>
      <c r="CA705" s="143" t="n">
        <v>5</v>
      </c>
      <c r="CB705" s="135" t="n">
        <v>6</v>
      </c>
      <c r="CC705" s="143" t="n">
        <v>12</v>
      </c>
      <c r="CD705" s="135" t="n">
        <v>2</v>
      </c>
      <c r="CE705" s="143" t="n">
        <v>4</v>
      </c>
      <c r="CF705" s="135" t="n">
        <v>10</v>
      </c>
      <c r="CG705" s="143" t="n">
        <v>14</v>
      </c>
      <c r="CH705" s="135" t="n">
        <v>13</v>
      </c>
      <c r="CI705" s="143" t="n">
        <v>9</v>
      </c>
      <c r="CJ705" s="135" t="n">
        <v>11</v>
      </c>
      <c r="CK705" s="140"/>
      <c r="CL705" s="143" t="n">
        <v>14</v>
      </c>
      <c r="CM705" s="135" t="n">
        <v>1</v>
      </c>
      <c r="CN705" s="143" t="n">
        <v>7</v>
      </c>
      <c r="CO705" s="135" t="n">
        <v>9</v>
      </c>
      <c r="CP705" s="143" t="n">
        <v>8</v>
      </c>
      <c r="CQ705" s="135" t="n">
        <v>13</v>
      </c>
      <c r="CR705" s="143" t="n">
        <v>16</v>
      </c>
      <c r="CS705" s="135" t="n">
        <v>6</v>
      </c>
      <c r="CT705" s="143" t="n">
        <v>15</v>
      </c>
      <c r="CU705" s="135" t="n">
        <v>4</v>
      </c>
      <c r="CV705" s="143" t="n">
        <v>11</v>
      </c>
      <c r="CW705" s="135" t="n">
        <v>12</v>
      </c>
      <c r="CX705" s="143" t="n">
        <v>5</v>
      </c>
      <c r="CY705" s="135" t="n">
        <v>2</v>
      </c>
      <c r="CZ705" s="143" t="n">
        <v>3</v>
      </c>
      <c r="DA705" s="135" t="n">
        <v>10</v>
      </c>
      <c r="DB705" s="140"/>
      <c r="DC705" s="143" t="n">
        <v>11</v>
      </c>
      <c r="DD705" s="135" t="n">
        <v>3</v>
      </c>
      <c r="DE705" s="143" t="n">
        <v>8</v>
      </c>
      <c r="DF705" s="135" t="n">
        <v>2</v>
      </c>
      <c r="DG705" s="143" t="n">
        <v>18</v>
      </c>
      <c r="DH705" s="135" t="n">
        <v>14</v>
      </c>
      <c r="DI705" s="143" t="n">
        <v>10</v>
      </c>
      <c r="DJ705" s="135" t="n">
        <v>5</v>
      </c>
      <c r="DK705" s="143" t="n">
        <v>1</v>
      </c>
      <c r="DL705" s="135" t="n">
        <v>15</v>
      </c>
      <c r="DM705" s="143" t="n">
        <v>16</v>
      </c>
      <c r="DN705" s="135" t="n">
        <v>17</v>
      </c>
      <c r="DO705" s="143" t="n">
        <v>12</v>
      </c>
      <c r="DP705" s="135" t="n">
        <v>4</v>
      </c>
      <c r="DQ705" s="143" t="n">
        <v>9</v>
      </c>
      <c r="DR705" s="135" t="n">
        <v>13</v>
      </c>
      <c r="DS705" s="143" t="n">
        <v>6</v>
      </c>
      <c r="DT705" s="135" t="n">
        <v>7</v>
      </c>
      <c r="DU705" s="140"/>
      <c r="DV705" s="143" t="n">
        <v>13</v>
      </c>
      <c r="DW705" s="135" t="n">
        <v>16</v>
      </c>
      <c r="DX705" s="143" t="n">
        <v>3</v>
      </c>
      <c r="DY705" s="135" t="n">
        <v>19</v>
      </c>
      <c r="DZ705" s="143" t="n">
        <v>14</v>
      </c>
      <c r="EA705" s="135" t="n">
        <v>8</v>
      </c>
      <c r="EB705" s="143" t="n">
        <v>10</v>
      </c>
      <c r="EC705" s="135" t="n">
        <v>4</v>
      </c>
      <c r="ED705" s="143" t="n">
        <v>20</v>
      </c>
      <c r="EE705" s="135" t="n">
        <v>7</v>
      </c>
      <c r="EF705" s="143" t="n">
        <v>9</v>
      </c>
      <c r="EG705" s="135" t="n">
        <v>2</v>
      </c>
      <c r="EH705" s="143" t="n">
        <v>18</v>
      </c>
      <c r="EI705" s="135" t="n">
        <v>17</v>
      </c>
      <c r="EJ705" s="143" t="n">
        <v>11</v>
      </c>
      <c r="EK705" s="135" t="n">
        <v>6</v>
      </c>
      <c r="EL705" s="143" t="n">
        <v>5</v>
      </c>
      <c r="EM705" s="135" t="n">
        <v>15</v>
      </c>
      <c r="EN705" s="143" t="n">
        <v>12</v>
      </c>
      <c r="EO705" s="135" t="n">
        <v>1</v>
      </c>
      <c r="EP705" s="140"/>
    </row>
    <row r="706" customFormat="false" ht="15" hidden="false" customHeight="false" outlineLevel="0" collapsed="false">
      <c r="A706" s="144" t="s">
        <v>247</v>
      </c>
      <c r="AB706" s="141" t="s">
        <v>16</v>
      </c>
      <c r="AD706" s="143" t="n">
        <v>2</v>
      </c>
      <c r="AE706" s="135" t="n">
        <v>3</v>
      </c>
      <c r="AF706" s="143" t="n">
        <v>1</v>
      </c>
      <c r="AG706" s="135" t="n">
        <v>4</v>
      </c>
      <c r="AH706" s="139"/>
      <c r="AI706" s="137" t="n">
        <v>6</v>
      </c>
      <c r="AJ706" s="138" t="n">
        <v>1</v>
      </c>
      <c r="AK706" s="137" t="n">
        <v>5</v>
      </c>
      <c r="AL706" s="138" t="n">
        <v>2</v>
      </c>
      <c r="AM706" s="137" t="n">
        <v>3</v>
      </c>
      <c r="AN706" s="138" t="n">
        <v>4</v>
      </c>
      <c r="AO706" s="139"/>
      <c r="AP706" s="143" t="n">
        <v>6</v>
      </c>
      <c r="AQ706" s="135" t="n">
        <v>8</v>
      </c>
      <c r="AR706" s="143" t="n">
        <v>7</v>
      </c>
      <c r="AS706" s="135" t="n">
        <v>1</v>
      </c>
      <c r="AT706" s="143" t="n">
        <v>2</v>
      </c>
      <c r="AU706" s="135" t="n">
        <v>5</v>
      </c>
      <c r="AV706" s="143" t="n">
        <v>4</v>
      </c>
      <c r="AW706" s="135" t="n">
        <v>3</v>
      </c>
      <c r="AX706" s="139"/>
      <c r="AY706" s="143" t="n">
        <v>5</v>
      </c>
      <c r="AZ706" s="135" t="n">
        <v>3</v>
      </c>
      <c r="BA706" s="143" t="n">
        <v>10</v>
      </c>
      <c r="BB706" s="135" t="n">
        <v>7</v>
      </c>
      <c r="BC706" s="143" t="n">
        <v>9</v>
      </c>
      <c r="BD706" s="135" t="n">
        <v>8</v>
      </c>
      <c r="BE706" s="143" t="n">
        <v>4</v>
      </c>
      <c r="BF706" s="135" t="n">
        <v>1</v>
      </c>
      <c r="BG706" s="143" t="n">
        <v>2</v>
      </c>
      <c r="BH706" s="135" t="n">
        <v>6</v>
      </c>
      <c r="BI706" s="140"/>
      <c r="BJ706" s="143" t="n">
        <v>7</v>
      </c>
      <c r="BK706" s="135" t="n">
        <v>2</v>
      </c>
      <c r="BL706" s="143" t="n">
        <v>5</v>
      </c>
      <c r="BM706" s="135" t="n">
        <v>8</v>
      </c>
      <c r="BN706" s="143" t="n">
        <v>6</v>
      </c>
      <c r="BO706" s="135" t="n">
        <v>11</v>
      </c>
      <c r="BP706" s="143" t="n">
        <v>12</v>
      </c>
      <c r="BQ706" s="135" t="n">
        <v>3</v>
      </c>
      <c r="BR706" s="143" t="n">
        <v>1</v>
      </c>
      <c r="BS706" s="135" t="n">
        <v>10</v>
      </c>
      <c r="BT706" s="143" t="n">
        <v>9</v>
      </c>
      <c r="BU706" s="135" t="n">
        <v>4</v>
      </c>
      <c r="BV706" s="140"/>
      <c r="BW706" s="143" t="n">
        <v>7</v>
      </c>
      <c r="BX706" s="135" t="n">
        <v>10</v>
      </c>
      <c r="BY706" s="143" t="n">
        <v>14</v>
      </c>
      <c r="BZ706" s="135" t="n">
        <v>9</v>
      </c>
      <c r="CA706" s="143" t="n">
        <v>2</v>
      </c>
      <c r="CB706" s="135" t="n">
        <v>8</v>
      </c>
      <c r="CC706" s="143" t="n">
        <v>6</v>
      </c>
      <c r="CD706" s="135" t="n">
        <v>4</v>
      </c>
      <c r="CE706" s="143" t="n">
        <v>13</v>
      </c>
      <c r="CF706" s="135" t="n">
        <v>1</v>
      </c>
      <c r="CG706" s="143" t="n">
        <v>11</v>
      </c>
      <c r="CH706" s="135" t="n">
        <v>12</v>
      </c>
      <c r="CI706" s="143" t="n">
        <v>3</v>
      </c>
      <c r="CJ706" s="135" t="n">
        <v>5</v>
      </c>
      <c r="CK706" s="140"/>
      <c r="CL706" s="143" t="n">
        <v>15</v>
      </c>
      <c r="CM706" s="135" t="n">
        <v>10</v>
      </c>
      <c r="CN706" s="143" t="n">
        <v>16</v>
      </c>
      <c r="CO706" s="135" t="n">
        <v>14</v>
      </c>
      <c r="CP706" s="143" t="n">
        <v>13</v>
      </c>
      <c r="CQ706" s="135" t="n">
        <v>1</v>
      </c>
      <c r="CR706" s="143" t="n">
        <v>12</v>
      </c>
      <c r="CS706" s="135" t="n">
        <v>8</v>
      </c>
      <c r="CT706" s="143" t="n">
        <v>2</v>
      </c>
      <c r="CU706" s="135" t="n">
        <v>7</v>
      </c>
      <c r="CV706" s="143" t="n">
        <v>3</v>
      </c>
      <c r="CW706" s="135" t="n">
        <v>6</v>
      </c>
      <c r="CX706" s="143" t="n">
        <v>9</v>
      </c>
      <c r="CY706" s="135" t="n">
        <v>11</v>
      </c>
      <c r="CZ706" s="143" t="n">
        <v>5</v>
      </c>
      <c r="DA706" s="135" t="n">
        <v>4</v>
      </c>
      <c r="DB706" s="140"/>
      <c r="DC706" s="143" t="n">
        <v>13</v>
      </c>
      <c r="DD706" s="135" t="n">
        <v>15</v>
      </c>
      <c r="DE706" s="143" t="n">
        <v>6</v>
      </c>
      <c r="DF706" s="135" t="n">
        <v>1</v>
      </c>
      <c r="DG706" s="143" t="n">
        <v>4</v>
      </c>
      <c r="DH706" s="135" t="n">
        <v>8</v>
      </c>
      <c r="DI706" s="143" t="n">
        <v>7</v>
      </c>
      <c r="DJ706" s="135" t="n">
        <v>16</v>
      </c>
      <c r="DK706" s="143" t="n">
        <v>3</v>
      </c>
      <c r="DL706" s="135" t="n">
        <v>9</v>
      </c>
      <c r="DM706" s="143" t="n">
        <v>2</v>
      </c>
      <c r="DN706" s="135" t="n">
        <v>10</v>
      </c>
      <c r="DO706" s="143" t="n">
        <v>5</v>
      </c>
      <c r="DP706" s="135" t="n">
        <v>18</v>
      </c>
      <c r="DQ706" s="143" t="n">
        <v>17</v>
      </c>
      <c r="DR706" s="135" t="n">
        <v>12</v>
      </c>
      <c r="DS706" s="143" t="n">
        <v>14</v>
      </c>
      <c r="DT706" s="135" t="n">
        <v>11</v>
      </c>
      <c r="DU706" s="140"/>
      <c r="DV706" s="143" t="n">
        <v>6</v>
      </c>
      <c r="DW706" s="135" t="n">
        <v>20</v>
      </c>
      <c r="DX706" s="143" t="n">
        <v>4</v>
      </c>
      <c r="DY706" s="135" t="n">
        <v>14</v>
      </c>
      <c r="DZ706" s="143" t="n">
        <v>15</v>
      </c>
      <c r="EA706" s="135" t="n">
        <v>12</v>
      </c>
      <c r="EB706" s="143" t="n">
        <v>19</v>
      </c>
      <c r="EC706" s="135" t="n">
        <v>10</v>
      </c>
      <c r="ED706" s="143" t="n">
        <v>7</v>
      </c>
      <c r="EE706" s="135" t="n">
        <v>13</v>
      </c>
      <c r="EF706" s="143" t="n">
        <v>17</v>
      </c>
      <c r="EG706" s="135" t="n">
        <v>16</v>
      </c>
      <c r="EH706" s="143" t="n">
        <v>2</v>
      </c>
      <c r="EI706" s="135" t="n">
        <v>5</v>
      </c>
      <c r="EJ706" s="143" t="n">
        <v>1</v>
      </c>
      <c r="EK706" s="135" t="n">
        <v>3</v>
      </c>
      <c r="EL706" s="143" t="n">
        <v>8</v>
      </c>
      <c r="EM706" s="135" t="n">
        <v>11</v>
      </c>
      <c r="EN706" s="143" t="n">
        <v>18</v>
      </c>
      <c r="EO706" s="135" t="n">
        <v>9</v>
      </c>
      <c r="EP706" s="140"/>
    </row>
    <row r="707" customFormat="false" ht="15" hidden="false" customHeight="false" outlineLevel="0" collapsed="false">
      <c r="A707" s="0" t="str">
        <f aca="false">$B$18</f>
        <v>JASON</v>
      </c>
      <c r="AB707" s="141" t="s">
        <v>17</v>
      </c>
      <c r="AD707" s="143" t="n">
        <v>4</v>
      </c>
      <c r="AE707" s="135" t="n">
        <v>2</v>
      </c>
      <c r="AF707" s="143" t="n">
        <v>3</v>
      </c>
      <c r="AG707" s="135" t="n">
        <v>1</v>
      </c>
      <c r="AH707" s="139"/>
      <c r="AI707" s="137" t="n">
        <v>2</v>
      </c>
      <c r="AJ707" s="138" t="n">
        <v>3</v>
      </c>
      <c r="AK707" s="137" t="n">
        <v>4</v>
      </c>
      <c r="AL707" s="138" t="n">
        <v>6</v>
      </c>
      <c r="AM707" s="137" t="n">
        <v>5</v>
      </c>
      <c r="AN707" s="138" t="n">
        <v>1</v>
      </c>
      <c r="AO707" s="139"/>
      <c r="AP707" s="143" t="n">
        <v>7</v>
      </c>
      <c r="AQ707" s="135" t="n">
        <v>5</v>
      </c>
      <c r="AR707" s="143" t="n">
        <v>3</v>
      </c>
      <c r="AS707" s="135" t="n">
        <v>2</v>
      </c>
      <c r="AT707" s="143" t="n">
        <v>8</v>
      </c>
      <c r="AU707" s="135" t="n">
        <v>4</v>
      </c>
      <c r="AV707" s="143" t="n">
        <v>1</v>
      </c>
      <c r="AW707" s="135" t="n">
        <v>6</v>
      </c>
      <c r="AX707" s="139"/>
      <c r="AY707" s="143" t="n">
        <v>7</v>
      </c>
      <c r="AZ707" s="135" t="n">
        <v>8</v>
      </c>
      <c r="BA707" s="143" t="n">
        <v>6</v>
      </c>
      <c r="BB707" s="135" t="n">
        <v>9</v>
      </c>
      <c r="BC707" s="143" t="n">
        <v>1</v>
      </c>
      <c r="BD707" s="135" t="n">
        <v>3</v>
      </c>
      <c r="BE707" s="143" t="n">
        <v>5</v>
      </c>
      <c r="BF707" s="135" t="n">
        <v>10</v>
      </c>
      <c r="BG707" s="143" t="n">
        <v>4</v>
      </c>
      <c r="BH707" s="135" t="n">
        <v>2</v>
      </c>
      <c r="BI707" s="140"/>
      <c r="BJ707" s="143" t="n">
        <v>1</v>
      </c>
      <c r="BK707" s="135" t="n">
        <v>4</v>
      </c>
      <c r="BL707" s="143" t="n">
        <v>3</v>
      </c>
      <c r="BM707" s="135" t="n">
        <v>11</v>
      </c>
      <c r="BN707" s="143" t="n">
        <v>9</v>
      </c>
      <c r="BO707" s="135" t="n">
        <v>5</v>
      </c>
      <c r="BP707" s="143" t="n">
        <v>2</v>
      </c>
      <c r="BQ707" s="135" t="n">
        <v>8</v>
      </c>
      <c r="BR707" s="143" t="n">
        <v>7</v>
      </c>
      <c r="BS707" s="135" t="n">
        <v>12</v>
      </c>
      <c r="BT707" s="143" t="n">
        <v>10</v>
      </c>
      <c r="BU707" s="135" t="n">
        <v>6</v>
      </c>
      <c r="BV707" s="140"/>
      <c r="BW707" s="143" t="n">
        <v>4</v>
      </c>
      <c r="BX707" s="135" t="n">
        <v>7</v>
      </c>
      <c r="BY707" s="143" t="n">
        <v>6</v>
      </c>
      <c r="BZ707" s="135" t="n">
        <v>3</v>
      </c>
      <c r="CA707" s="143" t="n">
        <v>12</v>
      </c>
      <c r="CB707" s="135" t="n">
        <v>14</v>
      </c>
      <c r="CC707" s="143" t="n">
        <v>10</v>
      </c>
      <c r="CD707" s="135" t="n">
        <v>13</v>
      </c>
      <c r="CE707" s="143" t="n">
        <v>8</v>
      </c>
      <c r="CF707" s="135" t="n">
        <v>11</v>
      </c>
      <c r="CG707" s="143" t="n">
        <v>5</v>
      </c>
      <c r="CH707" s="135" t="n">
        <v>2</v>
      </c>
      <c r="CI707" s="143" t="n">
        <v>9</v>
      </c>
      <c r="CJ707" s="135" t="n">
        <v>1</v>
      </c>
      <c r="CK707" s="140"/>
      <c r="CL707" s="143" t="n">
        <v>1</v>
      </c>
      <c r="CM707" s="135" t="n">
        <v>16</v>
      </c>
      <c r="CN707" s="143" t="n">
        <v>13</v>
      </c>
      <c r="CO707" s="135" t="n">
        <v>12</v>
      </c>
      <c r="CP707" s="143" t="n">
        <v>14</v>
      </c>
      <c r="CQ707" s="135" t="n">
        <v>3</v>
      </c>
      <c r="CR707" s="143" t="n">
        <v>11</v>
      </c>
      <c r="CS707" s="135" t="n">
        <v>2</v>
      </c>
      <c r="CT707" s="143" t="n">
        <v>4</v>
      </c>
      <c r="CU707" s="135" t="n">
        <v>7</v>
      </c>
      <c r="CV707" s="143" t="n">
        <v>8</v>
      </c>
      <c r="CW707" s="135" t="n">
        <v>9</v>
      </c>
      <c r="CX707" s="143" t="n">
        <v>6</v>
      </c>
      <c r="CY707" s="135" t="n">
        <v>15</v>
      </c>
      <c r="CZ707" s="143" t="n">
        <v>10</v>
      </c>
      <c r="DA707" s="135" t="n">
        <v>5</v>
      </c>
      <c r="DB707" s="140"/>
      <c r="DC707" s="143" t="n">
        <v>15</v>
      </c>
      <c r="DD707" s="135" t="n">
        <v>3</v>
      </c>
      <c r="DE707" s="143" t="n">
        <v>16</v>
      </c>
      <c r="DF707" s="135" t="n">
        <v>6</v>
      </c>
      <c r="DG707" s="143" t="n">
        <v>10</v>
      </c>
      <c r="DH707" s="135" t="n">
        <v>4</v>
      </c>
      <c r="DI707" s="143" t="n">
        <v>12</v>
      </c>
      <c r="DJ707" s="135" t="n">
        <v>7</v>
      </c>
      <c r="DK707" s="143" t="n">
        <v>1</v>
      </c>
      <c r="DL707" s="135" t="n">
        <v>13</v>
      </c>
      <c r="DM707" s="143" t="n">
        <v>18</v>
      </c>
      <c r="DN707" s="135" t="n">
        <v>2</v>
      </c>
      <c r="DO707" s="143" t="n">
        <v>8</v>
      </c>
      <c r="DP707" s="135" t="n">
        <v>17</v>
      </c>
      <c r="DQ707" s="143" t="n">
        <v>11</v>
      </c>
      <c r="DR707" s="135" t="n">
        <v>5</v>
      </c>
      <c r="DS707" s="143" t="n">
        <v>9</v>
      </c>
      <c r="DT707" s="135" t="n">
        <v>14</v>
      </c>
      <c r="DU707" s="140"/>
      <c r="DV707" s="143" t="n">
        <v>16</v>
      </c>
      <c r="DW707" s="135" t="n">
        <v>7</v>
      </c>
      <c r="DX707" s="143" t="n">
        <v>13</v>
      </c>
      <c r="DY707" s="135" t="n">
        <v>6</v>
      </c>
      <c r="DZ707" s="143" t="n">
        <v>3</v>
      </c>
      <c r="EA707" s="135" t="n">
        <v>15</v>
      </c>
      <c r="EB707" s="143" t="n">
        <v>12</v>
      </c>
      <c r="EC707" s="135" t="n">
        <v>2</v>
      </c>
      <c r="ED707" s="143" t="n">
        <v>5</v>
      </c>
      <c r="EE707" s="135" t="n">
        <v>18</v>
      </c>
      <c r="EF707" s="143" t="n">
        <v>10</v>
      </c>
      <c r="EG707" s="135" t="n">
        <v>1</v>
      </c>
      <c r="EH707" s="143" t="n">
        <v>9</v>
      </c>
      <c r="EI707" s="135" t="n">
        <v>17</v>
      </c>
      <c r="EJ707" s="143" t="n">
        <v>19</v>
      </c>
      <c r="EK707" s="135" t="n">
        <v>14</v>
      </c>
      <c r="EL707" s="143" t="n">
        <v>20</v>
      </c>
      <c r="EM707" s="135" t="n">
        <v>8</v>
      </c>
      <c r="EN707" s="143" t="n">
        <v>11</v>
      </c>
      <c r="EO707" s="135" t="n">
        <v>4</v>
      </c>
      <c r="EP707" s="140"/>
    </row>
    <row r="708" customFormat="false" ht="15" hidden="false" customHeight="false" outlineLevel="0" collapsed="false">
      <c r="A708" s="0" t="str">
        <f aca="false">$B$23</f>
        <v>TRAYE</v>
      </c>
      <c r="AB708" s="141" t="s">
        <v>18</v>
      </c>
      <c r="AD708" s="143" t="n">
        <v>2</v>
      </c>
      <c r="AE708" s="135" t="n">
        <v>1</v>
      </c>
      <c r="AF708" s="143" t="n">
        <v>4</v>
      </c>
      <c r="AG708" s="135" t="n">
        <v>3</v>
      </c>
      <c r="AH708" s="139"/>
      <c r="AI708" s="137" t="n">
        <v>3</v>
      </c>
      <c r="AJ708" s="138" t="n">
        <v>5</v>
      </c>
      <c r="AK708" s="137" t="n">
        <v>1</v>
      </c>
      <c r="AL708" s="138" t="n">
        <v>4</v>
      </c>
      <c r="AM708" s="137" t="n">
        <v>2</v>
      </c>
      <c r="AN708" s="138" t="n">
        <v>6</v>
      </c>
      <c r="AO708" s="139"/>
      <c r="AP708" s="143" t="n">
        <v>7</v>
      </c>
      <c r="AQ708" s="135" t="n">
        <v>3</v>
      </c>
      <c r="AR708" s="143" t="n">
        <v>8</v>
      </c>
      <c r="AS708" s="135" t="n">
        <v>2</v>
      </c>
      <c r="AT708" s="143" t="n">
        <v>4</v>
      </c>
      <c r="AU708" s="135" t="n">
        <v>6</v>
      </c>
      <c r="AV708" s="143" t="n">
        <v>1</v>
      </c>
      <c r="AW708" s="135" t="n">
        <v>5</v>
      </c>
      <c r="AX708" s="139"/>
      <c r="AY708" s="143" t="n">
        <v>3</v>
      </c>
      <c r="AZ708" s="135" t="n">
        <v>10</v>
      </c>
      <c r="BA708" s="143" t="n">
        <v>2</v>
      </c>
      <c r="BB708" s="135" t="n">
        <v>1</v>
      </c>
      <c r="BC708" s="143" t="n">
        <v>9</v>
      </c>
      <c r="BD708" s="135" t="n">
        <v>4</v>
      </c>
      <c r="BE708" s="143" t="n">
        <v>8</v>
      </c>
      <c r="BF708" s="135" t="n">
        <v>5</v>
      </c>
      <c r="BG708" s="143" t="n">
        <v>7</v>
      </c>
      <c r="BH708" s="135" t="n">
        <v>6</v>
      </c>
      <c r="BI708" s="140"/>
      <c r="BJ708" s="143" t="n">
        <v>10</v>
      </c>
      <c r="BK708" s="135" t="n">
        <v>3</v>
      </c>
      <c r="BL708" s="143" t="n">
        <v>2</v>
      </c>
      <c r="BM708" s="135" t="n">
        <v>5</v>
      </c>
      <c r="BN708" s="143" t="n">
        <v>12</v>
      </c>
      <c r="BO708" s="135" t="n">
        <v>6</v>
      </c>
      <c r="BP708" s="143" t="n">
        <v>9</v>
      </c>
      <c r="BQ708" s="135" t="n">
        <v>1</v>
      </c>
      <c r="BR708" s="143" t="n">
        <v>8</v>
      </c>
      <c r="BS708" s="135" t="n">
        <v>4</v>
      </c>
      <c r="BT708" s="143" t="n">
        <v>11</v>
      </c>
      <c r="BU708" s="135" t="n">
        <v>7</v>
      </c>
      <c r="BV708" s="140"/>
      <c r="BW708" s="143" t="n">
        <v>10</v>
      </c>
      <c r="BX708" s="135" t="n">
        <v>9</v>
      </c>
      <c r="BY708" s="143" t="n">
        <v>13</v>
      </c>
      <c r="BZ708" s="135" t="n">
        <v>7</v>
      </c>
      <c r="CA708" s="143" t="n">
        <v>11</v>
      </c>
      <c r="CB708" s="135" t="n">
        <v>5</v>
      </c>
      <c r="CC708" s="143" t="n">
        <v>1</v>
      </c>
      <c r="CD708" s="135" t="n">
        <v>12</v>
      </c>
      <c r="CE708" s="143" t="n">
        <v>3</v>
      </c>
      <c r="CF708" s="135" t="n">
        <v>4</v>
      </c>
      <c r="CG708" s="143" t="n">
        <v>14</v>
      </c>
      <c r="CH708" s="135" t="n">
        <v>8</v>
      </c>
      <c r="CI708" s="143" t="n">
        <v>2</v>
      </c>
      <c r="CJ708" s="135" t="n">
        <v>6</v>
      </c>
      <c r="CK708" s="140"/>
      <c r="CL708" s="143" t="n">
        <v>12</v>
      </c>
      <c r="CM708" s="135" t="n">
        <v>1</v>
      </c>
      <c r="CN708" s="143" t="n">
        <v>9</v>
      </c>
      <c r="CO708" s="135" t="n">
        <v>13</v>
      </c>
      <c r="CP708" s="143" t="n">
        <v>11</v>
      </c>
      <c r="CQ708" s="135" t="n">
        <v>4</v>
      </c>
      <c r="CR708" s="143" t="n">
        <v>3</v>
      </c>
      <c r="CS708" s="135" t="n">
        <v>16</v>
      </c>
      <c r="CT708" s="143" t="n">
        <v>5</v>
      </c>
      <c r="CU708" s="135" t="n">
        <v>6</v>
      </c>
      <c r="CV708" s="143" t="n">
        <v>15</v>
      </c>
      <c r="CW708" s="135" t="n">
        <v>14</v>
      </c>
      <c r="CX708" s="143" t="n">
        <v>2</v>
      </c>
      <c r="CY708" s="135" t="n">
        <v>8</v>
      </c>
      <c r="CZ708" s="143" t="n">
        <v>7</v>
      </c>
      <c r="DA708" s="135" t="n">
        <v>10</v>
      </c>
      <c r="DB708" s="140"/>
      <c r="DC708" s="143" t="n">
        <v>16</v>
      </c>
      <c r="DD708" s="135" t="n">
        <v>1</v>
      </c>
      <c r="DE708" s="143" t="n">
        <v>3</v>
      </c>
      <c r="DF708" s="135" t="n">
        <v>13</v>
      </c>
      <c r="DG708" s="143" t="n">
        <v>10</v>
      </c>
      <c r="DH708" s="135" t="n">
        <v>17</v>
      </c>
      <c r="DI708" s="143" t="n">
        <v>12</v>
      </c>
      <c r="DJ708" s="135" t="n">
        <v>6</v>
      </c>
      <c r="DK708" s="143" t="n">
        <v>18</v>
      </c>
      <c r="DL708" s="135" t="n">
        <v>4</v>
      </c>
      <c r="DM708" s="143" t="n">
        <v>14</v>
      </c>
      <c r="DN708" s="135" t="n">
        <v>15</v>
      </c>
      <c r="DO708" s="143" t="n">
        <v>5</v>
      </c>
      <c r="DP708" s="135" t="n">
        <v>9</v>
      </c>
      <c r="DQ708" s="143" t="n">
        <v>8</v>
      </c>
      <c r="DR708" s="135" t="n">
        <v>7</v>
      </c>
      <c r="DS708" s="143" t="n">
        <v>2</v>
      </c>
      <c r="DT708" s="135" t="n">
        <v>11</v>
      </c>
      <c r="DU708" s="140"/>
      <c r="DV708" s="143" t="n">
        <v>2</v>
      </c>
      <c r="DW708" s="135" t="n">
        <v>3</v>
      </c>
      <c r="DX708" s="143" t="n">
        <v>18</v>
      </c>
      <c r="DY708" s="135" t="n">
        <v>12</v>
      </c>
      <c r="DZ708" s="143" t="n">
        <v>15</v>
      </c>
      <c r="EA708" s="135" t="n">
        <v>10</v>
      </c>
      <c r="EB708" s="143" t="n">
        <v>8</v>
      </c>
      <c r="EC708" s="135" t="n">
        <v>13</v>
      </c>
      <c r="ED708" s="143" t="n">
        <v>6</v>
      </c>
      <c r="EE708" s="135" t="n">
        <v>16</v>
      </c>
      <c r="EF708" s="143" t="n">
        <v>9</v>
      </c>
      <c r="EG708" s="135" t="n">
        <v>5</v>
      </c>
      <c r="EH708" s="143" t="n">
        <v>19</v>
      </c>
      <c r="EI708" s="135" t="n">
        <v>11</v>
      </c>
      <c r="EJ708" s="143" t="n">
        <v>17</v>
      </c>
      <c r="EK708" s="135" t="n">
        <v>7</v>
      </c>
      <c r="EL708" s="143" t="n">
        <v>1</v>
      </c>
      <c r="EM708" s="135" t="n">
        <v>14</v>
      </c>
      <c r="EN708" s="143" t="n">
        <v>4</v>
      </c>
      <c r="EO708" s="135" t="n">
        <v>20</v>
      </c>
      <c r="EP708" s="140"/>
    </row>
    <row r="709" customFormat="false" ht="15" hidden="false" customHeight="false" outlineLevel="0" collapsed="false">
      <c r="A709" s="0" t="str">
        <f aca="false">$B$28</f>
        <v>WC</v>
      </c>
      <c r="AB709" s="141" t="s">
        <v>19</v>
      </c>
      <c r="AD709" s="143" t="n">
        <v>3</v>
      </c>
      <c r="AE709" s="135" t="n">
        <v>2</v>
      </c>
      <c r="AF709" s="143" t="n">
        <v>4</v>
      </c>
      <c r="AG709" s="135" t="n">
        <v>1</v>
      </c>
      <c r="AH709" s="139"/>
      <c r="AI709" s="137" t="n">
        <v>4</v>
      </c>
      <c r="AJ709" s="138" t="n">
        <v>2</v>
      </c>
      <c r="AK709" s="137" t="n">
        <v>1</v>
      </c>
      <c r="AL709" s="138" t="n">
        <v>3</v>
      </c>
      <c r="AM709" s="137" t="n">
        <v>6</v>
      </c>
      <c r="AN709" s="138" t="n">
        <v>5</v>
      </c>
      <c r="AO709" s="139"/>
      <c r="AP709" s="143" t="n">
        <v>3</v>
      </c>
      <c r="AQ709" s="135" t="n">
        <v>5</v>
      </c>
      <c r="AR709" s="143" t="n">
        <v>4</v>
      </c>
      <c r="AS709" s="135" t="n">
        <v>1</v>
      </c>
      <c r="AT709" s="143" t="n">
        <v>8</v>
      </c>
      <c r="AU709" s="135" t="n">
        <v>7</v>
      </c>
      <c r="AV709" s="143" t="n">
        <v>6</v>
      </c>
      <c r="AW709" s="135" t="n">
        <v>2</v>
      </c>
      <c r="AX709" s="139"/>
      <c r="AY709" s="143" t="n">
        <v>3</v>
      </c>
      <c r="AZ709" s="135" t="n">
        <v>8</v>
      </c>
      <c r="BA709" s="143" t="n">
        <v>9</v>
      </c>
      <c r="BB709" s="135" t="n">
        <v>2</v>
      </c>
      <c r="BC709" s="143" t="n">
        <v>7</v>
      </c>
      <c r="BD709" s="135" t="n">
        <v>4</v>
      </c>
      <c r="BE709" s="143" t="n">
        <v>1</v>
      </c>
      <c r="BF709" s="135" t="n">
        <v>10</v>
      </c>
      <c r="BG709" s="143" t="n">
        <v>5</v>
      </c>
      <c r="BH709" s="135" t="n">
        <v>6</v>
      </c>
      <c r="BI709" s="140"/>
      <c r="BJ709" s="143" t="n">
        <v>5</v>
      </c>
      <c r="BK709" s="135" t="n">
        <v>12</v>
      </c>
      <c r="BL709" s="143" t="n">
        <v>7</v>
      </c>
      <c r="BM709" s="135" t="n">
        <v>10</v>
      </c>
      <c r="BN709" s="143" t="n">
        <v>1</v>
      </c>
      <c r="BO709" s="135" t="n">
        <v>8</v>
      </c>
      <c r="BP709" s="143" t="n">
        <v>11</v>
      </c>
      <c r="BQ709" s="135" t="n">
        <v>4</v>
      </c>
      <c r="BR709" s="143" t="n">
        <v>9</v>
      </c>
      <c r="BS709" s="135" t="n">
        <v>3</v>
      </c>
      <c r="BT709" s="143" t="n">
        <v>6</v>
      </c>
      <c r="BU709" s="135" t="n">
        <v>2</v>
      </c>
      <c r="BV709" s="140"/>
      <c r="BW709" s="143" t="n">
        <v>5</v>
      </c>
      <c r="BX709" s="135" t="n">
        <v>14</v>
      </c>
      <c r="BY709" s="143" t="n">
        <v>9</v>
      </c>
      <c r="BZ709" s="135" t="n">
        <v>7</v>
      </c>
      <c r="CA709" s="143" t="n">
        <v>4</v>
      </c>
      <c r="CB709" s="135" t="n">
        <v>13</v>
      </c>
      <c r="CC709" s="143" t="n">
        <v>6</v>
      </c>
      <c r="CD709" s="135" t="n">
        <v>11</v>
      </c>
      <c r="CE709" s="143" t="n">
        <v>8</v>
      </c>
      <c r="CF709" s="135" t="n">
        <v>1</v>
      </c>
      <c r="CG709" s="143" t="n">
        <v>3</v>
      </c>
      <c r="CH709" s="135" t="n">
        <v>2</v>
      </c>
      <c r="CI709" s="143" t="n">
        <v>12</v>
      </c>
      <c r="CJ709" s="135" t="n">
        <v>10</v>
      </c>
      <c r="CK709" s="140"/>
      <c r="CL709" s="143" t="n">
        <v>4</v>
      </c>
      <c r="CM709" s="135" t="n">
        <v>8</v>
      </c>
      <c r="CN709" s="143" t="n">
        <v>6</v>
      </c>
      <c r="CO709" s="135" t="n">
        <v>7</v>
      </c>
      <c r="CP709" s="143" t="n">
        <v>14</v>
      </c>
      <c r="CQ709" s="135" t="n">
        <v>5</v>
      </c>
      <c r="CR709" s="143" t="n">
        <v>12</v>
      </c>
      <c r="CS709" s="135" t="n">
        <v>9</v>
      </c>
      <c r="CT709" s="143" t="n">
        <v>10</v>
      </c>
      <c r="CU709" s="135" t="n">
        <v>11</v>
      </c>
      <c r="CV709" s="143" t="n">
        <v>16</v>
      </c>
      <c r="CW709" s="135" t="n">
        <v>15</v>
      </c>
      <c r="CX709" s="143" t="n">
        <v>1</v>
      </c>
      <c r="CY709" s="135" t="n">
        <v>3</v>
      </c>
      <c r="CZ709" s="143" t="n">
        <v>13</v>
      </c>
      <c r="DA709" s="135" t="n">
        <v>2</v>
      </c>
      <c r="DB709" s="140"/>
      <c r="DC709" s="143" t="n">
        <v>4</v>
      </c>
      <c r="DD709" s="135" t="n">
        <v>11</v>
      </c>
      <c r="DE709" s="143" t="n">
        <v>6</v>
      </c>
      <c r="DF709" s="135" t="n">
        <v>8</v>
      </c>
      <c r="DG709" s="143" t="n">
        <v>15</v>
      </c>
      <c r="DH709" s="135" t="n">
        <v>5</v>
      </c>
      <c r="DI709" s="143" t="n">
        <v>16</v>
      </c>
      <c r="DJ709" s="135" t="n">
        <v>12</v>
      </c>
      <c r="DK709" s="143" t="n">
        <v>17</v>
      </c>
      <c r="DL709" s="135" t="n">
        <v>18</v>
      </c>
      <c r="DM709" s="143" t="n">
        <v>1</v>
      </c>
      <c r="DN709" s="135" t="n">
        <v>3</v>
      </c>
      <c r="DO709" s="143" t="n">
        <v>13</v>
      </c>
      <c r="DP709" s="135" t="n">
        <v>14</v>
      </c>
      <c r="DQ709" s="143" t="n">
        <v>9</v>
      </c>
      <c r="DR709" s="135" t="n">
        <v>2</v>
      </c>
      <c r="DS709" s="143" t="n">
        <v>7</v>
      </c>
      <c r="DT709" s="135" t="n">
        <v>10</v>
      </c>
      <c r="DU709" s="140"/>
      <c r="DV709" s="143" t="n">
        <v>3</v>
      </c>
      <c r="DW709" s="135" t="n">
        <v>18</v>
      </c>
      <c r="DX709" s="143" t="n">
        <v>14</v>
      </c>
      <c r="DY709" s="135" t="n">
        <v>15</v>
      </c>
      <c r="DZ709" s="143" t="n">
        <v>13</v>
      </c>
      <c r="EA709" s="135" t="n">
        <v>4</v>
      </c>
      <c r="EB709" s="143" t="n">
        <v>10</v>
      </c>
      <c r="EC709" s="135" t="n">
        <v>2</v>
      </c>
      <c r="ED709" s="143" t="n">
        <v>11</v>
      </c>
      <c r="EE709" s="135" t="n">
        <v>1</v>
      </c>
      <c r="EF709" s="143" t="n">
        <v>12</v>
      </c>
      <c r="EG709" s="135" t="n">
        <v>9</v>
      </c>
      <c r="EH709" s="143" t="n">
        <v>5</v>
      </c>
      <c r="EI709" s="135" t="n">
        <v>17</v>
      </c>
      <c r="EJ709" s="143" t="n">
        <v>7</v>
      </c>
      <c r="EK709" s="135" t="n">
        <v>6</v>
      </c>
      <c r="EL709" s="143" t="n">
        <v>20</v>
      </c>
      <c r="EM709" s="135" t="n">
        <v>19</v>
      </c>
      <c r="EN709" s="143" t="n">
        <v>8</v>
      </c>
      <c r="EO709" s="135" t="n">
        <v>16</v>
      </c>
      <c r="EP709" s="140"/>
    </row>
    <row r="710" customFormat="false" ht="15" hidden="false" customHeight="false" outlineLevel="0" collapsed="false">
      <c r="A710" s="0" t="str">
        <f aca="false">$B$33</f>
        <v>DON</v>
      </c>
      <c r="AB710" s="141" t="s">
        <v>20</v>
      </c>
      <c r="AD710" s="143" t="n">
        <v>2</v>
      </c>
      <c r="AE710" s="135" t="n">
        <v>4</v>
      </c>
      <c r="AF710" s="143" t="n">
        <v>1</v>
      </c>
      <c r="AG710" s="135" t="n">
        <v>3</v>
      </c>
      <c r="AH710" s="139"/>
      <c r="AI710" s="137" t="n">
        <v>5</v>
      </c>
      <c r="AJ710" s="138" t="n">
        <v>4</v>
      </c>
      <c r="AK710" s="137" t="n">
        <v>3</v>
      </c>
      <c r="AL710" s="138" t="n">
        <v>6</v>
      </c>
      <c r="AM710" s="137" t="n">
        <v>1</v>
      </c>
      <c r="AN710" s="138" t="n">
        <v>2</v>
      </c>
      <c r="AO710" s="139"/>
      <c r="AP710" s="143" t="n">
        <v>2</v>
      </c>
      <c r="AQ710" s="135" t="n">
        <v>4</v>
      </c>
      <c r="AR710" s="143" t="n">
        <v>6</v>
      </c>
      <c r="AS710" s="135" t="n">
        <v>7</v>
      </c>
      <c r="AT710" s="143" t="n">
        <v>1</v>
      </c>
      <c r="AU710" s="135" t="n">
        <v>3</v>
      </c>
      <c r="AV710" s="143" t="n">
        <v>5</v>
      </c>
      <c r="AW710" s="135" t="n">
        <v>8</v>
      </c>
      <c r="AX710" s="139"/>
      <c r="AY710" s="143" t="n">
        <v>8</v>
      </c>
      <c r="AZ710" s="135" t="n">
        <v>10</v>
      </c>
      <c r="BA710" s="143" t="n">
        <v>9</v>
      </c>
      <c r="BB710" s="135" t="n">
        <v>1</v>
      </c>
      <c r="BC710" s="143" t="n">
        <v>4</v>
      </c>
      <c r="BD710" s="135" t="n">
        <v>5</v>
      </c>
      <c r="BE710" s="143" t="n">
        <v>2</v>
      </c>
      <c r="BF710" s="135" t="n">
        <v>7</v>
      </c>
      <c r="BG710" s="143" t="n">
        <v>6</v>
      </c>
      <c r="BH710" s="135" t="n">
        <v>3</v>
      </c>
      <c r="BI710" s="140"/>
      <c r="BJ710" s="143" t="n">
        <v>2</v>
      </c>
      <c r="BK710" s="135" t="n">
        <v>11</v>
      </c>
      <c r="BL710" s="143" t="n">
        <v>8</v>
      </c>
      <c r="BM710" s="135" t="n">
        <v>3</v>
      </c>
      <c r="BN710" s="143" t="n">
        <v>4</v>
      </c>
      <c r="BO710" s="135" t="n">
        <v>12</v>
      </c>
      <c r="BP710" s="143" t="n">
        <v>6</v>
      </c>
      <c r="BQ710" s="135" t="n">
        <v>9</v>
      </c>
      <c r="BR710" s="143" t="n">
        <v>10</v>
      </c>
      <c r="BS710" s="135" t="n">
        <v>5</v>
      </c>
      <c r="BT710" s="143" t="n">
        <v>7</v>
      </c>
      <c r="BU710" s="135" t="n">
        <v>1</v>
      </c>
      <c r="BV710" s="140"/>
      <c r="BW710" s="143" t="n">
        <v>14</v>
      </c>
      <c r="BX710" s="135" t="n">
        <v>6</v>
      </c>
      <c r="BY710" s="143" t="n">
        <v>13</v>
      </c>
      <c r="BZ710" s="135" t="n">
        <v>9</v>
      </c>
      <c r="CA710" s="143" t="n">
        <v>7</v>
      </c>
      <c r="CB710" s="135" t="n">
        <v>12</v>
      </c>
      <c r="CC710" s="143" t="n">
        <v>1</v>
      </c>
      <c r="CD710" s="135" t="n">
        <v>5</v>
      </c>
      <c r="CE710" s="143" t="n">
        <v>2</v>
      </c>
      <c r="CF710" s="135" t="n">
        <v>4</v>
      </c>
      <c r="CG710" s="143" t="n">
        <v>11</v>
      </c>
      <c r="CH710" s="135" t="n">
        <v>3</v>
      </c>
      <c r="CI710" s="143" t="n">
        <v>10</v>
      </c>
      <c r="CJ710" s="135" t="n">
        <v>8</v>
      </c>
      <c r="CK710" s="140"/>
      <c r="CL710" s="143" t="n">
        <v>2</v>
      </c>
      <c r="CM710" s="135" t="n">
        <v>12</v>
      </c>
      <c r="CN710" s="143" t="n">
        <v>8</v>
      </c>
      <c r="CO710" s="135" t="n">
        <v>10</v>
      </c>
      <c r="CP710" s="143" t="n">
        <v>11</v>
      </c>
      <c r="CQ710" s="135" t="n">
        <v>6</v>
      </c>
      <c r="CR710" s="143" t="n">
        <v>5</v>
      </c>
      <c r="CS710" s="135" t="n">
        <v>16</v>
      </c>
      <c r="CT710" s="143" t="n">
        <v>15</v>
      </c>
      <c r="CU710" s="135" t="n">
        <v>3</v>
      </c>
      <c r="CV710" s="143" t="n">
        <v>9</v>
      </c>
      <c r="CW710" s="135" t="n">
        <v>1</v>
      </c>
      <c r="CX710" s="143" t="n">
        <v>13</v>
      </c>
      <c r="CY710" s="135" t="n">
        <v>4</v>
      </c>
      <c r="CZ710" s="143" t="n">
        <v>7</v>
      </c>
      <c r="DA710" s="135" t="n">
        <v>14</v>
      </c>
      <c r="DB710" s="140"/>
      <c r="DC710" s="143" t="n">
        <v>18</v>
      </c>
      <c r="DD710" s="135" t="n">
        <v>7</v>
      </c>
      <c r="DE710" s="143" t="n">
        <v>2</v>
      </c>
      <c r="DF710" s="135" t="n">
        <v>15</v>
      </c>
      <c r="DG710" s="143" t="n">
        <v>10</v>
      </c>
      <c r="DH710" s="135" t="n">
        <v>6</v>
      </c>
      <c r="DI710" s="143" t="n">
        <v>9</v>
      </c>
      <c r="DJ710" s="135" t="n">
        <v>4</v>
      </c>
      <c r="DK710" s="143" t="n">
        <v>14</v>
      </c>
      <c r="DL710" s="135" t="n">
        <v>3</v>
      </c>
      <c r="DM710" s="143" t="n">
        <v>12</v>
      </c>
      <c r="DN710" s="135" t="n">
        <v>1</v>
      </c>
      <c r="DO710" s="143" t="n">
        <v>11</v>
      </c>
      <c r="DP710" s="135" t="n">
        <v>17</v>
      </c>
      <c r="DQ710" s="143" t="n">
        <v>8</v>
      </c>
      <c r="DR710" s="135" t="n">
        <v>16</v>
      </c>
      <c r="DS710" s="143" t="n">
        <v>5</v>
      </c>
      <c r="DT710" s="135" t="n">
        <v>13</v>
      </c>
      <c r="DU710" s="140"/>
      <c r="DV710" s="143" t="n">
        <v>12</v>
      </c>
      <c r="DW710" s="135" t="n">
        <v>5</v>
      </c>
      <c r="DX710" s="143" t="n">
        <v>1</v>
      </c>
      <c r="DY710" s="135" t="n">
        <v>20</v>
      </c>
      <c r="DZ710" s="143" t="n">
        <v>19</v>
      </c>
      <c r="EA710" s="135" t="n">
        <v>13</v>
      </c>
      <c r="EB710" s="143" t="n">
        <v>10</v>
      </c>
      <c r="EC710" s="135" t="n">
        <v>18</v>
      </c>
      <c r="ED710" s="143" t="n">
        <v>4</v>
      </c>
      <c r="EE710" s="135" t="n">
        <v>16</v>
      </c>
      <c r="EF710" s="143" t="n">
        <v>11</v>
      </c>
      <c r="EG710" s="135" t="n">
        <v>15</v>
      </c>
      <c r="EH710" s="143" t="n">
        <v>3</v>
      </c>
      <c r="EI710" s="135" t="n">
        <v>9</v>
      </c>
      <c r="EJ710" s="143" t="n">
        <v>6</v>
      </c>
      <c r="EK710" s="135" t="n">
        <v>17</v>
      </c>
      <c r="EL710" s="143" t="n">
        <v>14</v>
      </c>
      <c r="EM710" s="135" t="n">
        <v>2</v>
      </c>
      <c r="EN710" s="143" t="n">
        <v>8</v>
      </c>
      <c r="EO710" s="135" t="n">
        <v>7</v>
      </c>
      <c r="EP710" s="140"/>
    </row>
    <row r="711" customFormat="false" ht="15" hidden="false" customHeight="false" outlineLevel="0" collapsed="false">
      <c r="A711" s="0" t="str">
        <f aca="false">$B$38</f>
        <v>SAM</v>
      </c>
      <c r="AB711" s="141" t="s">
        <v>21</v>
      </c>
      <c r="AD711" s="143" t="n">
        <v>1</v>
      </c>
      <c r="AE711" s="135" t="n">
        <v>2</v>
      </c>
      <c r="AF711" s="143" t="n">
        <v>3</v>
      </c>
      <c r="AG711" s="135" t="n">
        <v>4</v>
      </c>
      <c r="AH711" s="139"/>
      <c r="AI711" s="137" t="n">
        <v>4</v>
      </c>
      <c r="AJ711" s="138" t="n">
        <v>3</v>
      </c>
      <c r="AK711" s="137" t="n">
        <v>1</v>
      </c>
      <c r="AL711" s="138" t="n">
        <v>6</v>
      </c>
      <c r="AM711" s="137" t="n">
        <v>2</v>
      </c>
      <c r="AN711" s="138" t="n">
        <v>5</v>
      </c>
      <c r="AO711" s="139"/>
      <c r="AP711" s="143" t="n">
        <v>1</v>
      </c>
      <c r="AQ711" s="135" t="n">
        <v>2</v>
      </c>
      <c r="AR711" s="143" t="n">
        <v>3</v>
      </c>
      <c r="AS711" s="135" t="n">
        <v>8</v>
      </c>
      <c r="AT711" s="143" t="n">
        <v>5</v>
      </c>
      <c r="AU711" s="135" t="n">
        <v>6</v>
      </c>
      <c r="AV711" s="143" t="n">
        <v>7</v>
      </c>
      <c r="AW711" s="135" t="n">
        <v>4</v>
      </c>
      <c r="AX711" s="139"/>
      <c r="AY711" s="143" t="n">
        <v>3</v>
      </c>
      <c r="AZ711" s="135" t="n">
        <v>4</v>
      </c>
      <c r="BA711" s="143" t="n">
        <v>10</v>
      </c>
      <c r="BB711" s="135" t="n">
        <v>6</v>
      </c>
      <c r="BC711" s="143" t="n">
        <v>1</v>
      </c>
      <c r="BD711" s="135" t="n">
        <v>8</v>
      </c>
      <c r="BE711" s="143" t="n">
        <v>5</v>
      </c>
      <c r="BF711" s="135" t="n">
        <v>2</v>
      </c>
      <c r="BG711" s="143" t="n">
        <v>7</v>
      </c>
      <c r="BH711" s="135" t="n">
        <v>9</v>
      </c>
      <c r="BI711" s="140"/>
      <c r="BJ711" s="143" t="n">
        <v>4</v>
      </c>
      <c r="BK711" s="135" t="n">
        <v>10</v>
      </c>
      <c r="BL711" s="143" t="n">
        <v>1</v>
      </c>
      <c r="BM711" s="135" t="n">
        <v>6</v>
      </c>
      <c r="BN711" s="143" t="n">
        <v>7</v>
      </c>
      <c r="BO711" s="135" t="n">
        <v>3</v>
      </c>
      <c r="BP711" s="143" t="n">
        <v>8</v>
      </c>
      <c r="BQ711" s="135" t="n">
        <v>12</v>
      </c>
      <c r="BR711" s="143" t="n">
        <v>2</v>
      </c>
      <c r="BS711" s="135" t="n">
        <v>9</v>
      </c>
      <c r="BT711" s="143" t="n">
        <v>5</v>
      </c>
      <c r="BU711" s="135" t="n">
        <v>11</v>
      </c>
      <c r="BV711" s="140"/>
      <c r="BW711" s="143" t="n">
        <v>6</v>
      </c>
      <c r="BX711" s="135" t="n">
        <v>1</v>
      </c>
      <c r="BY711" s="143" t="n">
        <v>2</v>
      </c>
      <c r="BZ711" s="135" t="n">
        <v>11</v>
      </c>
      <c r="CA711" s="143" t="n">
        <v>3</v>
      </c>
      <c r="CB711" s="135" t="n">
        <v>14</v>
      </c>
      <c r="CC711" s="143" t="n">
        <v>8</v>
      </c>
      <c r="CD711" s="135" t="n">
        <v>7</v>
      </c>
      <c r="CE711" s="143" t="n">
        <v>4</v>
      </c>
      <c r="CF711" s="135" t="n">
        <v>9</v>
      </c>
      <c r="CG711" s="143" t="n">
        <v>12</v>
      </c>
      <c r="CH711" s="135" t="n">
        <v>13</v>
      </c>
      <c r="CI711" s="143" t="n">
        <v>5</v>
      </c>
      <c r="CJ711" s="135" t="n">
        <v>10</v>
      </c>
      <c r="CK711" s="140"/>
      <c r="CL711" s="143" t="n">
        <v>6</v>
      </c>
      <c r="CM711" s="135" t="n">
        <v>8</v>
      </c>
      <c r="CN711" s="143" t="n">
        <v>3</v>
      </c>
      <c r="CO711" s="135" t="n">
        <v>5</v>
      </c>
      <c r="CP711" s="143" t="n">
        <v>9</v>
      </c>
      <c r="CQ711" s="135" t="n">
        <v>2</v>
      </c>
      <c r="CR711" s="143" t="n">
        <v>4</v>
      </c>
      <c r="CS711" s="135" t="n">
        <v>12</v>
      </c>
      <c r="CT711" s="143" t="n">
        <v>14</v>
      </c>
      <c r="CU711" s="135" t="n">
        <v>11</v>
      </c>
      <c r="CV711" s="143" t="n">
        <v>1</v>
      </c>
      <c r="CW711" s="135" t="n">
        <v>15</v>
      </c>
      <c r="CX711" s="143" t="n">
        <v>16</v>
      </c>
      <c r="CY711" s="135" t="n">
        <v>7</v>
      </c>
      <c r="CZ711" s="143" t="n">
        <v>10</v>
      </c>
      <c r="DA711" s="135" t="n">
        <v>13</v>
      </c>
      <c r="DB711" s="140"/>
      <c r="DC711" s="143" t="n">
        <v>17</v>
      </c>
      <c r="DD711" s="135" t="n">
        <v>9</v>
      </c>
      <c r="DE711" s="143" t="n">
        <v>7</v>
      </c>
      <c r="DF711" s="135" t="n">
        <v>11</v>
      </c>
      <c r="DG711" s="143" t="n">
        <v>3</v>
      </c>
      <c r="DH711" s="135" t="n">
        <v>5</v>
      </c>
      <c r="DI711" s="143" t="n">
        <v>13</v>
      </c>
      <c r="DJ711" s="135" t="n">
        <v>2</v>
      </c>
      <c r="DK711" s="143" t="n">
        <v>4</v>
      </c>
      <c r="DL711" s="135" t="n">
        <v>15</v>
      </c>
      <c r="DM711" s="143" t="n">
        <v>1</v>
      </c>
      <c r="DN711" s="135" t="n">
        <v>14</v>
      </c>
      <c r="DO711" s="143" t="n">
        <v>16</v>
      </c>
      <c r="DP711" s="135" t="n">
        <v>10</v>
      </c>
      <c r="DQ711" s="143" t="n">
        <v>6</v>
      </c>
      <c r="DR711" s="135" t="n">
        <v>18</v>
      </c>
      <c r="DS711" s="143" t="n">
        <v>12</v>
      </c>
      <c r="DT711" s="135" t="n">
        <v>8</v>
      </c>
      <c r="DU711" s="140"/>
      <c r="DV711" s="143" t="n">
        <v>5</v>
      </c>
      <c r="DW711" s="135" t="n">
        <v>3</v>
      </c>
      <c r="DX711" s="143" t="n">
        <v>16</v>
      </c>
      <c r="DY711" s="135" t="n">
        <v>19</v>
      </c>
      <c r="DZ711" s="143" t="n">
        <v>7</v>
      </c>
      <c r="EA711" s="135" t="n">
        <v>4</v>
      </c>
      <c r="EB711" s="143" t="n">
        <v>15</v>
      </c>
      <c r="EC711" s="135" t="n">
        <v>20</v>
      </c>
      <c r="ED711" s="143" t="n">
        <v>2</v>
      </c>
      <c r="EE711" s="135" t="n">
        <v>11</v>
      </c>
      <c r="EF711" s="143" t="n">
        <v>6</v>
      </c>
      <c r="EG711" s="135" t="n">
        <v>8</v>
      </c>
      <c r="EH711" s="143" t="n">
        <v>13</v>
      </c>
      <c r="EI711" s="135" t="n">
        <v>1</v>
      </c>
      <c r="EJ711" s="143" t="n">
        <v>9</v>
      </c>
      <c r="EK711" s="135" t="n">
        <v>10</v>
      </c>
      <c r="EL711" s="143" t="n">
        <v>18</v>
      </c>
      <c r="EM711" s="135" t="n">
        <v>14</v>
      </c>
      <c r="EN711" s="143" t="n">
        <v>17</v>
      </c>
      <c r="EO711" s="135" t="n">
        <v>12</v>
      </c>
      <c r="EP711" s="140"/>
    </row>
    <row r="712" customFormat="false" ht="15" hidden="false" customHeight="false" outlineLevel="0" collapsed="false">
      <c r="A712" s="144" t="s">
        <v>248</v>
      </c>
      <c r="AB712" s="141" t="s">
        <v>22</v>
      </c>
      <c r="AD712" s="143" t="n">
        <v>1</v>
      </c>
      <c r="AE712" s="135" t="n">
        <v>4</v>
      </c>
      <c r="AF712" s="143" t="n">
        <v>2</v>
      </c>
      <c r="AG712" s="135" t="n">
        <v>3</v>
      </c>
      <c r="AH712" s="139"/>
      <c r="AI712" s="137" t="n">
        <v>1</v>
      </c>
      <c r="AJ712" s="138" t="n">
        <v>5</v>
      </c>
      <c r="AK712" s="137" t="n">
        <v>3</v>
      </c>
      <c r="AL712" s="138" t="n">
        <v>2</v>
      </c>
      <c r="AM712" s="137" t="n">
        <v>6</v>
      </c>
      <c r="AN712" s="138" t="n">
        <v>4</v>
      </c>
      <c r="AO712" s="139"/>
      <c r="AP712" s="143" t="n">
        <v>2</v>
      </c>
      <c r="AQ712" s="135" t="n">
        <v>7</v>
      </c>
      <c r="AR712" s="143" t="n">
        <v>1</v>
      </c>
      <c r="AS712" s="135" t="n">
        <v>8</v>
      </c>
      <c r="AT712" s="143" t="n">
        <v>4</v>
      </c>
      <c r="AU712" s="135" t="n">
        <v>5</v>
      </c>
      <c r="AV712" s="143" t="n">
        <v>6</v>
      </c>
      <c r="AW712" s="135" t="n">
        <v>3</v>
      </c>
      <c r="AX712" s="139"/>
      <c r="AY712" s="143" t="n">
        <v>9</v>
      </c>
      <c r="AZ712" s="135" t="n">
        <v>5</v>
      </c>
      <c r="BA712" s="143" t="n">
        <v>7</v>
      </c>
      <c r="BB712" s="135" t="n">
        <v>1</v>
      </c>
      <c r="BC712" s="143" t="n">
        <v>2</v>
      </c>
      <c r="BD712" s="135" t="n">
        <v>3</v>
      </c>
      <c r="BE712" s="143" t="n">
        <v>6</v>
      </c>
      <c r="BF712" s="135" t="n">
        <v>8</v>
      </c>
      <c r="BG712" s="143" t="n">
        <v>4</v>
      </c>
      <c r="BH712" s="135" t="n">
        <v>10</v>
      </c>
      <c r="BI712" s="140"/>
      <c r="BJ712" s="143" t="n">
        <v>7</v>
      </c>
      <c r="BK712" s="135" t="n">
        <v>8</v>
      </c>
      <c r="BL712" s="143" t="n">
        <v>11</v>
      </c>
      <c r="BM712" s="135" t="n">
        <v>12</v>
      </c>
      <c r="BN712" s="143" t="n">
        <v>2</v>
      </c>
      <c r="BO712" s="135" t="n">
        <v>1</v>
      </c>
      <c r="BP712" s="143" t="n">
        <v>6</v>
      </c>
      <c r="BQ712" s="135" t="n">
        <v>5</v>
      </c>
      <c r="BR712" s="143" t="n">
        <v>4</v>
      </c>
      <c r="BS712" s="135" t="n">
        <v>3</v>
      </c>
      <c r="BT712" s="143" t="n">
        <v>10</v>
      </c>
      <c r="BU712" s="135" t="n">
        <v>9</v>
      </c>
      <c r="BV712" s="140"/>
      <c r="BW712" s="143" t="n">
        <v>9</v>
      </c>
      <c r="BX712" s="135" t="n">
        <v>12</v>
      </c>
      <c r="BY712" s="143" t="n">
        <v>11</v>
      </c>
      <c r="BZ712" s="135" t="n">
        <v>4</v>
      </c>
      <c r="CA712" s="143" t="n">
        <v>14</v>
      </c>
      <c r="CB712" s="135" t="n">
        <v>2</v>
      </c>
      <c r="CC712" s="143" t="n">
        <v>13</v>
      </c>
      <c r="CD712" s="135" t="n">
        <v>8</v>
      </c>
      <c r="CE712" s="143" t="n">
        <v>1</v>
      </c>
      <c r="CF712" s="135" t="n">
        <v>3</v>
      </c>
      <c r="CG712" s="143" t="n">
        <v>10</v>
      </c>
      <c r="CH712" s="135" t="n">
        <v>6</v>
      </c>
      <c r="CI712" s="143" t="n">
        <v>7</v>
      </c>
      <c r="CJ712" s="135" t="n">
        <v>5</v>
      </c>
      <c r="CK712" s="140"/>
      <c r="CL712" s="143" t="n">
        <v>2</v>
      </c>
      <c r="CM712" s="135" t="n">
        <v>1</v>
      </c>
      <c r="CN712" s="143" t="n">
        <v>9</v>
      </c>
      <c r="CO712" s="135" t="n">
        <v>4</v>
      </c>
      <c r="CP712" s="143" t="n">
        <v>7</v>
      </c>
      <c r="CQ712" s="135" t="n">
        <v>3</v>
      </c>
      <c r="CR712" s="143" t="n">
        <v>8</v>
      </c>
      <c r="CS712" s="135" t="n">
        <v>14</v>
      </c>
      <c r="CT712" s="143" t="n">
        <v>13</v>
      </c>
      <c r="CU712" s="135" t="n">
        <v>6</v>
      </c>
      <c r="CV712" s="143" t="n">
        <v>12</v>
      </c>
      <c r="CW712" s="135" t="n">
        <v>10</v>
      </c>
      <c r="CX712" s="143" t="n">
        <v>5</v>
      </c>
      <c r="CY712" s="135" t="n">
        <v>15</v>
      </c>
      <c r="CZ712" s="143" t="n">
        <v>11</v>
      </c>
      <c r="DA712" s="135" t="n">
        <v>16</v>
      </c>
      <c r="DB712" s="140"/>
      <c r="DC712" s="143" t="n">
        <v>9</v>
      </c>
      <c r="DD712" s="135" t="n">
        <v>7</v>
      </c>
      <c r="DE712" s="143" t="n">
        <v>18</v>
      </c>
      <c r="DF712" s="135" t="n">
        <v>16</v>
      </c>
      <c r="DG712" s="143" t="n">
        <v>10</v>
      </c>
      <c r="DH712" s="135" t="n">
        <v>12</v>
      </c>
      <c r="DI712" s="143" t="n">
        <v>13</v>
      </c>
      <c r="DJ712" s="135" t="n">
        <v>4</v>
      </c>
      <c r="DK712" s="143" t="n">
        <v>8</v>
      </c>
      <c r="DL712" s="135" t="n">
        <v>1</v>
      </c>
      <c r="DM712" s="143" t="n">
        <v>11</v>
      </c>
      <c r="DN712" s="135" t="n">
        <v>6</v>
      </c>
      <c r="DO712" s="143" t="n">
        <v>15</v>
      </c>
      <c r="DP712" s="135" t="n">
        <v>17</v>
      </c>
      <c r="DQ712" s="143" t="n">
        <v>2</v>
      </c>
      <c r="DR712" s="135" t="n">
        <v>3</v>
      </c>
      <c r="DS712" s="143" t="n">
        <v>5</v>
      </c>
      <c r="DT712" s="135" t="n">
        <v>14</v>
      </c>
      <c r="DU712" s="140"/>
      <c r="DV712" s="143" t="n">
        <v>3</v>
      </c>
      <c r="DW712" s="135" t="n">
        <v>12</v>
      </c>
      <c r="DX712" s="143" t="n">
        <v>19</v>
      </c>
      <c r="DY712" s="135" t="n">
        <v>7</v>
      </c>
      <c r="DZ712" s="143" t="n">
        <v>4</v>
      </c>
      <c r="EA712" s="135" t="n">
        <v>6</v>
      </c>
      <c r="EB712" s="143" t="n">
        <v>13</v>
      </c>
      <c r="EC712" s="135" t="n">
        <v>15</v>
      </c>
      <c r="ED712" s="143" t="n">
        <v>1</v>
      </c>
      <c r="EE712" s="135" t="n">
        <v>16</v>
      </c>
      <c r="EF712" s="143" t="n">
        <v>20</v>
      </c>
      <c r="EG712" s="135" t="n">
        <v>2</v>
      </c>
      <c r="EH712" s="143" t="n">
        <v>14</v>
      </c>
      <c r="EI712" s="135" t="n">
        <v>9</v>
      </c>
      <c r="EJ712" s="143" t="n">
        <v>8</v>
      </c>
      <c r="EK712" s="135" t="n">
        <v>17</v>
      </c>
      <c r="EL712" s="143" t="n">
        <v>10</v>
      </c>
      <c r="EM712" s="135" t="n">
        <v>5</v>
      </c>
      <c r="EN712" s="143" t="n">
        <v>11</v>
      </c>
      <c r="EO712" s="135" t="n">
        <v>18</v>
      </c>
      <c r="EP712" s="140"/>
    </row>
    <row r="713" customFormat="false" ht="15" hidden="false" customHeight="false" outlineLevel="0" collapsed="false">
      <c r="A713" s="0" t="str">
        <f aca="false">$B$61</f>
        <v>LEIGH</v>
      </c>
    </row>
    <row r="714" customFormat="false" ht="15" hidden="false" customHeight="false" outlineLevel="0" collapsed="false">
      <c r="A714" s="0" t="str">
        <f aca="false">$B$66</f>
        <v>IAN</v>
      </c>
    </row>
    <row r="715" customFormat="false" ht="15" hidden="false" customHeight="false" outlineLevel="0" collapsed="false">
      <c r="A715" s="0" t="str">
        <f aca="false">$B$71</f>
        <v>ELI</v>
      </c>
    </row>
    <row r="716" customFormat="false" ht="15" hidden="false" customHeight="false" outlineLevel="0" collapsed="false">
      <c r="A716" s="0" t="str">
        <f aca="false">$B$76</f>
        <v>ROWAN</v>
      </c>
      <c r="BY716" s="0" t="s">
        <v>249</v>
      </c>
    </row>
    <row r="717" customFormat="false" ht="15" hidden="false" customHeight="false" outlineLevel="0" collapsed="false">
      <c r="A717" s="0" t="str">
        <f aca="false">$B$81</f>
        <v>JAMES</v>
      </c>
      <c r="BJ717" s="0" t="s">
        <v>250</v>
      </c>
    </row>
    <row r="718" customFormat="false" ht="15" hidden="false" customHeight="false" outlineLevel="0" collapsed="false">
      <c r="A718" s="144" t="s">
        <v>251</v>
      </c>
      <c r="BI718" s="0" t="s">
        <v>249</v>
      </c>
    </row>
    <row r="719" customFormat="false" ht="15" hidden="false" customHeight="false" outlineLevel="0" collapsed="false">
      <c r="A719" s="0" t="str">
        <f aca="false">$B$104</f>
        <v>BRENNEN</v>
      </c>
    </row>
    <row r="720" customFormat="false" ht="15" hidden="false" customHeight="false" outlineLevel="0" collapsed="false">
      <c r="A720" s="0" t="str">
        <f aca="false">$B$109</f>
        <v>NICK</v>
      </c>
    </row>
    <row r="721" customFormat="false" ht="15" hidden="false" customHeight="false" outlineLevel="0" collapsed="false">
      <c r="A721" s="0" t="str">
        <f aca="false">$B$114</f>
        <v>IAN</v>
      </c>
    </row>
    <row r="722" customFormat="false" ht="15" hidden="false" customHeight="false" outlineLevel="0" collapsed="false">
      <c r="A722" s="0" t="str">
        <f aca="false">$B$119</f>
        <v>SCOTT</v>
      </c>
    </row>
    <row r="723" customFormat="false" ht="15" hidden="false" customHeight="false" outlineLevel="0" collapsed="false">
      <c r="A723" s="0" t="str">
        <f aca="false">$B$124</f>
        <v>TIM</v>
      </c>
    </row>
    <row r="724" customFormat="false" ht="15" hidden="false" customHeight="false" outlineLevel="0" collapsed="false">
      <c r="A724" s="144" t="s">
        <v>252</v>
      </c>
    </row>
    <row r="725" customFormat="false" ht="15" hidden="false" customHeight="false" outlineLevel="0" collapsed="false">
      <c r="A725" s="0" t="str">
        <f aca="false">$B$147</f>
        <v>PATRICK</v>
      </c>
    </row>
    <row r="726" customFormat="false" ht="15" hidden="false" customHeight="false" outlineLevel="0" collapsed="false">
      <c r="A726" s="0" t="str">
        <f aca="false">$B$152</f>
        <v>BRANDY</v>
      </c>
    </row>
    <row r="727" customFormat="false" ht="15" hidden="false" customHeight="false" outlineLevel="0" collapsed="false">
      <c r="A727" s="0" t="str">
        <f aca="false">$B$157</f>
        <v>PJ</v>
      </c>
    </row>
    <row r="728" customFormat="false" ht="15" hidden="false" customHeight="false" outlineLevel="0" collapsed="false">
      <c r="A728" s="0" t="str">
        <f aca="false">$B$162</f>
        <v>CARA</v>
      </c>
    </row>
    <row r="729" customFormat="false" ht="15" hidden="false" customHeight="false" outlineLevel="0" collapsed="false">
      <c r="A729" s="0" t="str">
        <f aca="false">$B$167</f>
        <v>MELISSA</v>
      </c>
    </row>
    <row r="730" customFormat="false" ht="15" hidden="false" customHeight="false" outlineLevel="0" collapsed="false">
      <c r="A730" s="144" t="s">
        <v>253</v>
      </c>
    </row>
    <row r="731" customFormat="false" ht="15" hidden="false" customHeight="false" outlineLevel="0" collapsed="false">
      <c r="A731" s="0" t="str">
        <f aca="false">$B$190</f>
        <v>MIKE</v>
      </c>
    </row>
    <row r="732" customFormat="false" ht="15" hidden="false" customHeight="false" outlineLevel="0" collapsed="false">
      <c r="A732" s="0" t="str">
        <f aca="false">$B$195</f>
        <v>OLGA</v>
      </c>
    </row>
    <row r="733" customFormat="false" ht="15" hidden="false" customHeight="false" outlineLevel="0" collapsed="false">
      <c r="A733" s="0" t="str">
        <f aca="false">$B$200</f>
        <v>DAN</v>
      </c>
    </row>
    <row r="734" customFormat="false" ht="15" hidden="false" customHeight="false" outlineLevel="0" collapsed="false">
      <c r="A734" s="0" t="str">
        <f aca="false">$B$205</f>
        <v>MIKE MO</v>
      </c>
    </row>
    <row r="735" customFormat="false" ht="15" hidden="false" customHeight="false" outlineLevel="0" collapsed="false">
      <c r="A735" s="0" t="str">
        <f aca="false">$B$210</f>
        <v>VICKIE</v>
      </c>
    </row>
    <row r="736" customFormat="false" ht="15" hidden="false" customHeight="false" outlineLevel="0" collapsed="false">
      <c r="A736" s="144" t="s">
        <v>254</v>
      </c>
    </row>
    <row r="737" customFormat="false" ht="15" hidden="false" customHeight="false" outlineLevel="0" collapsed="false">
      <c r="A737" s="0" t="str">
        <f aca="false">$B$233</f>
        <v>RICHARD</v>
      </c>
    </row>
    <row r="738" customFormat="false" ht="15" hidden="false" customHeight="false" outlineLevel="0" collapsed="false">
      <c r="A738" s="0" t="str">
        <f aca="false">$B$238</f>
        <v>JUSTIN</v>
      </c>
    </row>
    <row r="739" customFormat="false" ht="15" hidden="false" customHeight="false" outlineLevel="0" collapsed="false">
      <c r="A739" s="0" t="str">
        <f aca="false">$B$243</f>
        <v>SANDY</v>
      </c>
    </row>
    <row r="740" customFormat="false" ht="15" hidden="false" customHeight="false" outlineLevel="0" collapsed="false">
      <c r="A740" s="0" t="str">
        <f aca="false">$B$248</f>
        <v>DENNIS</v>
      </c>
    </row>
    <row r="741" customFormat="false" ht="15" hidden="false" customHeight="false" outlineLevel="0" collapsed="false">
      <c r="A741" s="0" t="str">
        <f aca="false">$B$253</f>
        <v>VE</v>
      </c>
    </row>
    <row r="742" customFormat="false" ht="15" hidden="false" customHeight="false" outlineLevel="0" collapsed="false">
      <c r="A742" s="144" t="s">
        <v>255</v>
      </c>
    </row>
    <row r="743" customFormat="false" ht="15" hidden="false" customHeight="false" outlineLevel="0" collapsed="false">
      <c r="A743" s="0" t="str">
        <f aca="false">$B$276</f>
        <v>GARY</v>
      </c>
    </row>
    <row r="744" customFormat="false" ht="15" hidden="false" customHeight="false" outlineLevel="0" collapsed="false">
      <c r="A744" s="0" t="str">
        <f aca="false">$B$281</f>
        <v>RICH</v>
      </c>
    </row>
    <row r="745" customFormat="false" ht="15" hidden="false" customHeight="false" outlineLevel="0" collapsed="false">
      <c r="A745" s="0" t="str">
        <f aca="false">$B$286</f>
        <v>VIC</v>
      </c>
    </row>
    <row r="746" customFormat="false" ht="15" hidden="false" customHeight="false" outlineLevel="0" collapsed="false">
      <c r="A746" s="0" t="str">
        <f aca="false">$B$291</f>
        <v>JIM</v>
      </c>
    </row>
    <row r="747" customFormat="false" ht="15" hidden="false" customHeight="false" outlineLevel="0" collapsed="false">
      <c r="A747" s="0" t="str">
        <f aca="false">$B$296</f>
        <v>PAM</v>
      </c>
    </row>
    <row r="748" customFormat="false" ht="15" hidden="false" customHeight="false" outlineLevel="0" collapsed="false">
      <c r="A748" s="144" t="s">
        <v>256</v>
      </c>
    </row>
    <row r="749" customFormat="false" ht="15" hidden="false" customHeight="false" outlineLevel="0" collapsed="false">
      <c r="A749" s="0" t="str">
        <f aca="false">$B$319</f>
        <v>JOHN A</v>
      </c>
    </row>
    <row r="750" customFormat="false" ht="15" hidden="false" customHeight="false" outlineLevel="0" collapsed="false">
      <c r="A750" s="0" t="str">
        <f aca="false">$B$324</f>
        <v>BOBBY</v>
      </c>
    </row>
    <row r="751" customFormat="false" ht="15" hidden="false" customHeight="false" outlineLevel="0" collapsed="false">
      <c r="A751" s="0" t="str">
        <f aca="false">$B$329</f>
        <v>MIKE</v>
      </c>
    </row>
    <row r="752" customFormat="false" ht="15" hidden="false" customHeight="false" outlineLevel="0" collapsed="false">
      <c r="A752" s="0" t="str">
        <f aca="false">$B$334</f>
        <v>ROGER</v>
      </c>
    </row>
    <row r="753" customFormat="false" ht="15" hidden="false" customHeight="false" outlineLevel="0" collapsed="false">
      <c r="A753" s="0" t="str">
        <f aca="false">$B$339</f>
        <v>JOHN B.</v>
      </c>
    </row>
    <row r="754" customFormat="false" ht="15" hidden="false" customHeight="false" outlineLevel="0" collapsed="false">
      <c r="A754" s="144" t="s">
        <v>257</v>
      </c>
    </row>
    <row r="755" customFormat="false" ht="15" hidden="false" customHeight="false" outlineLevel="0" collapsed="false">
      <c r="A755" s="0" t="str">
        <f aca="false">$B$362</f>
        <v>MICHAEL</v>
      </c>
    </row>
    <row r="756" customFormat="false" ht="15" hidden="false" customHeight="false" outlineLevel="0" collapsed="false">
      <c r="A756" s="0" t="str">
        <f aca="false">$B$367</f>
        <v>JIM</v>
      </c>
    </row>
    <row r="757" customFormat="false" ht="15" hidden="false" customHeight="false" outlineLevel="0" collapsed="false">
      <c r="A757" s="0" t="str">
        <f aca="false">$B$372</f>
        <v>DOUG</v>
      </c>
    </row>
    <row r="758" customFormat="false" ht="15" hidden="false" customHeight="false" outlineLevel="0" collapsed="false">
      <c r="A758" s="0" t="str">
        <f aca="false">$B$377</f>
        <v>SARAH</v>
      </c>
    </row>
    <row r="759" customFormat="false" ht="15" hidden="false" customHeight="false" outlineLevel="0" collapsed="false">
      <c r="A759" s="0" t="str">
        <f aca="false">$B$382</f>
        <v>KASH</v>
      </c>
    </row>
    <row r="760" customFormat="false" ht="15" hidden="false" customHeight="false" outlineLevel="0" collapsed="false">
      <c r="A760" s="144" t="s">
        <v>258</v>
      </c>
    </row>
    <row r="761" customFormat="false" ht="15" hidden="false" customHeight="false" outlineLevel="0" collapsed="false">
      <c r="A761" s="0" t="str">
        <f aca="false">$B$405</f>
        <v>DARRIC</v>
      </c>
    </row>
    <row r="762" customFormat="false" ht="15" hidden="false" customHeight="false" outlineLevel="0" collapsed="false">
      <c r="A762" s="0" t="str">
        <f aca="false">$B$410</f>
        <v>CHRIS</v>
      </c>
    </row>
    <row r="763" customFormat="false" ht="15" hidden="false" customHeight="false" outlineLevel="0" collapsed="false">
      <c r="A763" s="0" t="str">
        <f aca="false">$B$415</f>
        <v>MIKE R.</v>
      </c>
    </row>
    <row r="764" customFormat="false" ht="15" hidden="false" customHeight="false" outlineLevel="0" collapsed="false">
      <c r="A764" s="0" t="str">
        <f aca="false">$B$420</f>
        <v>SERGEI</v>
      </c>
    </row>
    <row r="765" customFormat="false" ht="15" hidden="false" customHeight="false" outlineLevel="0" collapsed="false">
      <c r="A765" s="0" t="str">
        <f aca="false">$B$425</f>
        <v>JORDAN</v>
      </c>
    </row>
    <row r="766" customFormat="false" ht="15" hidden="false" customHeight="false" outlineLevel="0" collapsed="false">
      <c r="A766" s="144" t="s">
        <v>259</v>
      </c>
    </row>
    <row r="767" customFormat="false" ht="15" hidden="false" customHeight="false" outlineLevel="0" collapsed="false">
      <c r="A767" s="0" t="str">
        <f aca="false">$E$18</f>
        <v>PABLO</v>
      </c>
    </row>
    <row r="768" customFormat="false" ht="15" hidden="false" customHeight="false" outlineLevel="0" collapsed="false">
      <c r="A768" s="0" t="str">
        <f aca="false">$E$23</f>
        <v>ERIC</v>
      </c>
    </row>
    <row r="769" customFormat="false" ht="15" hidden="false" customHeight="false" outlineLevel="0" collapsed="false">
      <c r="A769" s="0" t="str">
        <f aca="false">$E$28</f>
        <v>SABRINA</v>
      </c>
    </row>
    <row r="770" customFormat="false" ht="15" hidden="false" customHeight="false" outlineLevel="0" collapsed="false">
      <c r="A770" s="0" t="str">
        <f aca="false">$E$33</f>
        <v>NICK</v>
      </c>
    </row>
    <row r="771" customFormat="false" ht="15" hidden="false" customHeight="false" outlineLevel="0" collapsed="false">
      <c r="A771" s="0" t="str">
        <f aca="false">$E$38</f>
        <v>LON</v>
      </c>
    </row>
    <row r="772" customFormat="false" ht="15" hidden="false" customHeight="false" outlineLevel="0" collapsed="false">
      <c r="A772" s="144" t="s">
        <v>260</v>
      </c>
    </row>
    <row r="773" customFormat="false" ht="15" hidden="false" customHeight="false" outlineLevel="0" collapsed="false">
      <c r="A773" s="0" t="n">
        <f aca="false">$E$61</f>
        <v>1</v>
      </c>
    </row>
    <row r="774" customFormat="false" ht="15" hidden="false" customHeight="false" outlineLevel="0" collapsed="false">
      <c r="A774" s="0" t="n">
        <f aca="false">$E$66</f>
        <v>2</v>
      </c>
    </row>
    <row r="775" customFormat="false" ht="15" hidden="false" customHeight="false" outlineLevel="0" collapsed="false">
      <c r="A775" s="0" t="n">
        <f aca="false">$E$71</f>
        <v>3</v>
      </c>
    </row>
    <row r="776" customFormat="false" ht="15" hidden="false" customHeight="false" outlineLevel="0" collapsed="false">
      <c r="A776" s="0" t="n">
        <f aca="false">$E$76</f>
        <v>4</v>
      </c>
    </row>
    <row r="777" customFormat="false" ht="15" hidden="false" customHeight="false" outlineLevel="0" collapsed="false">
      <c r="A777" s="0" t="n">
        <f aca="false">$E$81</f>
        <v>5</v>
      </c>
    </row>
    <row r="778" customFormat="false" ht="15" hidden="false" customHeight="false" outlineLevel="0" collapsed="false">
      <c r="A778" s="144" t="s">
        <v>261</v>
      </c>
    </row>
    <row r="779" customFormat="false" ht="15" hidden="false" customHeight="false" outlineLevel="0" collapsed="false">
      <c r="A779" s="0" t="n">
        <f aca="false">$E$104</f>
        <v>0</v>
      </c>
    </row>
    <row r="780" customFormat="false" ht="15" hidden="false" customHeight="false" outlineLevel="0" collapsed="false">
      <c r="A780" s="0" t="n">
        <f aca="false">$E$109</f>
        <v>0</v>
      </c>
    </row>
    <row r="781" customFormat="false" ht="15" hidden="false" customHeight="false" outlineLevel="0" collapsed="false">
      <c r="A781" s="0" t="n">
        <f aca="false">$E$114</f>
        <v>0</v>
      </c>
    </row>
    <row r="782" customFormat="false" ht="15" hidden="false" customHeight="false" outlineLevel="0" collapsed="false">
      <c r="A782" s="0" t="n">
        <f aca="false">$E$119</f>
        <v>0</v>
      </c>
    </row>
    <row r="783" customFormat="false" ht="15" hidden="false" customHeight="false" outlineLevel="0" collapsed="false">
      <c r="A783" s="0" t="n">
        <f aca="false">$E$124</f>
        <v>0</v>
      </c>
    </row>
    <row r="784" customFormat="false" ht="15" hidden="false" customHeight="false" outlineLevel="0" collapsed="false">
      <c r="A784" s="144" t="s">
        <v>262</v>
      </c>
    </row>
    <row r="785" customFormat="false" ht="15" hidden="false" customHeight="false" outlineLevel="0" collapsed="false">
      <c r="A785" s="0" t="n">
        <f aca="false">$E$147</f>
        <v>0</v>
      </c>
    </row>
    <row r="786" customFormat="false" ht="15" hidden="false" customHeight="false" outlineLevel="0" collapsed="false">
      <c r="A786" s="0" t="n">
        <f aca="false">$E$152</f>
        <v>0</v>
      </c>
    </row>
    <row r="787" customFormat="false" ht="15" hidden="false" customHeight="false" outlineLevel="0" collapsed="false">
      <c r="A787" s="0" t="n">
        <f aca="false">$E$157</f>
        <v>0</v>
      </c>
    </row>
    <row r="788" customFormat="false" ht="15" hidden="false" customHeight="false" outlineLevel="0" collapsed="false">
      <c r="A788" s="0" t="n">
        <f aca="false">$E$162</f>
        <v>0</v>
      </c>
    </row>
    <row r="789" customFormat="false" ht="15" hidden="false" customHeight="false" outlineLevel="0" collapsed="false">
      <c r="A789" s="0" t="n">
        <f aca="false">$E$167</f>
        <v>0</v>
      </c>
    </row>
    <row r="790" customFormat="false" ht="15" hidden="false" customHeight="false" outlineLevel="0" collapsed="false">
      <c r="A790" s="144" t="s">
        <v>263</v>
      </c>
    </row>
    <row r="791" customFormat="false" ht="15" hidden="false" customHeight="false" outlineLevel="0" collapsed="false">
      <c r="A791" s="0" t="n">
        <f aca="false">$E$190</f>
        <v>0</v>
      </c>
    </row>
    <row r="792" customFormat="false" ht="15" hidden="false" customHeight="false" outlineLevel="0" collapsed="false">
      <c r="A792" s="0" t="n">
        <f aca="false">$E$195</f>
        <v>0</v>
      </c>
    </row>
    <row r="793" customFormat="false" ht="15" hidden="false" customHeight="false" outlineLevel="0" collapsed="false">
      <c r="A793" s="0" t="n">
        <f aca="false">$E$200</f>
        <v>0</v>
      </c>
    </row>
    <row r="794" customFormat="false" ht="15" hidden="false" customHeight="false" outlineLevel="0" collapsed="false">
      <c r="A794" s="0" t="n">
        <f aca="false">$E$205</f>
        <v>0</v>
      </c>
    </row>
    <row r="795" customFormat="false" ht="15" hidden="false" customHeight="false" outlineLevel="0" collapsed="false">
      <c r="A795" s="0" t="n">
        <f aca="false">$E$210</f>
        <v>0</v>
      </c>
    </row>
    <row r="796" customFormat="false" ht="15" hidden="false" customHeight="false" outlineLevel="0" collapsed="false">
      <c r="A796" s="144" t="s">
        <v>264</v>
      </c>
    </row>
    <row r="797" customFormat="false" ht="15" hidden="false" customHeight="false" outlineLevel="0" collapsed="false">
      <c r="A797" s="0" t="n">
        <f aca="false">$E$233</f>
        <v>0</v>
      </c>
    </row>
    <row r="798" customFormat="false" ht="15" hidden="false" customHeight="false" outlineLevel="0" collapsed="false">
      <c r="A798" s="0" t="n">
        <f aca="false">$E$238</f>
        <v>0</v>
      </c>
    </row>
    <row r="799" customFormat="false" ht="15" hidden="false" customHeight="false" outlineLevel="0" collapsed="false">
      <c r="A799" s="0" t="n">
        <f aca="false">$E$243</f>
        <v>0</v>
      </c>
    </row>
    <row r="800" customFormat="false" ht="15" hidden="false" customHeight="false" outlineLevel="0" collapsed="false">
      <c r="A800" s="0" t="n">
        <f aca="false">$E$248</f>
        <v>0</v>
      </c>
    </row>
    <row r="801" customFormat="false" ht="15" hidden="false" customHeight="false" outlineLevel="0" collapsed="false">
      <c r="A801" s="0" t="n">
        <f aca="false">$E$253</f>
        <v>0</v>
      </c>
    </row>
    <row r="802" customFormat="false" ht="15" hidden="false" customHeight="false" outlineLevel="0" collapsed="false">
      <c r="A802" s="144" t="s">
        <v>265</v>
      </c>
    </row>
    <row r="803" customFormat="false" ht="15" hidden="false" customHeight="false" outlineLevel="0" collapsed="false">
      <c r="A803" s="0" t="n">
        <f aca="false">$E$276</f>
        <v>0</v>
      </c>
    </row>
    <row r="804" customFormat="false" ht="15" hidden="false" customHeight="false" outlineLevel="0" collapsed="false">
      <c r="A804" s="0" t="n">
        <f aca="false">$E$281</f>
        <v>0</v>
      </c>
    </row>
    <row r="805" customFormat="false" ht="15" hidden="false" customHeight="false" outlineLevel="0" collapsed="false">
      <c r="A805" s="0" t="n">
        <f aca="false">$E$286</f>
        <v>0</v>
      </c>
    </row>
    <row r="806" customFormat="false" ht="15" hidden="false" customHeight="false" outlineLevel="0" collapsed="false">
      <c r="A806" s="0" t="n">
        <f aca="false">$E$291</f>
        <v>0</v>
      </c>
    </row>
    <row r="807" customFormat="false" ht="15" hidden="false" customHeight="false" outlineLevel="0" collapsed="false">
      <c r="A807" s="0" t="n">
        <f aca="false">$E$296</f>
        <v>0</v>
      </c>
    </row>
    <row r="808" customFormat="false" ht="15" hidden="false" customHeight="false" outlineLevel="0" collapsed="false">
      <c r="A808" s="144" t="s">
        <v>266</v>
      </c>
    </row>
    <row r="809" customFormat="false" ht="15" hidden="false" customHeight="false" outlineLevel="0" collapsed="false">
      <c r="A809" s="0" t="n">
        <f aca="false">$E$319</f>
        <v>0</v>
      </c>
    </row>
    <row r="810" customFormat="false" ht="15" hidden="false" customHeight="false" outlineLevel="0" collapsed="false">
      <c r="A810" s="0" t="n">
        <f aca="false">$E$324</f>
        <v>0</v>
      </c>
    </row>
    <row r="811" customFormat="false" ht="15" hidden="false" customHeight="false" outlineLevel="0" collapsed="false">
      <c r="A811" s="0" t="n">
        <f aca="false">$E$329</f>
        <v>0</v>
      </c>
    </row>
    <row r="812" customFormat="false" ht="15" hidden="false" customHeight="false" outlineLevel="0" collapsed="false">
      <c r="A812" s="0" t="n">
        <f aca="false">$E$334</f>
        <v>0</v>
      </c>
    </row>
    <row r="813" customFormat="false" ht="15" hidden="false" customHeight="false" outlineLevel="0" collapsed="false">
      <c r="A813" s="0" t="n">
        <f aca="false">$E$339</f>
        <v>0</v>
      </c>
    </row>
    <row r="814" customFormat="false" ht="15" hidden="false" customHeight="false" outlineLevel="0" collapsed="false">
      <c r="A814" s="144" t="s">
        <v>267</v>
      </c>
    </row>
    <row r="815" customFormat="false" ht="15" hidden="false" customHeight="false" outlineLevel="0" collapsed="false">
      <c r="A815" s="0" t="n">
        <f aca="false">$E$362</f>
        <v>0</v>
      </c>
    </row>
    <row r="816" customFormat="false" ht="15" hidden="false" customHeight="false" outlineLevel="0" collapsed="false">
      <c r="A816" s="0" t="n">
        <f aca="false">$E$367</f>
        <v>0</v>
      </c>
    </row>
    <row r="817" customFormat="false" ht="15" hidden="false" customHeight="false" outlineLevel="0" collapsed="false">
      <c r="A817" s="0" t="n">
        <f aca="false">$E$372</f>
        <v>0</v>
      </c>
    </row>
    <row r="818" customFormat="false" ht="15" hidden="false" customHeight="false" outlineLevel="0" collapsed="false">
      <c r="A818" s="0" t="n">
        <f aca="false">$E$377</f>
        <v>0</v>
      </c>
    </row>
    <row r="819" customFormat="false" ht="15" hidden="false" customHeight="false" outlineLevel="0" collapsed="false">
      <c r="A819" s="0" t="n">
        <f aca="false">$E$382</f>
        <v>0</v>
      </c>
    </row>
    <row r="820" customFormat="false" ht="15" hidden="false" customHeight="false" outlineLevel="0" collapsed="false">
      <c r="A820" s="144" t="s">
        <v>268</v>
      </c>
    </row>
    <row r="821" customFormat="false" ht="15" hidden="false" customHeight="false" outlineLevel="0" collapsed="false">
      <c r="A821" s="0" t="n">
        <f aca="false">$E$405</f>
        <v>0</v>
      </c>
    </row>
    <row r="822" customFormat="false" ht="15" hidden="false" customHeight="false" outlineLevel="0" collapsed="false">
      <c r="A822" s="0" t="n">
        <f aca="false">$E$410</f>
        <v>0</v>
      </c>
    </row>
    <row r="823" customFormat="false" ht="15" hidden="false" customHeight="false" outlineLevel="0" collapsed="false">
      <c r="A823" s="0" t="n">
        <f aca="false">$E$415</f>
        <v>0</v>
      </c>
    </row>
    <row r="824" customFormat="false" ht="15" hidden="false" customHeight="false" outlineLevel="0" collapsed="false">
      <c r="A824" s="0" t="n">
        <f aca="false">$E$420</f>
        <v>0</v>
      </c>
    </row>
    <row r="825" customFormat="false" ht="15" hidden="false" customHeight="false" outlineLevel="0" collapsed="false">
      <c r="A825" s="0" t="n">
        <f aca="false">$E$425</f>
        <v>0</v>
      </c>
    </row>
  </sheetData>
  <mergeCells count="102">
    <mergeCell ref="G447:H447"/>
    <mergeCell ref="Y447:Z447"/>
    <mergeCell ref="J449:N449"/>
    <mergeCell ref="U449:Y449"/>
    <mergeCell ref="G471:H471"/>
    <mergeCell ref="Y471:Z471"/>
    <mergeCell ref="J473:N473"/>
    <mergeCell ref="U473:Y473"/>
    <mergeCell ref="G495:H495"/>
    <mergeCell ref="Y495:Z495"/>
    <mergeCell ref="J497:N497"/>
    <mergeCell ref="U497:Y497"/>
    <mergeCell ref="G519:H519"/>
    <mergeCell ref="Y519:Z519"/>
    <mergeCell ref="J521:N521"/>
    <mergeCell ref="U521:Y521"/>
    <mergeCell ref="G543:H543"/>
    <mergeCell ref="Y543:Z543"/>
    <mergeCell ref="J545:N545"/>
    <mergeCell ref="U545:Y545"/>
    <mergeCell ref="G567:H567"/>
    <mergeCell ref="Y567:Z567"/>
    <mergeCell ref="J569:N569"/>
    <mergeCell ref="U569:Y569"/>
    <mergeCell ref="G591:H591"/>
    <mergeCell ref="Y591:Z591"/>
    <mergeCell ref="J593:N593"/>
    <mergeCell ref="U593:Y593"/>
    <mergeCell ref="G615:H615"/>
    <mergeCell ref="Y615:Z615"/>
    <mergeCell ref="J617:N617"/>
    <mergeCell ref="U617:Y617"/>
    <mergeCell ref="G639:H639"/>
    <mergeCell ref="Y639:Z639"/>
    <mergeCell ref="J641:N641"/>
    <mergeCell ref="U641:Y641"/>
    <mergeCell ref="G663:H663"/>
    <mergeCell ref="Y663:Z663"/>
    <mergeCell ref="J665:N665"/>
    <mergeCell ref="U665:Y665"/>
    <mergeCell ref="AI687:AN687"/>
    <mergeCell ref="AP687:AW687"/>
    <mergeCell ref="AY687:BH687"/>
    <mergeCell ref="BJ687:BS687"/>
    <mergeCell ref="BW687:CF687"/>
    <mergeCell ref="CL687:CU687"/>
    <mergeCell ref="DC687:DL687"/>
    <mergeCell ref="DV687:EE687"/>
    <mergeCell ref="AD689:AE689"/>
    <mergeCell ref="AF689:AG689"/>
    <mergeCell ref="AI689:AJ689"/>
    <mergeCell ref="AK689:AL689"/>
    <mergeCell ref="AM689:AN689"/>
    <mergeCell ref="AP689:AQ689"/>
    <mergeCell ref="AR689:AS689"/>
    <mergeCell ref="AT689:AU689"/>
    <mergeCell ref="AV689:AW689"/>
    <mergeCell ref="AY689:AZ689"/>
    <mergeCell ref="BA689:BB689"/>
    <mergeCell ref="BC689:BD689"/>
    <mergeCell ref="BE689:BF689"/>
    <mergeCell ref="BG689:BH689"/>
    <mergeCell ref="BJ689:BK689"/>
    <mergeCell ref="BL689:BM689"/>
    <mergeCell ref="BN689:BO689"/>
    <mergeCell ref="BP689:BQ689"/>
    <mergeCell ref="BR689:BS689"/>
    <mergeCell ref="BT689:BU689"/>
    <mergeCell ref="BW689:BX689"/>
    <mergeCell ref="BY689:BZ689"/>
    <mergeCell ref="CA689:CB689"/>
    <mergeCell ref="CC689:CD689"/>
    <mergeCell ref="CE689:CF689"/>
    <mergeCell ref="CG689:CH689"/>
    <mergeCell ref="CI689:CJ689"/>
    <mergeCell ref="CL689:CM689"/>
    <mergeCell ref="CN689:CO689"/>
    <mergeCell ref="CP689:CQ689"/>
    <mergeCell ref="CR689:CS689"/>
    <mergeCell ref="CT689:CU689"/>
    <mergeCell ref="CV689:CW689"/>
    <mergeCell ref="CX689:CY689"/>
    <mergeCell ref="CZ689:DA689"/>
    <mergeCell ref="DC689:DD689"/>
    <mergeCell ref="DE689:DF689"/>
    <mergeCell ref="DG689:DH689"/>
    <mergeCell ref="DI689:DJ689"/>
    <mergeCell ref="DK689:DL689"/>
    <mergeCell ref="DM689:DN689"/>
    <mergeCell ref="DO689:DP689"/>
    <mergeCell ref="DQ689:DR689"/>
    <mergeCell ref="DS689:DT689"/>
    <mergeCell ref="DV689:DW689"/>
    <mergeCell ref="DX689:DY689"/>
    <mergeCell ref="DZ689:EA689"/>
    <mergeCell ref="EB689:EC689"/>
    <mergeCell ref="ED689:EE689"/>
    <mergeCell ref="EF689:EG689"/>
    <mergeCell ref="EH689:EI689"/>
    <mergeCell ref="EJ689:EK689"/>
    <mergeCell ref="EL689:EM689"/>
    <mergeCell ref="EN689:EO689"/>
  </mergeCells>
  <hyperlinks>
    <hyperlink ref="BW687" r:id="rId1" display="14 Team Schedule"/>
  </hyperlinks>
  <printOptions headings="false" gridLines="false" gridLinesSet="true" horizontalCentered="true" verticalCentered="true"/>
  <pageMargins left="0.2" right="0.25" top="0.6" bottom="0.6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58" man="true" max="16383" min="0"/>
    <brk id="101" man="true" max="16383" min="0"/>
    <brk id="144" man="true" max="16383" min="0"/>
    <brk id="187" man="true" max="16383" min="0"/>
    <brk id="230" man="true" max="16383" min="0"/>
    <brk id="273" man="true" max="16383" min="0"/>
    <brk id="316" man="true" max="16383" min="0"/>
    <brk id="359" man="true" max="16383" min="0"/>
    <brk id="402" man="true" max="16383" min="0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Registration Paid">
              <controlPr defaultSize="0" locked="1" autoFill="0" autoLine="0" autoPict="0" print="true" altText="Check Box 1">
                <anchor moveWithCells="true" sizeWithCells="false">
                  <from>
                    <xdr:col>3</xdr:col>
                    <xdr:colOff>194400</xdr:colOff>
                    <xdr:row>17</xdr:row>
                    <xdr:rowOff>134640</xdr:rowOff>
                  </from>
                  <to>
                    <xdr:col>4</xdr:col>
                    <xdr:colOff>610200</xdr:colOff>
                    <xdr:row>18</xdr:row>
                    <xdr:rowOff>153720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Registration Paid">
              <controlPr defaultSize="0" locked="1" autoFill="0" autoLine="0" autoPict="0" print="true" altText="Check Box 4">
                <anchor moveWithCells="true" sizeWithCells="false">
                  <from>
                    <xdr:col>2</xdr:col>
                    <xdr:colOff>6480</xdr:colOff>
                    <xdr:row>22</xdr:row>
                    <xdr:rowOff>29880</xdr:rowOff>
                  </from>
                  <to>
                    <xdr:col>3</xdr:col>
                    <xdr:colOff>0</xdr:colOff>
                    <xdr:row>23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Registration Paid">
              <controlPr defaultSize="0" locked="1" autoFill="0" autoLine="0" autoPict="0" print="true" altText="Check Box 6">
                <anchor moveWithCells="true" sizeWithCells="false">
                  <from>
                    <xdr:col>2</xdr:col>
                    <xdr:colOff>6480</xdr:colOff>
                    <xdr:row>27</xdr:row>
                    <xdr:rowOff>29880</xdr:rowOff>
                  </from>
                  <to>
                    <xdr:col>3</xdr:col>
                    <xdr:colOff>0</xdr:colOff>
                    <xdr:row>28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Registration Paid">
              <controlPr defaultSize="0" locked="1" autoFill="0" autoLine="0" autoPict="0" print="true" altText="Check Box 8">
                <anchor moveWithCells="true" sizeWithCells="false">
                  <from>
                    <xdr:col>2</xdr:col>
                    <xdr:colOff>6480</xdr:colOff>
                    <xdr:row>32</xdr:row>
                    <xdr:rowOff>29520</xdr:rowOff>
                  </from>
                  <to>
                    <xdr:col>3</xdr:col>
                    <xdr:colOff>0</xdr:colOff>
                    <xdr:row>33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8" name="Registration Paid">
              <controlPr defaultSize="0" locked="1" autoFill="0" autoLine="0" autoPict="0" print="true" altText="Check Box 10">
                <anchor moveWithCells="true" sizeWithCells="false">
                  <from>
                    <xdr:col>2</xdr:col>
                    <xdr:colOff>6480</xdr:colOff>
                    <xdr:row>37</xdr:row>
                    <xdr:rowOff>29880</xdr:rowOff>
                  </from>
                  <to>
                    <xdr:col>3</xdr:col>
                    <xdr:colOff>0</xdr:colOff>
                    <xdr:row>38</xdr:row>
                    <xdr:rowOff>48600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9" name="Registration Paid">
              <controlPr defaultSize="0" locked="1" autoFill="0" autoLine="0" autoPict="0" print="true" altText="Check Box 12">
                <anchor moveWithCells="true" sizeWithCells="false">
                  <from>
                    <xdr:col>2</xdr:col>
                    <xdr:colOff>6480</xdr:colOff>
                    <xdr:row>60</xdr:row>
                    <xdr:rowOff>48960</xdr:rowOff>
                  </from>
                  <to>
                    <xdr:col>3</xdr:col>
                    <xdr:colOff>0</xdr:colOff>
                    <xdr:row>61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0" name="Registration Paid">
              <controlPr defaultSize="0" locked="1" autoFill="0" autoLine="0" autoPict="0" print="true" altText="Check Box 14">
                <anchor moveWithCells="true" sizeWithCells="false">
                  <from>
                    <xdr:col>2</xdr:col>
                    <xdr:colOff>6480</xdr:colOff>
                    <xdr:row>65</xdr:row>
                    <xdr:rowOff>48960</xdr:rowOff>
                  </from>
                  <to>
                    <xdr:col>3</xdr:col>
                    <xdr:colOff>0</xdr:colOff>
                    <xdr:row>66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1" name="Registration Paid">
              <controlPr defaultSize="0" locked="1" autoFill="0" autoLine="0" autoPict="0" print="true" altText="Check Box 16">
                <anchor moveWithCells="true" sizeWithCells="false">
                  <from>
                    <xdr:col>2</xdr:col>
                    <xdr:colOff>6480</xdr:colOff>
                    <xdr:row>70</xdr:row>
                    <xdr:rowOff>48960</xdr:rowOff>
                  </from>
                  <to>
                    <xdr:col>3</xdr:col>
                    <xdr:colOff>0</xdr:colOff>
                    <xdr:row>71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2" name="Registration Paid">
              <controlPr defaultSize="0" locked="1" autoFill="0" autoLine="0" autoPict="0" print="true" altText="Check Box 18">
                <anchor moveWithCells="true" sizeWithCells="false">
                  <from>
                    <xdr:col>2</xdr:col>
                    <xdr:colOff>6480</xdr:colOff>
                    <xdr:row>75</xdr:row>
                    <xdr:rowOff>48960</xdr:rowOff>
                  </from>
                  <to>
                    <xdr:col>3</xdr:col>
                    <xdr:colOff>0</xdr:colOff>
                    <xdr:row>76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3" name="Registration Paid">
              <controlPr defaultSize="0" locked="1" autoFill="0" autoLine="0" autoPict="0" print="true" altText="Check Box 20">
                <anchor moveWithCells="true" sizeWithCells="false">
                  <from>
                    <xdr:col>2</xdr:col>
                    <xdr:colOff>6480</xdr:colOff>
                    <xdr:row>80</xdr:row>
                    <xdr:rowOff>48600</xdr:rowOff>
                  </from>
                  <to>
                    <xdr:col>3</xdr:col>
                    <xdr:colOff>0</xdr:colOff>
                    <xdr:row>81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4" name="Registration Paid">
              <controlPr defaultSize="0" locked="1" autoFill="0" autoLine="0" autoPict="0" print="true" altText="Check Box 22">
                <anchor moveWithCells="true" sizeWithCells="false">
                  <from>
                    <xdr:col>2</xdr:col>
                    <xdr:colOff>6480</xdr:colOff>
                    <xdr:row>103</xdr:row>
                    <xdr:rowOff>68040</xdr:rowOff>
                  </from>
                  <to>
                    <xdr:col>3</xdr:col>
                    <xdr:colOff>0</xdr:colOff>
                    <xdr:row>104</xdr:row>
                    <xdr:rowOff>86760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5" name="Registration Paid">
              <controlPr defaultSize="0" locked="1" autoFill="0" autoLine="0" autoPict="0" print="true" altText="Check Box 24">
                <anchor moveWithCells="true" sizeWithCells="false">
                  <from>
                    <xdr:col>2</xdr:col>
                    <xdr:colOff>6480</xdr:colOff>
                    <xdr:row>108</xdr:row>
                    <xdr:rowOff>68040</xdr:rowOff>
                  </from>
                  <to>
                    <xdr:col>3</xdr:col>
                    <xdr:colOff>0</xdr:colOff>
                    <xdr:row>109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6" name="Registration Paid">
              <controlPr defaultSize="0" locked="1" autoFill="0" autoLine="0" autoPict="0" print="true" altText="Check Box 26">
                <anchor moveWithCells="true" sizeWithCells="false">
                  <from>
                    <xdr:col>2</xdr:col>
                    <xdr:colOff>6480</xdr:colOff>
                    <xdr:row>113</xdr:row>
                    <xdr:rowOff>68040</xdr:rowOff>
                  </from>
                  <to>
                    <xdr:col>3</xdr:col>
                    <xdr:colOff>0</xdr:colOff>
                    <xdr:row>114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7" name="Registration Paid">
              <controlPr defaultSize="0" locked="1" autoFill="0" autoLine="0" autoPict="0" print="true" altText="Check Box 28">
                <anchor moveWithCells="true" sizeWithCells="false">
                  <from>
                    <xdr:col>2</xdr:col>
                    <xdr:colOff>6480</xdr:colOff>
                    <xdr:row>118</xdr:row>
                    <xdr:rowOff>68040</xdr:rowOff>
                  </from>
                  <to>
                    <xdr:col>3</xdr:col>
                    <xdr:colOff>0</xdr:colOff>
                    <xdr:row>119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8" name="Registration Paid">
              <controlPr defaultSize="0" locked="1" autoFill="0" autoLine="0" autoPict="0" print="true" altText="Check Box 30">
                <anchor moveWithCells="true" sizeWithCells="false">
                  <from>
                    <xdr:col>2</xdr:col>
                    <xdr:colOff>6480</xdr:colOff>
                    <xdr:row>123</xdr:row>
                    <xdr:rowOff>67680</xdr:rowOff>
                  </from>
                  <to>
                    <xdr:col>3</xdr:col>
                    <xdr:colOff>0</xdr:colOff>
                    <xdr:row>124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9" name="Registration Paid">
              <controlPr defaultSize="0" locked="1" autoFill="0" autoLine="0" autoPict="0" print="true" altText="Check Box 32">
                <anchor moveWithCells="true" sizeWithCells="false">
                  <from>
                    <xdr:col>2</xdr:col>
                    <xdr:colOff>6480</xdr:colOff>
                    <xdr:row>146</xdr:row>
                    <xdr:rowOff>86760</xdr:rowOff>
                  </from>
                  <to>
                    <xdr:col>3</xdr:col>
                    <xdr:colOff>0</xdr:colOff>
                    <xdr:row>147</xdr:row>
                    <xdr:rowOff>105840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20" name="Registration Paid">
              <controlPr defaultSize="0" locked="1" autoFill="0" autoLine="0" autoPict="0" print="true" altText="Check Box 34">
                <anchor moveWithCells="true" sizeWithCells="false">
                  <from>
                    <xdr:col>2</xdr:col>
                    <xdr:colOff>6480</xdr:colOff>
                    <xdr:row>151</xdr:row>
                    <xdr:rowOff>87120</xdr:rowOff>
                  </from>
                  <to>
                    <xdr:col>3</xdr:col>
                    <xdr:colOff>0</xdr:colOff>
                    <xdr:row>152</xdr:row>
                    <xdr:rowOff>105840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1" name="Registration Paid">
              <controlPr defaultSize="0" locked="1" autoFill="0" autoLine="0" autoPict="0" print="true" altText="Check Box 36">
                <anchor moveWithCells="true" sizeWithCells="false">
                  <from>
                    <xdr:col>2</xdr:col>
                    <xdr:colOff>6480</xdr:colOff>
                    <xdr:row>156</xdr:row>
                    <xdr:rowOff>87120</xdr:rowOff>
                  </from>
                  <to>
                    <xdr:col>3</xdr:col>
                    <xdr:colOff>0</xdr:colOff>
                    <xdr:row>157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2" name="Registration Paid">
              <controlPr defaultSize="0" locked="1" autoFill="0" autoLine="0" autoPict="0" print="true" altText="Check Box 38">
                <anchor moveWithCells="true" sizeWithCells="false">
                  <from>
                    <xdr:col>2</xdr:col>
                    <xdr:colOff>6480</xdr:colOff>
                    <xdr:row>161</xdr:row>
                    <xdr:rowOff>87120</xdr:rowOff>
                  </from>
                  <to>
                    <xdr:col>3</xdr:col>
                    <xdr:colOff>0</xdr:colOff>
                    <xdr:row>162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3" name="Registration Paid">
              <controlPr defaultSize="0" locked="1" autoFill="0" autoLine="0" autoPict="0" print="true" altText="Check Box 40">
                <anchor moveWithCells="true" sizeWithCells="false">
                  <from>
                    <xdr:col>2</xdr:col>
                    <xdr:colOff>6480</xdr:colOff>
                    <xdr:row>166</xdr:row>
                    <xdr:rowOff>87120</xdr:rowOff>
                  </from>
                  <to>
                    <xdr:col>3</xdr:col>
                    <xdr:colOff>0</xdr:colOff>
                    <xdr:row>167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4" name="Registration Paid">
              <controlPr defaultSize="0" locked="1" autoFill="0" autoLine="0" autoPict="0" print="true" altText="Check Box 42">
                <anchor moveWithCells="true" sizeWithCells="false">
                  <from>
                    <xdr:col>2</xdr:col>
                    <xdr:colOff>6480</xdr:colOff>
                    <xdr:row>189</xdr:row>
                    <xdr:rowOff>105840</xdr:rowOff>
                  </from>
                  <to>
                    <xdr:col>3</xdr:col>
                    <xdr:colOff>0</xdr:colOff>
                    <xdr:row>190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25" name="Registration Paid">
              <controlPr defaultSize="0" locked="1" autoFill="0" autoLine="0" autoPict="0" print="true" altText="Check Box 44">
                <anchor moveWithCells="true" sizeWithCells="false">
                  <from>
                    <xdr:col>2</xdr:col>
                    <xdr:colOff>6480</xdr:colOff>
                    <xdr:row>194</xdr:row>
                    <xdr:rowOff>105840</xdr:rowOff>
                  </from>
                  <to>
                    <xdr:col>3</xdr:col>
                    <xdr:colOff>0</xdr:colOff>
                    <xdr:row>195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" r:id="rId26" name="Registration Paid">
              <controlPr defaultSize="0" locked="1" autoFill="0" autoLine="0" autoPict="0" print="true" altText="Check Box 46">
                <anchor moveWithCells="true" sizeWithCells="false">
                  <from>
                    <xdr:col>2</xdr:col>
                    <xdr:colOff>6480</xdr:colOff>
                    <xdr:row>199</xdr:row>
                    <xdr:rowOff>106200</xdr:rowOff>
                  </from>
                  <to>
                    <xdr:col>3</xdr:col>
                    <xdr:colOff>0</xdr:colOff>
                    <xdr:row>200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" r:id="rId27" name="Registration Paid">
              <controlPr defaultSize="0" locked="1" autoFill="0" autoLine="0" autoPict="0" print="true" altText="Check Box 48">
                <anchor moveWithCells="true" sizeWithCells="false">
                  <from>
                    <xdr:col>2</xdr:col>
                    <xdr:colOff>6480</xdr:colOff>
                    <xdr:row>204</xdr:row>
                    <xdr:rowOff>106200</xdr:rowOff>
                  </from>
                  <to>
                    <xdr:col>3</xdr:col>
                    <xdr:colOff>0</xdr:colOff>
                    <xdr:row>205</xdr:row>
                    <xdr:rowOff>125280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8" name="Registration Paid">
              <controlPr defaultSize="0" locked="1" autoFill="0" autoLine="0" autoPict="0" print="true" altText="Check Box 50">
                <anchor moveWithCells="true" sizeWithCells="false">
                  <from>
                    <xdr:col>2</xdr:col>
                    <xdr:colOff>6480</xdr:colOff>
                    <xdr:row>209</xdr:row>
                    <xdr:rowOff>106200</xdr:rowOff>
                  </from>
                  <to>
                    <xdr:col>3</xdr:col>
                    <xdr:colOff>0</xdr:colOff>
                    <xdr:row>210</xdr:row>
                    <xdr:rowOff>125280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Registration Paid">
              <controlPr defaultSize="0" locked="1" autoFill="0" autoLine="0" autoPict="0" print="true" altText="Check Box 52">
                <anchor moveWithCells="true" sizeWithCells="false">
                  <from>
                    <xdr:col>2</xdr:col>
                    <xdr:colOff>6480</xdr:colOff>
                    <xdr:row>232</xdr:row>
                    <xdr:rowOff>124920</xdr:rowOff>
                  </from>
                  <to>
                    <xdr:col>3</xdr:col>
                    <xdr:colOff>0</xdr:colOff>
                    <xdr:row>233</xdr:row>
                    <xdr:rowOff>144360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Registration Paid">
              <controlPr defaultSize="0" locked="1" autoFill="0" autoLine="0" autoPict="0" print="true" altText="Check Box 54">
                <anchor moveWithCells="true" sizeWithCells="false">
                  <from>
                    <xdr:col>2</xdr:col>
                    <xdr:colOff>6480</xdr:colOff>
                    <xdr:row>237</xdr:row>
                    <xdr:rowOff>124920</xdr:rowOff>
                  </from>
                  <to>
                    <xdr:col>3</xdr:col>
                    <xdr:colOff>0</xdr:colOff>
                    <xdr:row>238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Registration Paid">
              <controlPr defaultSize="0" locked="1" autoFill="0" autoLine="0" autoPict="0" print="true" altText="Check Box 56">
                <anchor moveWithCells="true" sizeWithCells="false">
                  <from>
                    <xdr:col>2</xdr:col>
                    <xdr:colOff>6480</xdr:colOff>
                    <xdr:row>242</xdr:row>
                    <xdr:rowOff>124920</xdr:rowOff>
                  </from>
                  <to>
                    <xdr:col>3</xdr:col>
                    <xdr:colOff>0</xdr:colOff>
                    <xdr:row>243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Registration Paid">
              <controlPr defaultSize="0" locked="1" autoFill="0" autoLine="0" autoPict="0" print="true" altText="Check Box 58">
                <anchor moveWithCells="true" sizeWithCells="false">
                  <from>
                    <xdr:col>2</xdr:col>
                    <xdr:colOff>6480</xdr:colOff>
                    <xdr:row>247</xdr:row>
                    <xdr:rowOff>125280</xdr:rowOff>
                  </from>
                  <to>
                    <xdr:col>3</xdr:col>
                    <xdr:colOff>0</xdr:colOff>
                    <xdr:row>248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3" name="Registration Paid">
              <controlPr defaultSize="0" locked="1" autoFill="0" autoLine="0" autoPict="0" print="true" altText="Check Box 60">
                <anchor moveWithCells="true" sizeWithCells="false">
                  <from>
                    <xdr:col>2</xdr:col>
                    <xdr:colOff>6480</xdr:colOff>
                    <xdr:row>252</xdr:row>
                    <xdr:rowOff>125280</xdr:rowOff>
                  </from>
                  <to>
                    <xdr:col>3</xdr:col>
                    <xdr:colOff>0</xdr:colOff>
                    <xdr:row>253</xdr:row>
                    <xdr:rowOff>144360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4" name="Registration Paid">
              <controlPr defaultSize="0" locked="1" autoFill="0" autoLine="0" autoPict="0" print="true" altText="Check Box 62">
                <anchor moveWithCells="true" sizeWithCells="false">
                  <from>
                    <xdr:col>2</xdr:col>
                    <xdr:colOff>6480</xdr:colOff>
                    <xdr:row>275</xdr:row>
                    <xdr:rowOff>144000</xdr:rowOff>
                  </from>
                  <to>
                    <xdr:col>3</xdr:col>
                    <xdr:colOff>0</xdr:colOff>
                    <xdr:row>276</xdr:row>
                    <xdr:rowOff>163440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5" name="Registration Paid">
              <controlPr defaultSize="0" locked="1" autoFill="0" autoLine="0" autoPict="0" print="true" altText="Check Box 64">
                <anchor moveWithCells="true" sizeWithCells="false">
                  <from>
                    <xdr:col>2</xdr:col>
                    <xdr:colOff>6480</xdr:colOff>
                    <xdr:row>280</xdr:row>
                    <xdr:rowOff>144000</xdr:rowOff>
                  </from>
                  <to>
                    <xdr:col>3</xdr:col>
                    <xdr:colOff>0</xdr:colOff>
                    <xdr:row>281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6" name="Registration Paid">
              <controlPr defaultSize="0" locked="1" autoFill="0" autoLine="0" autoPict="0" print="true" altText="Check Box 66">
                <anchor moveWithCells="true" sizeWithCells="false">
                  <from>
                    <xdr:col>2</xdr:col>
                    <xdr:colOff>6480</xdr:colOff>
                    <xdr:row>285</xdr:row>
                    <xdr:rowOff>144000</xdr:rowOff>
                  </from>
                  <to>
                    <xdr:col>3</xdr:col>
                    <xdr:colOff>0</xdr:colOff>
                    <xdr:row>286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7" name="Registration Paid">
              <controlPr defaultSize="0" locked="1" autoFill="0" autoLine="0" autoPict="0" print="true" altText="Check Box 68">
                <anchor moveWithCells="true" sizeWithCells="false">
                  <from>
                    <xdr:col>2</xdr:col>
                    <xdr:colOff>6480</xdr:colOff>
                    <xdr:row>290</xdr:row>
                    <xdr:rowOff>144000</xdr:rowOff>
                  </from>
                  <to>
                    <xdr:col>3</xdr:col>
                    <xdr:colOff>0</xdr:colOff>
                    <xdr:row>291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8" name="Registration Paid">
              <controlPr defaultSize="0" locked="1" autoFill="0" autoLine="0" autoPict="0" print="true" altText="Check Box 70">
                <anchor moveWithCells="true" sizeWithCells="false">
                  <from>
                    <xdr:col>2</xdr:col>
                    <xdr:colOff>6480</xdr:colOff>
                    <xdr:row>295</xdr:row>
                    <xdr:rowOff>144360</xdr:rowOff>
                  </from>
                  <to>
                    <xdr:col>3</xdr:col>
                    <xdr:colOff>0</xdr:colOff>
                    <xdr:row>296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9" name="Registration Paid">
              <controlPr defaultSize="0" locked="1" autoFill="0" autoLine="0" autoPict="0" print="true" altText="Check Box 72">
                <anchor moveWithCells="true" sizeWithCells="false">
                  <from>
                    <xdr:col>2</xdr:col>
                    <xdr:colOff>6480</xdr:colOff>
                    <xdr:row>318</xdr:row>
                    <xdr:rowOff>163440</xdr:rowOff>
                  </from>
                  <to>
                    <xdr:col>3</xdr:col>
                    <xdr:colOff>0</xdr:colOff>
                    <xdr:row>319</xdr:row>
                    <xdr:rowOff>182520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Registration Paid">
              <controlPr defaultSize="0" locked="1" autoFill="0" autoLine="0" autoPict="0" print="true" altText="Check Box 74">
                <anchor moveWithCells="true" sizeWithCells="false">
                  <from>
                    <xdr:col>2</xdr:col>
                    <xdr:colOff>6480</xdr:colOff>
                    <xdr:row>323</xdr:row>
                    <xdr:rowOff>163080</xdr:rowOff>
                  </from>
                  <to>
                    <xdr:col>3</xdr:col>
                    <xdr:colOff>0</xdr:colOff>
                    <xdr:row>324</xdr:row>
                    <xdr:rowOff>182520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1" name="Registration Paid">
              <controlPr defaultSize="0" locked="1" autoFill="0" autoLine="0" autoPict="0" print="true" altText="Check Box 76">
                <anchor moveWithCells="true" sizeWithCells="false">
                  <from>
                    <xdr:col>2</xdr:col>
                    <xdr:colOff>6480</xdr:colOff>
                    <xdr:row>328</xdr:row>
                    <xdr:rowOff>163080</xdr:rowOff>
                  </from>
                  <to>
                    <xdr:col>3</xdr:col>
                    <xdr:colOff>0</xdr:colOff>
                    <xdr:row>329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2" name="Registration Paid">
              <controlPr defaultSize="0" locked="1" autoFill="0" autoLine="0" autoPict="0" print="true" altText="Check Box 78">
                <anchor moveWithCells="true" sizeWithCells="false">
                  <from>
                    <xdr:col>2</xdr:col>
                    <xdr:colOff>6480</xdr:colOff>
                    <xdr:row>333</xdr:row>
                    <xdr:rowOff>163080</xdr:rowOff>
                  </from>
                  <to>
                    <xdr:col>3</xdr:col>
                    <xdr:colOff>0</xdr:colOff>
                    <xdr:row>334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3" name="Registration Paid">
              <controlPr defaultSize="0" locked="1" autoFill="0" autoLine="0" autoPict="0" print="true" altText="Check Box 80">
                <anchor moveWithCells="true" sizeWithCells="false">
                  <from>
                    <xdr:col>2</xdr:col>
                    <xdr:colOff>6480</xdr:colOff>
                    <xdr:row>338</xdr:row>
                    <xdr:rowOff>163080</xdr:rowOff>
                  </from>
                  <to>
                    <xdr:col>3</xdr:col>
                    <xdr:colOff>0</xdr:colOff>
                    <xdr:row>339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4" name="Registration Paid">
              <controlPr defaultSize="0" locked="1" autoFill="0" autoLine="0" autoPict="0" print="true" altText="Check Box 82">
                <anchor moveWithCells="true" sizeWithCells="false">
                  <from>
                    <xdr:col>2</xdr:col>
                    <xdr:colOff>6480</xdr:colOff>
                    <xdr:row>361</xdr:row>
                    <xdr:rowOff>182520</xdr:rowOff>
                  </from>
                  <to>
                    <xdr:col>3</xdr:col>
                    <xdr:colOff>0</xdr:colOff>
                    <xdr:row>363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5" name="Registration Paid">
              <controlPr defaultSize="0" locked="1" autoFill="0" autoLine="0" autoPict="0" print="true" altText="Check Box 84">
                <anchor moveWithCells="true" sizeWithCells="false">
                  <from>
                    <xdr:col>2</xdr:col>
                    <xdr:colOff>6480</xdr:colOff>
                    <xdr:row>366</xdr:row>
                    <xdr:rowOff>182160</xdr:rowOff>
                  </from>
                  <to>
                    <xdr:col>3</xdr:col>
                    <xdr:colOff>0</xdr:colOff>
                    <xdr:row>368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6" name="Registration Paid">
              <controlPr defaultSize="0" locked="1" autoFill="0" autoLine="0" autoPict="0" print="true" altText="Check Box 86">
                <anchor moveWithCells="true" sizeWithCells="false">
                  <from>
                    <xdr:col>2</xdr:col>
                    <xdr:colOff>6480</xdr:colOff>
                    <xdr:row>371</xdr:row>
                    <xdr:rowOff>182160</xdr:rowOff>
                  </from>
                  <to>
                    <xdr:col>3</xdr:col>
                    <xdr:colOff>0</xdr:colOff>
                    <xdr:row>373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7" name="Registration Paid">
              <controlPr defaultSize="0" locked="1" autoFill="0" autoLine="0" autoPict="0" print="true" altText="Check Box 88">
                <anchor moveWithCells="true" sizeWithCells="false">
                  <from>
                    <xdr:col>2</xdr:col>
                    <xdr:colOff>6480</xdr:colOff>
                    <xdr:row>376</xdr:row>
                    <xdr:rowOff>182160</xdr:rowOff>
                  </from>
                  <to>
                    <xdr:col>3</xdr:col>
                    <xdr:colOff>0</xdr:colOff>
                    <xdr:row>378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8" name="Registration Paid">
              <controlPr defaultSize="0" locked="1" autoFill="0" autoLine="0" autoPict="0" print="true" altText="Check Box 90">
                <anchor moveWithCells="true" sizeWithCells="false">
                  <from>
                    <xdr:col>2</xdr:col>
                    <xdr:colOff>6480</xdr:colOff>
                    <xdr:row>381</xdr:row>
                    <xdr:rowOff>182160</xdr:rowOff>
                  </from>
                  <to>
                    <xdr:col>3</xdr:col>
                    <xdr:colOff>0</xdr:colOff>
                    <xdr:row>383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9" name="Registration Paid">
              <controlPr defaultSize="0" locked="1" autoFill="0" autoLine="0" autoPict="0" print="true" altText="Check Box 92">
                <anchor moveWithCells="true" sizeWithCells="false">
                  <from>
                    <xdr:col>2</xdr:col>
                    <xdr:colOff>6480</xdr:colOff>
                    <xdr:row>405</xdr:row>
                    <xdr:rowOff>10800</xdr:rowOff>
                  </from>
                  <to>
                    <xdr:col>3</xdr:col>
                    <xdr:colOff>0</xdr:colOff>
                    <xdr:row>406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0" name="Registration Paid">
              <controlPr defaultSize="0" locked="1" autoFill="0" autoLine="0" autoPict="0" print="true" altText="Check Box 94">
                <anchor moveWithCells="true" sizeWithCells="false">
                  <from>
                    <xdr:col>2</xdr:col>
                    <xdr:colOff>6480</xdr:colOff>
                    <xdr:row>410</xdr:row>
                    <xdr:rowOff>10800</xdr:rowOff>
                  </from>
                  <to>
                    <xdr:col>3</xdr:col>
                    <xdr:colOff>0</xdr:colOff>
                    <xdr:row>411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1" name="Registration Paid">
              <controlPr defaultSize="0" locked="1" autoFill="0" autoLine="0" autoPict="0" print="true" altText="Check Box 96">
                <anchor moveWithCells="true" sizeWithCells="false">
                  <from>
                    <xdr:col>2</xdr:col>
                    <xdr:colOff>6480</xdr:colOff>
                    <xdr:row>415</xdr:row>
                    <xdr:rowOff>10800</xdr:rowOff>
                  </from>
                  <to>
                    <xdr:col>3</xdr:col>
                    <xdr:colOff>0</xdr:colOff>
                    <xdr:row>416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2" name="Registration Paid">
              <controlPr defaultSize="0" locked="1" autoFill="0" autoLine="0" autoPict="0" print="true" altText="Check Box 98">
                <anchor moveWithCells="true" sizeWithCells="false">
                  <from>
                    <xdr:col>2</xdr:col>
                    <xdr:colOff>6480</xdr:colOff>
                    <xdr:row>420</xdr:row>
                    <xdr:rowOff>10800</xdr:rowOff>
                  </from>
                  <to>
                    <xdr:col>3</xdr:col>
                    <xdr:colOff>0</xdr:colOff>
                    <xdr:row>421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3" name="Registration Paid">
              <controlPr defaultSize="0" locked="1" autoFill="0" autoLine="0" autoPict="0" print="true" altText="Check Box 100">
                <anchor moveWithCells="true" sizeWithCells="false">
                  <from>
                    <xdr:col>2</xdr:col>
                    <xdr:colOff>6480</xdr:colOff>
                    <xdr:row>425</xdr:row>
                    <xdr:rowOff>10800</xdr:rowOff>
                  </from>
                  <to>
                    <xdr:col>3</xdr:col>
                    <xdr:colOff>0</xdr:colOff>
                    <xdr:row>426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4" name="Registration Paid">
              <controlPr defaultSize="0" locked="1" autoFill="0" autoLine="0" autoPict="0" print="true" altText="Check Box 102">
                <anchor moveWithCells="true" sizeWithCells="false">
                  <from>
                    <xdr:col>5</xdr:col>
                    <xdr:colOff>6480</xdr:colOff>
                    <xdr:row>17</xdr:row>
                    <xdr:rowOff>29880</xdr:rowOff>
                  </from>
                  <to>
                    <xdr:col>6</xdr:col>
                    <xdr:colOff>0</xdr:colOff>
                    <xdr:row>18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5" name="Registration Paid">
              <controlPr defaultSize="0" locked="1" autoFill="0" autoLine="0" autoPict="0" print="true" altText="Check Box 104">
                <anchor moveWithCells="true" sizeWithCells="false">
                  <from>
                    <xdr:col>5</xdr:col>
                    <xdr:colOff>6480</xdr:colOff>
                    <xdr:row>22</xdr:row>
                    <xdr:rowOff>29880</xdr:rowOff>
                  </from>
                  <to>
                    <xdr:col>6</xdr:col>
                    <xdr:colOff>0</xdr:colOff>
                    <xdr:row>23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6" name="Registration Paid">
              <controlPr defaultSize="0" locked="1" autoFill="0" autoLine="0" autoPict="0" print="true" altText="Check Box 106">
                <anchor moveWithCells="true" sizeWithCells="false">
                  <from>
                    <xdr:col>5</xdr:col>
                    <xdr:colOff>6480</xdr:colOff>
                    <xdr:row>27</xdr:row>
                    <xdr:rowOff>29880</xdr:rowOff>
                  </from>
                  <to>
                    <xdr:col>6</xdr:col>
                    <xdr:colOff>0</xdr:colOff>
                    <xdr:row>28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7" name="Registration Paid">
              <controlPr defaultSize="0" locked="1" autoFill="0" autoLine="0" autoPict="0" print="true" altText="Check Box 108">
                <anchor moveWithCells="true" sizeWithCells="false">
                  <from>
                    <xdr:col>5</xdr:col>
                    <xdr:colOff>6480</xdr:colOff>
                    <xdr:row>32</xdr:row>
                    <xdr:rowOff>29520</xdr:rowOff>
                  </from>
                  <to>
                    <xdr:col>6</xdr:col>
                    <xdr:colOff>0</xdr:colOff>
                    <xdr:row>33</xdr:row>
                    <xdr:rowOff>48960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8" name="Registration Paid">
              <controlPr defaultSize="0" locked="1" autoFill="0" autoLine="0" autoPict="0" print="true" altText="Check Box 110">
                <anchor moveWithCells="true" sizeWithCells="false">
                  <from>
                    <xdr:col>5</xdr:col>
                    <xdr:colOff>6480</xdr:colOff>
                    <xdr:row>37</xdr:row>
                    <xdr:rowOff>29880</xdr:rowOff>
                  </from>
                  <to>
                    <xdr:col>6</xdr:col>
                    <xdr:colOff>0</xdr:colOff>
                    <xdr:row>38</xdr:row>
                    <xdr:rowOff>48600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9" name="Registration Paid">
              <controlPr defaultSize="0" locked="1" autoFill="0" autoLine="0" autoPict="0" print="true" altText="Check Box 112">
                <anchor moveWithCells="true" sizeWithCells="false">
                  <from>
                    <xdr:col>5</xdr:col>
                    <xdr:colOff>6480</xdr:colOff>
                    <xdr:row>60</xdr:row>
                    <xdr:rowOff>48960</xdr:rowOff>
                  </from>
                  <to>
                    <xdr:col>6</xdr:col>
                    <xdr:colOff>0</xdr:colOff>
                    <xdr:row>61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0" name="Registration Paid">
              <controlPr defaultSize="0" locked="1" autoFill="0" autoLine="0" autoPict="0" print="true" altText="Check Box 114">
                <anchor moveWithCells="true" sizeWithCells="false">
                  <from>
                    <xdr:col>5</xdr:col>
                    <xdr:colOff>6480</xdr:colOff>
                    <xdr:row>65</xdr:row>
                    <xdr:rowOff>48960</xdr:rowOff>
                  </from>
                  <to>
                    <xdr:col>6</xdr:col>
                    <xdr:colOff>0</xdr:colOff>
                    <xdr:row>66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1" name="Registration Paid">
              <controlPr defaultSize="0" locked="1" autoFill="0" autoLine="0" autoPict="0" print="true" altText="Check Box 116">
                <anchor moveWithCells="true" sizeWithCells="false">
                  <from>
                    <xdr:col>5</xdr:col>
                    <xdr:colOff>6480</xdr:colOff>
                    <xdr:row>70</xdr:row>
                    <xdr:rowOff>48960</xdr:rowOff>
                  </from>
                  <to>
                    <xdr:col>6</xdr:col>
                    <xdr:colOff>0</xdr:colOff>
                    <xdr:row>71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2" name="Registration Paid">
              <controlPr defaultSize="0" locked="1" autoFill="0" autoLine="0" autoPict="0" print="true" altText="Check Box 118">
                <anchor moveWithCells="true" sizeWithCells="false">
                  <from>
                    <xdr:col>5</xdr:col>
                    <xdr:colOff>6480</xdr:colOff>
                    <xdr:row>75</xdr:row>
                    <xdr:rowOff>48960</xdr:rowOff>
                  </from>
                  <to>
                    <xdr:col>6</xdr:col>
                    <xdr:colOff>0</xdr:colOff>
                    <xdr:row>76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3" name="Registration Paid">
              <controlPr defaultSize="0" locked="1" autoFill="0" autoLine="0" autoPict="0" print="true" altText="Check Box 120">
                <anchor moveWithCells="true" sizeWithCells="false">
                  <from>
                    <xdr:col>5</xdr:col>
                    <xdr:colOff>6480</xdr:colOff>
                    <xdr:row>80</xdr:row>
                    <xdr:rowOff>48600</xdr:rowOff>
                  </from>
                  <to>
                    <xdr:col>6</xdr:col>
                    <xdr:colOff>0</xdr:colOff>
                    <xdr:row>81</xdr:row>
                    <xdr:rowOff>68040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4" name="Registration Paid">
              <controlPr defaultSize="0" locked="1" autoFill="0" autoLine="0" autoPict="0" print="true" altText="Check Box 122">
                <anchor moveWithCells="true" sizeWithCells="false">
                  <from>
                    <xdr:col>5</xdr:col>
                    <xdr:colOff>6480</xdr:colOff>
                    <xdr:row>103</xdr:row>
                    <xdr:rowOff>68040</xdr:rowOff>
                  </from>
                  <to>
                    <xdr:col>6</xdr:col>
                    <xdr:colOff>0</xdr:colOff>
                    <xdr:row>104</xdr:row>
                    <xdr:rowOff>86760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5" name="Registration Paid">
              <controlPr defaultSize="0" locked="1" autoFill="0" autoLine="0" autoPict="0" print="true" altText="Check Box 124">
                <anchor moveWithCells="true" sizeWithCells="false">
                  <from>
                    <xdr:col>5</xdr:col>
                    <xdr:colOff>6480</xdr:colOff>
                    <xdr:row>108</xdr:row>
                    <xdr:rowOff>68040</xdr:rowOff>
                  </from>
                  <to>
                    <xdr:col>6</xdr:col>
                    <xdr:colOff>0</xdr:colOff>
                    <xdr:row>109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6" name="Registration Paid">
              <controlPr defaultSize="0" locked="1" autoFill="0" autoLine="0" autoPict="0" print="true" altText="Check Box 126">
                <anchor moveWithCells="true" sizeWithCells="false">
                  <from>
                    <xdr:col>5</xdr:col>
                    <xdr:colOff>6480</xdr:colOff>
                    <xdr:row>113</xdr:row>
                    <xdr:rowOff>68040</xdr:rowOff>
                  </from>
                  <to>
                    <xdr:col>6</xdr:col>
                    <xdr:colOff>0</xdr:colOff>
                    <xdr:row>114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7" name="Registration Paid">
              <controlPr defaultSize="0" locked="1" autoFill="0" autoLine="0" autoPict="0" print="true" altText="Check Box 128">
                <anchor moveWithCells="true" sizeWithCells="false">
                  <from>
                    <xdr:col>5</xdr:col>
                    <xdr:colOff>6480</xdr:colOff>
                    <xdr:row>118</xdr:row>
                    <xdr:rowOff>68040</xdr:rowOff>
                  </from>
                  <to>
                    <xdr:col>6</xdr:col>
                    <xdr:colOff>0</xdr:colOff>
                    <xdr:row>119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68" name="Registration Paid">
              <controlPr defaultSize="0" locked="1" autoFill="0" autoLine="0" autoPict="0" print="true" altText="Check Box 130">
                <anchor moveWithCells="true" sizeWithCells="false">
                  <from>
                    <xdr:col>5</xdr:col>
                    <xdr:colOff>6480</xdr:colOff>
                    <xdr:row>123</xdr:row>
                    <xdr:rowOff>67680</xdr:rowOff>
                  </from>
                  <to>
                    <xdr:col>6</xdr:col>
                    <xdr:colOff>0</xdr:colOff>
                    <xdr:row>124</xdr:row>
                    <xdr:rowOff>87120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Registration Paid">
              <controlPr defaultSize="0" locked="1" autoFill="0" autoLine="0" autoPict="0" print="true" altText="Check Box 132">
                <anchor moveWithCells="true" sizeWithCells="false">
                  <from>
                    <xdr:col>5</xdr:col>
                    <xdr:colOff>6480</xdr:colOff>
                    <xdr:row>146</xdr:row>
                    <xdr:rowOff>86760</xdr:rowOff>
                  </from>
                  <to>
                    <xdr:col>6</xdr:col>
                    <xdr:colOff>0</xdr:colOff>
                    <xdr:row>147</xdr:row>
                    <xdr:rowOff>105840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70" name="Registration Paid">
              <controlPr defaultSize="0" locked="1" autoFill="0" autoLine="0" autoPict="0" print="true" altText="Check Box 134">
                <anchor moveWithCells="true" sizeWithCells="false">
                  <from>
                    <xdr:col>5</xdr:col>
                    <xdr:colOff>6480</xdr:colOff>
                    <xdr:row>151</xdr:row>
                    <xdr:rowOff>87120</xdr:rowOff>
                  </from>
                  <to>
                    <xdr:col>6</xdr:col>
                    <xdr:colOff>0</xdr:colOff>
                    <xdr:row>152</xdr:row>
                    <xdr:rowOff>105840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71" name="Registration Paid">
              <controlPr defaultSize="0" locked="1" autoFill="0" autoLine="0" autoPict="0" print="true" altText="Check Box 136">
                <anchor moveWithCells="true" sizeWithCells="false">
                  <from>
                    <xdr:col>5</xdr:col>
                    <xdr:colOff>6480</xdr:colOff>
                    <xdr:row>156</xdr:row>
                    <xdr:rowOff>87120</xdr:rowOff>
                  </from>
                  <to>
                    <xdr:col>6</xdr:col>
                    <xdr:colOff>0</xdr:colOff>
                    <xdr:row>157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2" name="Registration Paid">
              <controlPr defaultSize="0" locked="1" autoFill="0" autoLine="0" autoPict="0" print="true" altText="Check Box 138">
                <anchor moveWithCells="true" sizeWithCells="false">
                  <from>
                    <xdr:col>5</xdr:col>
                    <xdr:colOff>6480</xdr:colOff>
                    <xdr:row>161</xdr:row>
                    <xdr:rowOff>87120</xdr:rowOff>
                  </from>
                  <to>
                    <xdr:col>6</xdr:col>
                    <xdr:colOff>0</xdr:colOff>
                    <xdr:row>162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3" name="Registration Paid">
              <controlPr defaultSize="0" locked="1" autoFill="0" autoLine="0" autoPict="0" print="true" altText="Check Box 140">
                <anchor moveWithCells="true" sizeWithCells="false">
                  <from>
                    <xdr:col>5</xdr:col>
                    <xdr:colOff>6480</xdr:colOff>
                    <xdr:row>166</xdr:row>
                    <xdr:rowOff>87120</xdr:rowOff>
                  </from>
                  <to>
                    <xdr:col>6</xdr:col>
                    <xdr:colOff>0</xdr:colOff>
                    <xdr:row>167</xdr:row>
                    <xdr:rowOff>106200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4" name="Registration Paid">
              <controlPr defaultSize="0" locked="1" autoFill="0" autoLine="0" autoPict="0" print="true" altText="Check Box 142">
                <anchor moveWithCells="true" sizeWithCells="false">
                  <from>
                    <xdr:col>5</xdr:col>
                    <xdr:colOff>6480</xdr:colOff>
                    <xdr:row>189</xdr:row>
                    <xdr:rowOff>105840</xdr:rowOff>
                  </from>
                  <to>
                    <xdr:col>6</xdr:col>
                    <xdr:colOff>0</xdr:colOff>
                    <xdr:row>190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5" name="Registration Paid">
              <controlPr defaultSize="0" locked="1" autoFill="0" autoLine="0" autoPict="0" print="true" altText="Check Box 144">
                <anchor moveWithCells="true" sizeWithCells="false">
                  <from>
                    <xdr:col>5</xdr:col>
                    <xdr:colOff>6480</xdr:colOff>
                    <xdr:row>194</xdr:row>
                    <xdr:rowOff>105840</xdr:rowOff>
                  </from>
                  <to>
                    <xdr:col>6</xdr:col>
                    <xdr:colOff>0</xdr:colOff>
                    <xdr:row>195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6" name="Registration Paid">
              <controlPr defaultSize="0" locked="1" autoFill="0" autoLine="0" autoPict="0" print="true" altText="Check Box 146">
                <anchor moveWithCells="true" sizeWithCells="false">
                  <from>
                    <xdr:col>5</xdr:col>
                    <xdr:colOff>6480</xdr:colOff>
                    <xdr:row>199</xdr:row>
                    <xdr:rowOff>106200</xdr:rowOff>
                  </from>
                  <to>
                    <xdr:col>6</xdr:col>
                    <xdr:colOff>0</xdr:colOff>
                    <xdr:row>200</xdr:row>
                    <xdr:rowOff>124920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7" name="Registration Paid">
              <controlPr defaultSize="0" locked="1" autoFill="0" autoLine="0" autoPict="0" print="true" altText="Check Box 148">
                <anchor moveWithCells="true" sizeWithCells="false">
                  <from>
                    <xdr:col>5</xdr:col>
                    <xdr:colOff>6480</xdr:colOff>
                    <xdr:row>204</xdr:row>
                    <xdr:rowOff>106200</xdr:rowOff>
                  </from>
                  <to>
                    <xdr:col>6</xdr:col>
                    <xdr:colOff>0</xdr:colOff>
                    <xdr:row>205</xdr:row>
                    <xdr:rowOff>125280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8" name="Registration Paid">
              <controlPr defaultSize="0" locked="1" autoFill="0" autoLine="0" autoPict="0" print="true" altText="Check Box 150">
                <anchor moveWithCells="true" sizeWithCells="false">
                  <from>
                    <xdr:col>5</xdr:col>
                    <xdr:colOff>6480</xdr:colOff>
                    <xdr:row>209</xdr:row>
                    <xdr:rowOff>106200</xdr:rowOff>
                  </from>
                  <to>
                    <xdr:col>6</xdr:col>
                    <xdr:colOff>0</xdr:colOff>
                    <xdr:row>210</xdr:row>
                    <xdr:rowOff>125280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9" name="Registration Paid">
              <controlPr defaultSize="0" locked="1" autoFill="0" autoLine="0" autoPict="0" print="true" altText="Check Box 152">
                <anchor moveWithCells="true" sizeWithCells="false">
                  <from>
                    <xdr:col>5</xdr:col>
                    <xdr:colOff>6480</xdr:colOff>
                    <xdr:row>232</xdr:row>
                    <xdr:rowOff>124920</xdr:rowOff>
                  </from>
                  <to>
                    <xdr:col>6</xdr:col>
                    <xdr:colOff>0</xdr:colOff>
                    <xdr:row>233</xdr:row>
                    <xdr:rowOff>144360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80" name="Registration Paid">
              <controlPr defaultSize="0" locked="1" autoFill="0" autoLine="0" autoPict="0" print="true" altText="Check Box 154">
                <anchor moveWithCells="true" sizeWithCells="false">
                  <from>
                    <xdr:col>5</xdr:col>
                    <xdr:colOff>6480</xdr:colOff>
                    <xdr:row>237</xdr:row>
                    <xdr:rowOff>124920</xdr:rowOff>
                  </from>
                  <to>
                    <xdr:col>6</xdr:col>
                    <xdr:colOff>0</xdr:colOff>
                    <xdr:row>238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1" name="Registration Paid">
              <controlPr defaultSize="0" locked="1" autoFill="0" autoLine="0" autoPict="0" print="true" altText="Check Box 156">
                <anchor moveWithCells="true" sizeWithCells="false">
                  <from>
                    <xdr:col>5</xdr:col>
                    <xdr:colOff>6480</xdr:colOff>
                    <xdr:row>242</xdr:row>
                    <xdr:rowOff>124920</xdr:rowOff>
                  </from>
                  <to>
                    <xdr:col>6</xdr:col>
                    <xdr:colOff>0</xdr:colOff>
                    <xdr:row>243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2" name="Registration Paid">
              <controlPr defaultSize="0" locked="1" autoFill="0" autoLine="0" autoPict="0" print="true" altText="Check Box 158">
                <anchor moveWithCells="true" sizeWithCells="false">
                  <from>
                    <xdr:col>5</xdr:col>
                    <xdr:colOff>6480</xdr:colOff>
                    <xdr:row>247</xdr:row>
                    <xdr:rowOff>125280</xdr:rowOff>
                  </from>
                  <to>
                    <xdr:col>6</xdr:col>
                    <xdr:colOff>0</xdr:colOff>
                    <xdr:row>248</xdr:row>
                    <xdr:rowOff>144000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3" name="Registration Paid">
              <controlPr defaultSize="0" locked="1" autoFill="0" autoLine="0" autoPict="0" print="true" altText="Check Box 160">
                <anchor moveWithCells="true" sizeWithCells="false">
                  <from>
                    <xdr:col>5</xdr:col>
                    <xdr:colOff>6480</xdr:colOff>
                    <xdr:row>252</xdr:row>
                    <xdr:rowOff>125280</xdr:rowOff>
                  </from>
                  <to>
                    <xdr:col>6</xdr:col>
                    <xdr:colOff>0</xdr:colOff>
                    <xdr:row>253</xdr:row>
                    <xdr:rowOff>144360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4" name="Registration Paid">
              <controlPr defaultSize="0" locked="1" autoFill="0" autoLine="0" autoPict="0" print="true" altText="Check Box 162">
                <anchor moveWithCells="true" sizeWithCells="false">
                  <from>
                    <xdr:col>5</xdr:col>
                    <xdr:colOff>6480</xdr:colOff>
                    <xdr:row>275</xdr:row>
                    <xdr:rowOff>144000</xdr:rowOff>
                  </from>
                  <to>
                    <xdr:col>6</xdr:col>
                    <xdr:colOff>0</xdr:colOff>
                    <xdr:row>276</xdr:row>
                    <xdr:rowOff>163440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85" name="Registration Paid">
              <controlPr defaultSize="0" locked="1" autoFill="0" autoLine="0" autoPict="0" print="true" altText="Check Box 164">
                <anchor moveWithCells="true" sizeWithCells="false">
                  <from>
                    <xdr:col>5</xdr:col>
                    <xdr:colOff>6480</xdr:colOff>
                    <xdr:row>280</xdr:row>
                    <xdr:rowOff>144000</xdr:rowOff>
                  </from>
                  <to>
                    <xdr:col>6</xdr:col>
                    <xdr:colOff>0</xdr:colOff>
                    <xdr:row>281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86" name="Registration Paid">
              <controlPr defaultSize="0" locked="1" autoFill="0" autoLine="0" autoPict="0" print="true" altText="Check Box 166">
                <anchor moveWithCells="true" sizeWithCells="false">
                  <from>
                    <xdr:col>5</xdr:col>
                    <xdr:colOff>6480</xdr:colOff>
                    <xdr:row>285</xdr:row>
                    <xdr:rowOff>144000</xdr:rowOff>
                  </from>
                  <to>
                    <xdr:col>6</xdr:col>
                    <xdr:colOff>0</xdr:colOff>
                    <xdr:row>286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87" name="Registration Paid">
              <controlPr defaultSize="0" locked="1" autoFill="0" autoLine="0" autoPict="0" print="true" altText="Check Box 168">
                <anchor moveWithCells="true" sizeWithCells="false">
                  <from>
                    <xdr:col>5</xdr:col>
                    <xdr:colOff>6480</xdr:colOff>
                    <xdr:row>290</xdr:row>
                    <xdr:rowOff>144000</xdr:rowOff>
                  </from>
                  <to>
                    <xdr:col>6</xdr:col>
                    <xdr:colOff>0</xdr:colOff>
                    <xdr:row>291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88" name="Registration Paid">
              <controlPr defaultSize="0" locked="1" autoFill="0" autoLine="0" autoPict="0" print="true" altText="Check Box 170">
                <anchor moveWithCells="true" sizeWithCells="false">
                  <from>
                    <xdr:col>5</xdr:col>
                    <xdr:colOff>6480</xdr:colOff>
                    <xdr:row>295</xdr:row>
                    <xdr:rowOff>144360</xdr:rowOff>
                  </from>
                  <to>
                    <xdr:col>6</xdr:col>
                    <xdr:colOff>0</xdr:colOff>
                    <xdr:row>296</xdr:row>
                    <xdr:rowOff>163080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9" name="Registration Paid">
              <controlPr defaultSize="0" locked="1" autoFill="0" autoLine="0" autoPict="0" print="true" altText="Check Box 172">
                <anchor moveWithCells="true" sizeWithCells="false">
                  <from>
                    <xdr:col>5</xdr:col>
                    <xdr:colOff>6480</xdr:colOff>
                    <xdr:row>318</xdr:row>
                    <xdr:rowOff>163440</xdr:rowOff>
                  </from>
                  <to>
                    <xdr:col>6</xdr:col>
                    <xdr:colOff>0</xdr:colOff>
                    <xdr:row>319</xdr:row>
                    <xdr:rowOff>182520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0" name="Registration Paid">
              <controlPr defaultSize="0" locked="1" autoFill="0" autoLine="0" autoPict="0" print="true" altText="Check Box 174">
                <anchor moveWithCells="true" sizeWithCells="false">
                  <from>
                    <xdr:col>5</xdr:col>
                    <xdr:colOff>6480</xdr:colOff>
                    <xdr:row>323</xdr:row>
                    <xdr:rowOff>163080</xdr:rowOff>
                  </from>
                  <to>
                    <xdr:col>6</xdr:col>
                    <xdr:colOff>0</xdr:colOff>
                    <xdr:row>324</xdr:row>
                    <xdr:rowOff>182520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1" name="Registration Paid">
              <controlPr defaultSize="0" locked="1" autoFill="0" autoLine="0" autoPict="0" print="true" altText="Check Box 176">
                <anchor moveWithCells="true" sizeWithCells="false">
                  <from>
                    <xdr:col>5</xdr:col>
                    <xdr:colOff>6480</xdr:colOff>
                    <xdr:row>328</xdr:row>
                    <xdr:rowOff>163080</xdr:rowOff>
                  </from>
                  <to>
                    <xdr:col>6</xdr:col>
                    <xdr:colOff>0</xdr:colOff>
                    <xdr:row>329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2" name="Registration Paid">
              <controlPr defaultSize="0" locked="1" autoFill="0" autoLine="0" autoPict="0" print="true" altText="Check Box 178">
                <anchor moveWithCells="true" sizeWithCells="false">
                  <from>
                    <xdr:col>5</xdr:col>
                    <xdr:colOff>6480</xdr:colOff>
                    <xdr:row>333</xdr:row>
                    <xdr:rowOff>163080</xdr:rowOff>
                  </from>
                  <to>
                    <xdr:col>6</xdr:col>
                    <xdr:colOff>0</xdr:colOff>
                    <xdr:row>334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3" name="Registration Paid">
              <controlPr defaultSize="0" locked="1" autoFill="0" autoLine="0" autoPict="0" print="true" altText="Check Box 180">
                <anchor moveWithCells="true" sizeWithCells="false">
                  <from>
                    <xdr:col>5</xdr:col>
                    <xdr:colOff>6480</xdr:colOff>
                    <xdr:row>338</xdr:row>
                    <xdr:rowOff>163080</xdr:rowOff>
                  </from>
                  <to>
                    <xdr:col>6</xdr:col>
                    <xdr:colOff>0</xdr:colOff>
                    <xdr:row>339</xdr:row>
                    <xdr:rowOff>182160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94" name="Registration Paid">
              <controlPr defaultSize="0" locked="1" autoFill="0" autoLine="0" autoPict="0" print="true" altText="Check Box 182">
                <anchor moveWithCells="true" sizeWithCells="false">
                  <from>
                    <xdr:col>5</xdr:col>
                    <xdr:colOff>6480</xdr:colOff>
                    <xdr:row>361</xdr:row>
                    <xdr:rowOff>182520</xdr:rowOff>
                  </from>
                  <to>
                    <xdr:col>6</xdr:col>
                    <xdr:colOff>0</xdr:colOff>
                    <xdr:row>363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5" name="Registration Paid">
              <controlPr defaultSize="0" locked="1" autoFill="0" autoLine="0" autoPict="0" print="true" altText="Check Box 184">
                <anchor moveWithCells="true" sizeWithCells="false">
                  <from>
                    <xdr:col>5</xdr:col>
                    <xdr:colOff>6480</xdr:colOff>
                    <xdr:row>366</xdr:row>
                    <xdr:rowOff>182160</xdr:rowOff>
                  </from>
                  <to>
                    <xdr:col>6</xdr:col>
                    <xdr:colOff>0</xdr:colOff>
                    <xdr:row>368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96" name="Registration Paid">
              <controlPr defaultSize="0" locked="1" autoFill="0" autoLine="0" autoPict="0" print="true" altText="Check Box 186">
                <anchor moveWithCells="true" sizeWithCells="false">
                  <from>
                    <xdr:col>5</xdr:col>
                    <xdr:colOff>6480</xdr:colOff>
                    <xdr:row>371</xdr:row>
                    <xdr:rowOff>182160</xdr:rowOff>
                  </from>
                  <to>
                    <xdr:col>6</xdr:col>
                    <xdr:colOff>0</xdr:colOff>
                    <xdr:row>373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97" name="Registration Paid">
              <controlPr defaultSize="0" locked="1" autoFill="0" autoLine="0" autoPict="0" print="true" altText="Check Box 188">
                <anchor moveWithCells="true" sizeWithCells="false">
                  <from>
                    <xdr:col>5</xdr:col>
                    <xdr:colOff>6480</xdr:colOff>
                    <xdr:row>376</xdr:row>
                    <xdr:rowOff>182160</xdr:rowOff>
                  </from>
                  <to>
                    <xdr:col>6</xdr:col>
                    <xdr:colOff>0</xdr:colOff>
                    <xdr:row>378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8" name="Registration Paid">
              <controlPr defaultSize="0" locked="1" autoFill="0" autoLine="0" autoPict="0" print="true" altText="Check Box 190">
                <anchor moveWithCells="true" sizeWithCells="false">
                  <from>
                    <xdr:col>5</xdr:col>
                    <xdr:colOff>6480</xdr:colOff>
                    <xdr:row>381</xdr:row>
                    <xdr:rowOff>182160</xdr:rowOff>
                  </from>
                  <to>
                    <xdr:col>6</xdr:col>
                    <xdr:colOff>0</xdr:colOff>
                    <xdr:row>383</xdr:row>
                    <xdr:rowOff>10800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99" name="Registration Paid">
              <controlPr defaultSize="0" locked="1" autoFill="0" autoLine="0" autoPict="0" print="true" altText="Check Box 192">
                <anchor moveWithCells="true" sizeWithCells="false">
                  <from>
                    <xdr:col>5</xdr:col>
                    <xdr:colOff>6480</xdr:colOff>
                    <xdr:row>405</xdr:row>
                    <xdr:rowOff>10800</xdr:rowOff>
                  </from>
                  <to>
                    <xdr:col>6</xdr:col>
                    <xdr:colOff>0</xdr:colOff>
                    <xdr:row>406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0" name="Registration Paid">
              <controlPr defaultSize="0" locked="1" autoFill="0" autoLine="0" autoPict="0" print="true" altText="Check Box 194">
                <anchor moveWithCells="true" sizeWithCells="false">
                  <from>
                    <xdr:col>5</xdr:col>
                    <xdr:colOff>6480</xdr:colOff>
                    <xdr:row>410</xdr:row>
                    <xdr:rowOff>10800</xdr:rowOff>
                  </from>
                  <to>
                    <xdr:col>6</xdr:col>
                    <xdr:colOff>0</xdr:colOff>
                    <xdr:row>411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01" name="Registration Paid">
              <controlPr defaultSize="0" locked="1" autoFill="0" autoLine="0" autoPict="0" print="true" altText="Check Box 196">
                <anchor moveWithCells="true" sizeWithCells="false">
                  <from>
                    <xdr:col>5</xdr:col>
                    <xdr:colOff>6480</xdr:colOff>
                    <xdr:row>415</xdr:row>
                    <xdr:rowOff>10800</xdr:rowOff>
                  </from>
                  <to>
                    <xdr:col>6</xdr:col>
                    <xdr:colOff>0</xdr:colOff>
                    <xdr:row>416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2" name="Registration Paid">
              <controlPr defaultSize="0" locked="1" autoFill="0" autoLine="0" autoPict="0" print="true" altText="Check Box 198">
                <anchor moveWithCells="true" sizeWithCells="false">
                  <from>
                    <xdr:col>5</xdr:col>
                    <xdr:colOff>6480</xdr:colOff>
                    <xdr:row>420</xdr:row>
                    <xdr:rowOff>10800</xdr:rowOff>
                  </from>
                  <to>
                    <xdr:col>6</xdr:col>
                    <xdr:colOff>0</xdr:colOff>
                    <xdr:row>421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3" name="Registration Paid">
              <controlPr defaultSize="0" locked="1" autoFill="0" autoLine="0" autoPict="0" print="true" altText="Check Box 200">
                <anchor moveWithCells="true" sizeWithCells="false">
                  <from>
                    <xdr:col>5</xdr:col>
                    <xdr:colOff>6480</xdr:colOff>
                    <xdr:row>425</xdr:row>
                    <xdr:rowOff>10800</xdr:rowOff>
                  </from>
                  <to>
                    <xdr:col>6</xdr:col>
                    <xdr:colOff>0</xdr:colOff>
                    <xdr:row>426</xdr:row>
                    <xdr:rowOff>29880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4" name="Button 202">
              <controlPr defaultSize="0" print="false" autoFill="0" autoPict="0" macro="Module1.Return_To_Menu">
                <anchor moveWithCells="true" sizeWithCells="false">
                  <from>
                    <xdr:col>4</xdr:col>
                    <xdr:colOff>0</xdr:colOff>
                    <xdr:row>2</xdr:row>
                    <xdr:rowOff>10800</xdr:rowOff>
                  </from>
                  <to>
                    <xdr:col>5</xdr:col>
                    <xdr:colOff>0</xdr:colOff>
                    <xdr:row>4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B12" colorId="64" zoomScale="100" zoomScaleNormal="100" zoomScalePageLayoutView="100" workbookViewId="0">
      <selection pane="topLeft" activeCell="G13" activeCellId="0" sqref="G1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269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40</v>
      </c>
      <c r="C5" s="151" t="n">
        <v>0</v>
      </c>
      <c r="D5" s="78" t="n">
        <v>0</v>
      </c>
      <c r="F5" s="21" t="str">
        <f aca="false">B!$E$18</f>
        <v>PABLO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40</v>
      </c>
      <c r="C6" s="151" t="n">
        <v>0</v>
      </c>
      <c r="D6" s="78" t="n">
        <v>0</v>
      </c>
      <c r="F6" s="21" t="str">
        <f aca="false">B!$E$23</f>
        <v>ERIC</v>
      </c>
      <c r="G6" s="78" t="n">
        <v>35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40</v>
      </c>
      <c r="C7" s="151" t="n">
        <v>0</v>
      </c>
      <c r="D7" s="78" t="n">
        <v>0</v>
      </c>
      <c r="F7" s="21" t="str">
        <f aca="false">B!$E$28</f>
        <v>SABRINA</v>
      </c>
      <c r="G7" s="78" t="n">
        <v>29</v>
      </c>
      <c r="H7" s="151" t="n">
        <v>5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40</v>
      </c>
      <c r="C8" s="151" t="n">
        <v>0</v>
      </c>
      <c r="D8" s="78" t="n">
        <v>0</v>
      </c>
      <c r="F8" s="21" t="str">
        <f aca="false">B!$E$33</f>
        <v>NICK</v>
      </c>
      <c r="G8" s="78" t="n">
        <v>39</v>
      </c>
      <c r="H8" s="151" t="n">
        <v>5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40</v>
      </c>
      <c r="C9" s="151" t="n">
        <v>0</v>
      </c>
      <c r="D9" s="78" t="n">
        <v>0</v>
      </c>
      <c r="F9" s="21" t="str">
        <f aca="false">B!$E$38</f>
        <v>LON</v>
      </c>
      <c r="G9" s="78" t="n">
        <v>37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177</v>
      </c>
      <c r="H14" s="161" t="n">
        <f aca="false">SUM(H5:H12)</f>
        <v>10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46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38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27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43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30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184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46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42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41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39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34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202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42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31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40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42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38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193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46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33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43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35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37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194</v>
      </c>
      <c r="C66" s="159" t="n">
        <f aca="false">SUM(C57:C64)</f>
        <v>20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34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39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22</v>
      </c>
      <c r="C72" s="151" t="n">
        <v>10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43</v>
      </c>
      <c r="C73" s="151" t="n">
        <v>10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38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176</v>
      </c>
      <c r="C79" s="159" t="n">
        <f aca="false">SUM(C70:C77)</f>
        <v>25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34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46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39</v>
      </c>
      <c r="C86" s="151" t="n">
        <v>10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41</v>
      </c>
      <c r="C87" s="151" t="n">
        <v>10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210</v>
      </c>
      <c r="C92" s="159" t="n">
        <f aca="false">SUM(C83:C90)</f>
        <v>20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45</v>
      </c>
      <c r="C96" s="151" t="n">
        <v>20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40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37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39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44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205</v>
      </c>
      <c r="C105" s="159" t="n">
        <f aca="false">SUM(C96:C103)</f>
        <v>20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47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34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29</v>
      </c>
      <c r="C111" s="151" t="n">
        <v>25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34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40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184</v>
      </c>
      <c r="C118" s="159" t="n">
        <f aca="false">SUM(C109:C116)</f>
        <v>25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46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50</v>
      </c>
      <c r="C123" s="151" t="n">
        <v>25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28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40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41</v>
      </c>
      <c r="C126" s="151" t="n">
        <v>20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205</v>
      </c>
      <c r="C131" s="159" t="n">
        <f aca="false">SUM(C122:C129)</f>
        <v>45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83" colorId="64" zoomScale="100" zoomScaleNormal="100" zoomScalePageLayoutView="100" workbookViewId="0">
      <selection pane="topLeft" activeCell="C128" activeCellId="0" sqref="C128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35</v>
      </c>
      <c r="C5" s="151" t="n">
        <v>0</v>
      </c>
      <c r="D5" s="78" t="n">
        <v>0</v>
      </c>
      <c r="F5" s="21" t="str">
        <f aca="false">B!$E$18</f>
        <v>PABLO</v>
      </c>
      <c r="G5" s="78" t="n">
        <v>46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25</v>
      </c>
      <c r="C6" s="151" t="n">
        <v>0</v>
      </c>
      <c r="D6" s="78" t="n">
        <v>0</v>
      </c>
      <c r="F6" s="21" t="str">
        <f aca="false">B!$E$23</f>
        <v>ERIC</v>
      </c>
      <c r="G6" s="78" t="n">
        <v>50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28</v>
      </c>
      <c r="C7" s="151" t="n">
        <v>0</v>
      </c>
      <c r="D7" s="78" t="n">
        <v>0</v>
      </c>
      <c r="F7" s="21" t="str">
        <f aca="false">B!$E$28</f>
        <v>SABRINA</v>
      </c>
      <c r="G7" s="78" t="n">
        <v>46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37</v>
      </c>
      <c r="C8" s="151" t="n">
        <v>0</v>
      </c>
      <c r="D8" s="78" t="n">
        <v>0</v>
      </c>
      <c r="F8" s="21" t="str">
        <f aca="false">B!$E$33</f>
        <v>NICK</v>
      </c>
      <c r="G8" s="78" t="n">
        <v>35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37</v>
      </c>
      <c r="C9" s="151" t="n">
        <v>0</v>
      </c>
      <c r="D9" s="78" t="n">
        <v>0</v>
      </c>
      <c r="F9" s="21" t="str">
        <f aca="false">B!$E$38</f>
        <v>LON</v>
      </c>
      <c r="G9" s="78" t="n">
        <v>45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18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20.7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242.7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40</v>
      </c>
      <c r="C18" s="151" t="n">
        <v>0</v>
      </c>
      <c r="D18" s="78" t="n">
        <v>0</v>
      </c>
      <c r="F18" s="21" t="n">
        <f aca="false">B!$E$61</f>
        <v>1</v>
      </c>
      <c r="G18" s="78" t="n">
        <v>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40</v>
      </c>
      <c r="C19" s="151" t="n">
        <v>0</v>
      </c>
      <c r="D19" s="78" t="n">
        <v>0</v>
      </c>
      <c r="F19" s="21" t="n">
        <f aca="false">B!$E$66</f>
        <v>2</v>
      </c>
      <c r="G19" s="78" t="n">
        <v>1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40</v>
      </c>
      <c r="C20" s="151" t="n">
        <v>0</v>
      </c>
      <c r="D20" s="78" t="n">
        <v>0</v>
      </c>
      <c r="F20" s="21" t="n">
        <f aca="false">B!$E$71</f>
        <v>3</v>
      </c>
      <c r="G20" s="78" t="n">
        <v>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40</v>
      </c>
      <c r="C21" s="151" t="n">
        <v>0</v>
      </c>
      <c r="D21" s="78" t="n">
        <v>0</v>
      </c>
      <c r="F21" s="21" t="n">
        <f aca="false">B!$E$76</f>
        <v>4</v>
      </c>
      <c r="G21" s="78" t="n">
        <v>1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40</v>
      </c>
      <c r="C22" s="151" t="n">
        <v>0</v>
      </c>
      <c r="D22" s="78" t="n">
        <v>0</v>
      </c>
      <c r="F22" s="21" t="n">
        <f aca="false">B!$E$81</f>
        <v>5</v>
      </c>
      <c r="G22" s="78" t="n">
        <v>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200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5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40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30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33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39</v>
      </c>
      <c r="C34" s="151" t="n">
        <v>10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37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179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33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42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38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33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33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179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46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41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45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42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31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7.2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212.2</v>
      </c>
      <c r="C66" s="159" t="n">
        <f aca="false">SUM(C57:C64)</f>
        <v>20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43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50</v>
      </c>
      <c r="C71" s="151" t="n">
        <v>5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23</v>
      </c>
      <c r="C72" s="151" t="n">
        <v>10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41</v>
      </c>
      <c r="C73" s="151" t="n">
        <v>10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39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15.3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211.3</v>
      </c>
      <c r="C79" s="159" t="n">
        <f aca="false">SUM(C70:C77)</f>
        <v>30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42</v>
      </c>
      <c r="C83" s="151" t="n">
        <v>40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19</v>
      </c>
      <c r="C84" s="151" t="n">
        <v>30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36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41</v>
      </c>
      <c r="C86" s="151" t="n">
        <v>20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38</v>
      </c>
      <c r="C87" s="151" t="n">
        <v>20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176</v>
      </c>
      <c r="C92" s="159" t="n">
        <f aca="false">SUM(C83:C90)</f>
        <v>110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34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35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47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34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33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183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27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41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29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34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42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23.4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196.4</v>
      </c>
      <c r="C118" s="159" t="n">
        <f aca="false">SUM(C109:C116)</f>
        <v>20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42</v>
      </c>
      <c r="C123" s="151" t="n">
        <v>5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35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41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25</v>
      </c>
      <c r="C126" s="151" t="n">
        <v>5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183</v>
      </c>
      <c r="C131" s="159" t="n">
        <f aca="false">SUM(C122:C129)</f>
        <v>10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273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44</v>
      </c>
      <c r="C5" s="151" t="n">
        <v>0</v>
      </c>
      <c r="D5" s="78" t="n">
        <v>0</v>
      </c>
      <c r="F5" s="21" t="str">
        <f aca="false">B!$E$18</f>
        <v>PABLO</v>
      </c>
      <c r="G5" s="78" t="n">
        <v>39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22</v>
      </c>
      <c r="C6" s="151" t="n">
        <v>10</v>
      </c>
      <c r="D6" s="78" t="n">
        <v>0</v>
      </c>
      <c r="F6" s="21" t="str">
        <f aca="false">B!$E$23</f>
        <v>ERIC</v>
      </c>
      <c r="G6" s="78" t="n">
        <v>45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26</v>
      </c>
      <c r="C7" s="151" t="n">
        <v>0</v>
      </c>
      <c r="D7" s="78" t="n">
        <v>0</v>
      </c>
      <c r="F7" s="21" t="str">
        <f aca="false">B!$E$28</f>
        <v>SABRINA</v>
      </c>
      <c r="G7" s="78" t="n">
        <v>39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38</v>
      </c>
      <c r="C8" s="151" t="n">
        <v>0</v>
      </c>
      <c r="D8" s="78" t="n">
        <v>0</v>
      </c>
      <c r="F8" s="21" t="str">
        <f aca="false">B!$E$33</f>
        <v>NICK</v>
      </c>
      <c r="G8" s="78" t="n">
        <v>33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30</v>
      </c>
      <c r="C9" s="151" t="n">
        <v>60</v>
      </c>
      <c r="D9" s="78" t="n">
        <v>0</v>
      </c>
      <c r="F9" s="21" t="str">
        <f aca="false">B!$E$38</f>
        <v>LON</v>
      </c>
      <c r="G9" s="78" t="n">
        <v>41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8.55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168.55</v>
      </c>
      <c r="C14" s="159" t="n">
        <f aca="false">SUM(C5:C12)</f>
        <v>70</v>
      </c>
      <c r="D14" s="158" t="n">
        <f aca="false">SUM(D5:D12)</f>
        <v>0</v>
      </c>
      <c r="F14" s="150" t="s">
        <v>29</v>
      </c>
      <c r="G14" s="160" t="n">
        <f aca="false">SUM(G5:G13)</f>
        <v>197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37</v>
      </c>
      <c r="C18" s="151" t="n">
        <v>20</v>
      </c>
      <c r="D18" s="78" t="n">
        <v>0</v>
      </c>
      <c r="F18" s="21" t="n">
        <f aca="false">B!$E$61</f>
        <v>1</v>
      </c>
      <c r="G18" s="78" t="n">
        <v>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26</v>
      </c>
      <c r="C19" s="151" t="n">
        <v>0</v>
      </c>
      <c r="D19" s="78" t="n">
        <v>0</v>
      </c>
      <c r="F19" s="21" t="n">
        <f aca="false">B!$E$66</f>
        <v>2</v>
      </c>
      <c r="G19" s="78" t="n">
        <v>1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31</v>
      </c>
      <c r="C20" s="151" t="n">
        <v>0</v>
      </c>
      <c r="D20" s="78" t="n">
        <v>0</v>
      </c>
      <c r="F20" s="21" t="n">
        <f aca="false">B!$E$71</f>
        <v>3</v>
      </c>
      <c r="G20" s="78" t="n">
        <v>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23</v>
      </c>
      <c r="C21" s="151" t="n">
        <v>0</v>
      </c>
      <c r="D21" s="78" t="n">
        <v>0</v>
      </c>
      <c r="F21" s="21" t="n">
        <f aca="false">B!$E$76</f>
        <v>4</v>
      </c>
      <c r="G21" s="78" t="n">
        <v>1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24</v>
      </c>
      <c r="C22" s="151" t="n">
        <v>0</v>
      </c>
      <c r="D22" s="78" t="n">
        <v>0</v>
      </c>
      <c r="F22" s="21" t="n">
        <f aca="false">B!$E$81</f>
        <v>5</v>
      </c>
      <c r="G22" s="78" t="n">
        <v>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1.8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142.8</v>
      </c>
      <c r="C27" s="159" t="n">
        <f aca="false">SUM(C18:C25)</f>
        <v>20</v>
      </c>
      <c r="D27" s="158" t="n">
        <f aca="false">SUM(D18:D25)</f>
        <v>0</v>
      </c>
      <c r="F27" s="150" t="s">
        <v>29</v>
      </c>
      <c r="G27" s="160" t="n">
        <f aca="false">SUM(G18:G26)</f>
        <v>5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39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36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45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35</v>
      </c>
      <c r="C34" s="151" t="n">
        <v>5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34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189</v>
      </c>
      <c r="C40" s="159" t="n">
        <f aca="false">SUM(C31:C38)</f>
        <v>5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42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27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38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29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36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172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41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42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47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42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39</v>
      </c>
      <c r="C61" s="151" t="n">
        <v>10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211</v>
      </c>
      <c r="C66" s="159" t="n">
        <f aca="false">SUM(C57:C64)</f>
        <v>40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37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35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39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47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38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4.05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200.05</v>
      </c>
      <c r="C79" s="159" t="n">
        <f aca="false">SUM(C70:C77)</f>
        <v>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41</v>
      </c>
      <c r="C83" s="151" t="n">
        <v>5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40</v>
      </c>
      <c r="C84" s="151" t="n">
        <v>5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40</v>
      </c>
      <c r="C85" s="151" t="n">
        <v>5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30</v>
      </c>
      <c r="C86" s="151" t="n">
        <v>5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45</v>
      </c>
      <c r="C87" s="151" t="n">
        <v>5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196</v>
      </c>
      <c r="C92" s="159" t="n">
        <f aca="false">SUM(C83:C90)</f>
        <v>25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40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46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41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26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39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4.95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196.95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40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40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40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40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40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200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47</v>
      </c>
      <c r="C122" s="151" t="n">
        <v>50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50</v>
      </c>
      <c r="C123" s="151" t="n">
        <v>10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50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42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50</v>
      </c>
      <c r="C126" s="151" t="n">
        <v>20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239</v>
      </c>
      <c r="C131" s="159" t="n">
        <f aca="false">SUM(C122:C129)</f>
        <v>80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4" activeCellId="0" sqref="G24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274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50</v>
      </c>
      <c r="C5" s="151" t="n">
        <v>0</v>
      </c>
      <c r="D5" s="78" t="n">
        <v>0</v>
      </c>
      <c r="F5" s="21" t="str">
        <f aca="false">B!$E$18</f>
        <v>PABLO</v>
      </c>
      <c r="G5" s="78" t="n">
        <v>39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32</v>
      </c>
      <c r="C6" s="151" t="n">
        <v>0</v>
      </c>
      <c r="D6" s="78" t="n">
        <v>0</v>
      </c>
      <c r="F6" s="21" t="str">
        <f aca="false">B!$E$23</f>
        <v>ERIC</v>
      </c>
      <c r="G6" s="78" t="n">
        <v>45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32</v>
      </c>
      <c r="C7" s="151" t="n">
        <v>0</v>
      </c>
      <c r="D7" s="78" t="n">
        <v>0</v>
      </c>
      <c r="F7" s="21" t="str">
        <f aca="false">B!$E$28</f>
        <v>SABRINA</v>
      </c>
      <c r="G7" s="78" t="n">
        <v>29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47</v>
      </c>
      <c r="C8" s="151" t="n">
        <v>0</v>
      </c>
      <c r="D8" s="78" t="n">
        <v>0</v>
      </c>
      <c r="F8" s="21" t="str">
        <f aca="false">B!$E$33</f>
        <v>NICK</v>
      </c>
      <c r="G8" s="78" t="n">
        <v>34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26</v>
      </c>
      <c r="C9" s="151" t="n">
        <v>0</v>
      </c>
      <c r="D9" s="78" t="n">
        <v>0</v>
      </c>
      <c r="F9" s="21" t="str">
        <f aca="false">B!$E$38</f>
        <v>LON</v>
      </c>
      <c r="G9" s="78" t="n">
        <v>39</v>
      </c>
      <c r="H9" s="151" t="n">
        <v>130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9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196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186</v>
      </c>
      <c r="H14" s="161" t="n">
        <f aca="false">SUM(H5:H12)</f>
        <v>130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42</v>
      </c>
      <c r="C18" s="151" t="n">
        <v>0</v>
      </c>
      <c r="D18" s="78" t="n">
        <v>0</v>
      </c>
      <c r="F18" s="21" t="n">
        <f aca="false">B!$E$61</f>
        <v>1</v>
      </c>
      <c r="G18" s="78" t="n">
        <v>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32</v>
      </c>
      <c r="C19" s="151" t="n">
        <v>0</v>
      </c>
      <c r="D19" s="78" t="n">
        <v>0</v>
      </c>
      <c r="F19" s="21" t="n">
        <f aca="false">B!$E$66</f>
        <v>2</v>
      </c>
      <c r="G19" s="78" t="n">
        <v>1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42</v>
      </c>
      <c r="C20" s="151" t="n">
        <v>0</v>
      </c>
      <c r="D20" s="78" t="n">
        <v>0</v>
      </c>
      <c r="F20" s="21" t="n">
        <f aca="false">B!$E$71</f>
        <v>3</v>
      </c>
      <c r="G20" s="78" t="n">
        <v>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22</v>
      </c>
      <c r="C21" s="151" t="n">
        <v>0</v>
      </c>
      <c r="D21" s="78" t="n">
        <v>0</v>
      </c>
      <c r="F21" s="21" t="n">
        <f aca="false">B!$E$76</f>
        <v>4</v>
      </c>
      <c r="G21" s="78" t="n">
        <v>1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17</v>
      </c>
      <c r="C22" s="151" t="n">
        <v>0</v>
      </c>
      <c r="D22" s="78" t="n">
        <v>0</v>
      </c>
      <c r="F22" s="21" t="n">
        <f aca="false">B!$E$81</f>
        <v>5</v>
      </c>
      <c r="G22" s="78" t="n">
        <v>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5.7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160.7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5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42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39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41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33</v>
      </c>
      <c r="C34" s="151" t="n">
        <v>5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42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197</v>
      </c>
      <c r="C40" s="159" t="n">
        <f aca="false">SUM(C31:C38)</f>
        <v>5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47</v>
      </c>
      <c r="C44" s="151" t="n">
        <v>20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37</v>
      </c>
      <c r="C45" s="151" t="n">
        <v>20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38</v>
      </c>
      <c r="C46" s="151" t="n">
        <v>20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46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50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218</v>
      </c>
      <c r="C53" s="159" t="n">
        <f aca="false">SUM(C44:C51)</f>
        <v>60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32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40</v>
      </c>
      <c r="C58" s="151" t="n">
        <v>5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47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33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20</v>
      </c>
      <c r="C61" s="151" t="n">
        <v>10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172</v>
      </c>
      <c r="C66" s="159" t="n">
        <f aca="false">SUM(C57:C64)</f>
        <v>30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35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37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27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34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35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3.6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171.6</v>
      </c>
      <c r="C79" s="159" t="n">
        <f aca="false">SUM(C70:C77)</f>
        <v>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43</v>
      </c>
      <c r="C83" s="151" t="n">
        <v>5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35</v>
      </c>
      <c r="C84" s="151" t="n">
        <v>5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47</v>
      </c>
      <c r="C85" s="151" t="n">
        <v>5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40</v>
      </c>
      <c r="C86" s="151" t="n">
        <v>10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42</v>
      </c>
      <c r="C87" s="151" t="n">
        <v>10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8.4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215.4</v>
      </c>
      <c r="C92" s="159" t="n">
        <f aca="false">SUM(C83:C90)</f>
        <v>35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47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33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44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42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42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208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37</v>
      </c>
      <c r="C109" s="151" t="n">
        <v>40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26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34</v>
      </c>
      <c r="C111" s="151" t="n">
        <v>10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39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46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11.7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193.7</v>
      </c>
      <c r="C118" s="159" t="n">
        <f aca="false">SUM(C109:C116)</f>
        <v>70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40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40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40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40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275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41</v>
      </c>
      <c r="C5" s="151" t="n">
        <v>0</v>
      </c>
      <c r="D5" s="78" t="n">
        <v>0</v>
      </c>
      <c r="F5" s="21" t="str">
        <f aca="false">B!$E$18</f>
        <v>PABLO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17</v>
      </c>
      <c r="C6" s="151" t="n">
        <v>0</v>
      </c>
      <c r="D6" s="78" t="n">
        <v>0</v>
      </c>
      <c r="F6" s="21" t="str">
        <f aca="false">B!$E$23</f>
        <v>ERIC</v>
      </c>
      <c r="G6" s="78" t="n">
        <v>46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24</v>
      </c>
      <c r="C7" s="151" t="n">
        <v>0</v>
      </c>
      <c r="D7" s="78" t="n">
        <v>0</v>
      </c>
      <c r="F7" s="21" t="str">
        <f aca="false">B!$E$28</f>
        <v>SABRINA</v>
      </c>
      <c r="G7" s="78" t="n">
        <v>46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20</v>
      </c>
      <c r="C8" s="151" t="n">
        <v>0</v>
      </c>
      <c r="D8" s="78" t="n">
        <v>0</v>
      </c>
      <c r="F8" s="21" t="str">
        <f aca="false">B!$E$33</f>
        <v>NICK</v>
      </c>
      <c r="G8" s="78" t="n">
        <v>40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21</v>
      </c>
      <c r="C9" s="151" t="n">
        <v>0</v>
      </c>
      <c r="D9" s="78" t="n">
        <v>0</v>
      </c>
      <c r="F9" s="21" t="str">
        <f aca="false">B!$E$38</f>
        <v>LON</v>
      </c>
      <c r="G9" s="78" t="n">
        <v>39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22.5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145.5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208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27</v>
      </c>
      <c r="C18" s="151" t="n">
        <v>0</v>
      </c>
      <c r="D18" s="78" t="n">
        <v>0</v>
      </c>
      <c r="F18" s="21" t="n">
        <f aca="false">B!$E$61</f>
        <v>1</v>
      </c>
      <c r="G18" s="78" t="n">
        <v>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25</v>
      </c>
      <c r="C19" s="151" t="n">
        <v>0</v>
      </c>
      <c r="D19" s="78" t="n">
        <v>0</v>
      </c>
      <c r="F19" s="21" t="n">
        <f aca="false">B!$E$66</f>
        <v>2</v>
      </c>
      <c r="G19" s="78" t="n">
        <v>1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44</v>
      </c>
      <c r="C20" s="151" t="n">
        <v>0</v>
      </c>
      <c r="D20" s="78" t="n">
        <v>0</v>
      </c>
      <c r="F20" s="21" t="n">
        <f aca="false">B!$E$71</f>
        <v>3</v>
      </c>
      <c r="G20" s="78" t="n">
        <v>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27</v>
      </c>
      <c r="C21" s="151" t="n">
        <v>0</v>
      </c>
      <c r="D21" s="78" t="n">
        <v>0</v>
      </c>
      <c r="F21" s="21" t="n">
        <f aca="false">B!$E$76</f>
        <v>4</v>
      </c>
      <c r="G21" s="78" t="n">
        <v>1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24</v>
      </c>
      <c r="C22" s="151" t="n">
        <v>0</v>
      </c>
      <c r="D22" s="78" t="n">
        <v>0</v>
      </c>
      <c r="F22" s="21" t="n">
        <f aca="false">B!$E$81</f>
        <v>5</v>
      </c>
      <c r="G22" s="78" t="n">
        <v>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24.53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171.53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5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40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40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40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40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40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40</v>
      </c>
      <c r="C44" s="151" t="n">
        <v>10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33</v>
      </c>
      <c r="C45" s="151" t="n">
        <v>10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35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24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37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169</v>
      </c>
      <c r="C53" s="159" t="n">
        <f aca="false">SUM(C44:C51)</f>
        <v>20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50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35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41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38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34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1.35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199.35</v>
      </c>
      <c r="C66" s="159" t="n">
        <f aca="false">SUM(C57:C64)</f>
        <v>30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35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36</v>
      </c>
      <c r="C71" s="151" t="n">
        <v>5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31</v>
      </c>
      <c r="C72" s="151" t="n">
        <v>15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40</v>
      </c>
      <c r="C73" s="151" t="n">
        <v>15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39</v>
      </c>
      <c r="C74" s="151" t="n">
        <v>5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10.35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191.35</v>
      </c>
      <c r="C79" s="159" t="n">
        <f aca="false">SUM(C70:C77)</f>
        <v>45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50</v>
      </c>
      <c r="C83" s="151" t="n">
        <v>5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46</v>
      </c>
      <c r="C84" s="151" t="n">
        <v>5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44</v>
      </c>
      <c r="C85" s="151" t="n">
        <v>5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46</v>
      </c>
      <c r="C86" s="151" t="n">
        <v>5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44</v>
      </c>
      <c r="C87" s="151" t="n">
        <v>5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230</v>
      </c>
      <c r="C92" s="159" t="n">
        <f aca="false">SUM(C83:C90)</f>
        <v>25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29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43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37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35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40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184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44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47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42</v>
      </c>
      <c r="C111" s="151" t="n">
        <v>5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36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41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5.175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215.175</v>
      </c>
      <c r="C118" s="159" t="n">
        <f aca="false">SUM(C109:C116)</f>
        <v>25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44</v>
      </c>
      <c r="C122" s="151" t="n">
        <v>80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50</v>
      </c>
      <c r="C123" s="151" t="n">
        <v>5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47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47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46</v>
      </c>
      <c r="C126" s="151" t="n">
        <v>20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234</v>
      </c>
      <c r="C131" s="159" t="n">
        <f aca="false">SUM(C122:C129)</f>
        <v>105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276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35</v>
      </c>
      <c r="C5" s="151" t="n">
        <v>0</v>
      </c>
      <c r="D5" s="78" t="n">
        <v>0</v>
      </c>
      <c r="F5" s="21" t="str">
        <f aca="false">B!$E$18</f>
        <v>PABLO</v>
      </c>
      <c r="G5" s="78" t="n">
        <v>40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39</v>
      </c>
      <c r="C6" s="151" t="n">
        <v>0</v>
      </c>
      <c r="D6" s="78" t="n">
        <v>0</v>
      </c>
      <c r="F6" s="21" t="str">
        <f aca="false">B!$E$23</f>
        <v>ERIC</v>
      </c>
      <c r="G6" s="78" t="n">
        <v>35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32</v>
      </c>
      <c r="C7" s="151" t="n">
        <v>0</v>
      </c>
      <c r="D7" s="78" t="n">
        <v>0</v>
      </c>
      <c r="F7" s="21" t="str">
        <f aca="false">B!$E$28</f>
        <v>SABRINA</v>
      </c>
      <c r="G7" s="78" t="n">
        <v>40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40</v>
      </c>
      <c r="C8" s="151" t="n">
        <v>0</v>
      </c>
      <c r="D8" s="78" t="n">
        <v>0</v>
      </c>
      <c r="F8" s="21" t="str">
        <f aca="false">B!$E$33</f>
        <v>NICK</v>
      </c>
      <c r="G8" s="78" t="n">
        <v>17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22</v>
      </c>
      <c r="C9" s="151" t="n">
        <v>0</v>
      </c>
      <c r="D9" s="78" t="n">
        <v>0</v>
      </c>
      <c r="F9" s="21" t="str">
        <f aca="false">B!$E$38</f>
        <v>LON</v>
      </c>
      <c r="G9" s="78" t="n">
        <v>39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14.58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182.58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171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44</v>
      </c>
      <c r="C18" s="151" t="n">
        <v>0</v>
      </c>
      <c r="D18" s="78" t="n">
        <v>0</v>
      </c>
      <c r="F18" s="21" t="n">
        <f aca="false">B!$E$61</f>
        <v>1</v>
      </c>
      <c r="G18" s="78" t="n">
        <v>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40</v>
      </c>
      <c r="C19" s="151" t="n">
        <v>0</v>
      </c>
      <c r="D19" s="78" t="n">
        <v>0</v>
      </c>
      <c r="F19" s="21" t="n">
        <f aca="false">B!$E$66</f>
        <v>2</v>
      </c>
      <c r="G19" s="78" t="n">
        <v>1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37</v>
      </c>
      <c r="C20" s="151" t="n">
        <v>20</v>
      </c>
      <c r="D20" s="78" t="n">
        <v>0</v>
      </c>
      <c r="F20" s="21" t="n">
        <f aca="false">B!$E$71</f>
        <v>3</v>
      </c>
      <c r="G20" s="78" t="n">
        <v>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43</v>
      </c>
      <c r="C21" s="151" t="n">
        <v>20</v>
      </c>
      <c r="D21" s="78" t="n">
        <v>0</v>
      </c>
      <c r="F21" s="21" t="n">
        <f aca="false">B!$E$76</f>
        <v>4</v>
      </c>
      <c r="G21" s="78" t="n">
        <v>1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27</v>
      </c>
      <c r="C22" s="151" t="n">
        <v>0</v>
      </c>
      <c r="D22" s="78" t="n">
        <v>0</v>
      </c>
      <c r="F22" s="21" t="n">
        <f aca="false">B!$E$81</f>
        <v>5</v>
      </c>
      <c r="G22" s="78" t="n">
        <v>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26.1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217.1</v>
      </c>
      <c r="C27" s="159" t="n">
        <f aca="false">SUM(C18:C25)</f>
        <v>40</v>
      </c>
      <c r="D27" s="158" t="n">
        <f aca="false">SUM(D18:D25)</f>
        <v>0</v>
      </c>
      <c r="F27" s="150" t="s">
        <v>29</v>
      </c>
      <c r="G27" s="160" t="n">
        <f aca="false">SUM(G18:G26)</f>
        <v>5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35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31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33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47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50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4.14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200.14</v>
      </c>
      <c r="C40" s="159" t="n">
        <f aca="false">SUM(C31:C38)</f>
        <v>10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44</v>
      </c>
      <c r="C44" s="151" t="n">
        <v>10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37</v>
      </c>
      <c r="C45" s="151" t="n">
        <v>10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37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46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47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211</v>
      </c>
      <c r="C53" s="159" t="n">
        <f aca="false">SUM(C44:C51)</f>
        <v>20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26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34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25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34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30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149</v>
      </c>
      <c r="C66" s="159" t="n">
        <f aca="false">SUM(C57:C64)</f>
        <v>20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38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43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41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34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38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25.92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219.92</v>
      </c>
      <c r="C79" s="159" t="n">
        <f aca="false">SUM(C70:C77)</f>
        <v>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40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40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40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40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40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37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47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40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42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37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203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50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46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35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41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50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5.58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227.58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42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43</v>
      </c>
      <c r="C123" s="151" t="n">
        <v>10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39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34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41</v>
      </c>
      <c r="C126" s="151" t="n">
        <v>10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199</v>
      </c>
      <c r="C131" s="159" t="n">
        <f aca="false">SUM(C122:C129)</f>
        <v>20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77" colorId="64" zoomScale="100" zoomScaleNormal="100" zoomScalePageLayoutView="100" workbookViewId="0">
      <selection pane="topLeft" activeCell="A77" activeCellId="0" sqref="A77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277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41" colorId="64" zoomScale="100" zoomScaleNormal="100" zoomScalePageLayoutView="100" workbookViewId="0">
      <selection pane="topLeft" activeCell="A41" activeCellId="0" sqref="A4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278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56" colorId="64" zoomScale="100" zoomScaleNormal="100" zoomScalePageLayoutView="100" workbookViewId="0">
      <selection pane="topLeft" activeCell="A56" activeCellId="0" sqref="A56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38" colorId="64" zoomScale="100" zoomScaleNormal="100" zoomScalePageLayoutView="100" workbookViewId="0">
      <selection pane="topLeft" activeCell="A38" activeCellId="0" sqref="A38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280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59" colorId="64" zoomScale="100" zoomScaleNormal="100" zoomScalePageLayoutView="100" workbookViewId="0">
      <selection pane="topLeft" activeCell="A59" activeCellId="0" sqref="A59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281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283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284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285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286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287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288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290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291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133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PIRATES OF THE TABLE</v>
      </c>
      <c r="B4" s="12" t="s">
        <v>28</v>
      </c>
      <c r="C4" s="150" t="s">
        <v>209</v>
      </c>
      <c r="D4" s="150" t="s">
        <v>204</v>
      </c>
      <c r="F4" s="149" t="str">
        <f aca="false">B!$E$16</f>
        <v>SPAM FO LUNCH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JASON</v>
      </c>
      <c r="B5" s="78" t="n">
        <v>0</v>
      </c>
      <c r="C5" s="151" t="n">
        <v>0</v>
      </c>
      <c r="D5" s="78" t="n">
        <v>0</v>
      </c>
      <c r="F5" s="21" t="str">
        <f aca="false">B!$E$18</f>
        <v>PABLO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TRAYE</v>
      </c>
      <c r="B6" s="78" t="n">
        <v>0</v>
      </c>
      <c r="C6" s="151" t="n">
        <v>0</v>
      </c>
      <c r="D6" s="78" t="n">
        <v>0</v>
      </c>
      <c r="F6" s="21" t="str">
        <f aca="false">B!$E$23</f>
        <v>ERIC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WC</v>
      </c>
      <c r="B7" s="78" t="n">
        <v>0</v>
      </c>
      <c r="C7" s="151" t="n">
        <v>0</v>
      </c>
      <c r="D7" s="78" t="n">
        <v>0</v>
      </c>
      <c r="F7" s="21" t="str">
        <f aca="false">B!$E$28</f>
        <v>SABRINA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DON</v>
      </c>
      <c r="B8" s="78" t="n">
        <v>0</v>
      </c>
      <c r="C8" s="151" t="n">
        <v>0</v>
      </c>
      <c r="D8" s="78" t="n">
        <v>0</v>
      </c>
      <c r="F8" s="21" t="str">
        <f aca="false">B!$E$33</f>
        <v>NICK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SAM</v>
      </c>
      <c r="B9" s="78" t="n">
        <v>0</v>
      </c>
      <c r="C9" s="151" t="n">
        <v>0</v>
      </c>
      <c r="D9" s="78" t="n">
        <v>0</v>
      </c>
      <c r="F9" s="21" t="str">
        <f aca="false">B!$E$38</f>
        <v>LON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75</v>
      </c>
      <c r="B16" s="146" t="s">
        <v>270</v>
      </c>
      <c r="C16" s="147" t="s">
        <v>271</v>
      </c>
      <c r="D16" s="148" t="s">
        <v>195</v>
      </c>
      <c r="F16" s="5" t="s">
        <v>134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VLADIMIR POOLIN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BYE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LEIGH</v>
      </c>
      <c r="B18" s="78" t="n">
        <v>0</v>
      </c>
      <c r="C18" s="151" t="n">
        <v>0</v>
      </c>
      <c r="D18" s="78" t="n">
        <v>0</v>
      </c>
      <c r="F18" s="21" t="n">
        <f aca="false">B!$E$61</f>
        <v>1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IAN</v>
      </c>
      <c r="B19" s="78" t="n">
        <v>0</v>
      </c>
      <c r="C19" s="151" t="n">
        <v>0</v>
      </c>
      <c r="D19" s="78" t="n">
        <v>0</v>
      </c>
      <c r="F19" s="21" t="n">
        <f aca="false">B!$E$66</f>
        <v>2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ELI</v>
      </c>
      <c r="B20" s="78" t="n">
        <v>0</v>
      </c>
      <c r="C20" s="151" t="n">
        <v>0</v>
      </c>
      <c r="D20" s="78" t="n">
        <v>0</v>
      </c>
      <c r="F20" s="21" t="n">
        <f aca="false">B!$E$71</f>
        <v>3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ROWAN</v>
      </c>
      <c r="B21" s="78" t="n">
        <v>0</v>
      </c>
      <c r="C21" s="151" t="n">
        <v>0</v>
      </c>
      <c r="D21" s="78" t="n">
        <v>0</v>
      </c>
      <c r="F21" s="21" t="n">
        <f aca="false">B!$E$76</f>
        <v>4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JAMES</v>
      </c>
      <c r="B22" s="78" t="n">
        <v>0</v>
      </c>
      <c r="C22" s="151" t="n">
        <v>0</v>
      </c>
      <c r="D22" s="78" t="n">
        <v>0</v>
      </c>
      <c r="F22" s="21" t="n">
        <f aca="false">B!$E$81</f>
        <v>5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99</v>
      </c>
      <c r="B29" s="146" t="s">
        <v>270</v>
      </c>
      <c r="C29" s="147" t="s">
        <v>271</v>
      </c>
      <c r="D29" s="148" t="s">
        <v>195</v>
      </c>
      <c r="F29" s="5" t="s">
        <v>135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RACK PACK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BRENNEN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NICK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IAN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SCOTT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TIM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113</v>
      </c>
      <c r="B42" s="146" t="s">
        <v>270</v>
      </c>
      <c r="C42" s="147" t="s">
        <v>271</v>
      </c>
      <c r="D42" s="148" t="s">
        <v>195</v>
      </c>
      <c r="F42" s="5" t="s">
        <v>136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PKT CHANGE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PATRICK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BRANDY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PJ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CARA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MELISSA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126</v>
      </c>
      <c r="B55" s="146" t="s">
        <v>270</v>
      </c>
      <c r="C55" s="147" t="s">
        <v>271</v>
      </c>
      <c r="D55" s="148" t="s">
        <v>195</v>
      </c>
      <c r="F55" s="5" t="s">
        <v>137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HABOOBS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MIKE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OLGA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DAN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MIKE MO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VICKIE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128</v>
      </c>
      <c r="B68" s="146" t="s">
        <v>270</v>
      </c>
      <c r="C68" s="147" t="s">
        <v>271</v>
      </c>
      <c r="D68" s="148" t="s">
        <v>195</v>
      </c>
      <c r="F68" s="5" t="s">
        <v>138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FFFFF&lt;sup&gt;10&lt;/sup&gt;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RICHARD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JUSTIN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SANDY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DENNIS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VE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129</v>
      </c>
      <c r="B81" s="146" t="s">
        <v>270</v>
      </c>
      <c r="C81" s="147" t="s">
        <v>271</v>
      </c>
      <c r="D81" s="148" t="s">
        <v>195</v>
      </c>
      <c r="F81" s="5" t="s">
        <v>139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YOUNG BLOODS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GARY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RICH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VIC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JIM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PAM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130</v>
      </c>
      <c r="B94" s="146" t="s">
        <v>270</v>
      </c>
      <c r="C94" s="147" t="s">
        <v>271</v>
      </c>
      <c r="D94" s="148" t="s">
        <v>195</v>
      </c>
      <c r="F94" s="5" t="s">
        <v>140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THE BOYS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JOHN A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BOBBY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MIKE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ROGER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JOHN B.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131</v>
      </c>
      <c r="B107" s="146" t="s">
        <v>270</v>
      </c>
      <c r="C107" s="147" t="s">
        <v>271</v>
      </c>
      <c r="D107" s="148" t="s">
        <v>195</v>
      </c>
      <c r="F107" s="5" t="s">
        <v>141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THE DOUGERNAUTS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MICHAEL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JIM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DOUG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SARAH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KASH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132</v>
      </c>
      <c r="B120" s="146" t="s">
        <v>270</v>
      </c>
      <c r="C120" s="147" t="s">
        <v>271</v>
      </c>
      <c r="D120" s="148" t="s">
        <v>195</v>
      </c>
      <c r="F120" s="5" t="s">
        <v>142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CRAZY TRAIN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DARRIC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CHRIS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MIKE R.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SERGEI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JORDAN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1332360</xdr:colOff>
                    <xdr:row>1</xdr:row>
                    <xdr:rowOff>10800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12.78"/>
    <col collapsed="false" customWidth="true" hidden="false" outlineLevel="0" max="2" min="2" style="0" width="40.78"/>
    <col collapsed="false" customWidth="true" hidden="false" outlineLevel="0" max="3" min="3" style="0" width="16.77"/>
  </cols>
  <sheetData>
    <row r="1" customFormat="false" ht="15" hidden="false" customHeight="false" outlineLevel="0" collapsed="false">
      <c r="A1" s="162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Team Score Summary"</f>
        <v>Wednesday Team Score Summary</v>
      </c>
      <c r="B2" s="163"/>
      <c r="C2" s="163"/>
    </row>
    <row r="3" customFormat="false" ht="17.35" hidden="false" customHeight="false" outlineLevel="0" collapsed="false">
      <c r="A3" s="164" t="n">
        <f aca="true">NOW()</f>
        <v>46171.6943270257</v>
      </c>
      <c r="B3" s="164"/>
      <c r="C3" s="164"/>
    </row>
    <row r="5" customFormat="false" ht="15" hidden="false" customHeight="false" outlineLevel="0" collapsed="false">
      <c r="A5" s="0" t="str">
        <f aca="false">"After:  "&amp;A!AW13&amp;IF(A!AW13=1," Week"," Weeks")</f>
        <v>After:  6 Weeks</v>
      </c>
    </row>
    <row r="6" customFormat="false" ht="24.45" hidden="false" customHeight="false" outlineLevel="0" collapsed="false">
      <c r="A6" s="165" t="s">
        <v>293</v>
      </c>
      <c r="B6" s="165" t="s">
        <v>294</v>
      </c>
      <c r="C6" s="165" t="s">
        <v>28</v>
      </c>
    </row>
    <row r="7" customFormat="false" ht="22.05" hidden="false" customHeight="false" outlineLevel="0" collapsed="false">
      <c r="A7" s="166" t="n">
        <f aca="false">IF(A!BF5=0,"",ROW(A7)-6)</f>
        <v>1</v>
      </c>
      <c r="B7" s="167" t="str">
        <f aca="false">IF(A!BG5=0,"",A!BG5)</f>
        <v>CRAZY TRAIN</v>
      </c>
      <c r="C7" s="168" t="n">
        <f aca="false">IF(A!BF5=0,"",A!BF5)</f>
        <v>1260</v>
      </c>
    </row>
    <row r="8" customFormat="false" ht="22.05" hidden="false" customHeight="false" outlineLevel="0" collapsed="false">
      <c r="A8" s="169" t="n">
        <f aca="false">IF(A!BF6=0,"",ROW(A8)-6)</f>
        <v>2</v>
      </c>
      <c r="B8" s="170" t="str">
        <f aca="false">IF(A!BG6=0,"",A!BG6)</f>
        <v>YOUNG BLOODS</v>
      </c>
      <c r="C8" s="171" t="n">
        <f aca="false">IF(A!BF6=0,"",A!BF6)</f>
        <v>1227.4</v>
      </c>
    </row>
    <row r="9" customFormat="false" ht="22.05" hidden="false" customHeight="false" outlineLevel="0" collapsed="false">
      <c r="A9" s="169" t="n">
        <f aca="false">IF(A!BF7=0,"",ROW(A9)-6)</f>
        <v>3</v>
      </c>
      <c r="B9" s="170" t="str">
        <f aca="false">IF(A!BG7=0,"",A!BG7)</f>
        <v>THE DOUGERNAUTS</v>
      </c>
      <c r="C9" s="171" t="n">
        <f aca="false">IF(A!BF7=0,"",A!BF7)</f>
        <v>1216.855</v>
      </c>
    </row>
    <row r="10" customFormat="false" ht="22.05" hidden="false" customHeight="false" outlineLevel="0" collapsed="false">
      <c r="A10" s="169" t="n">
        <f aca="false">IF(A!BF8=0,"",ROW(A10)-6)</f>
        <v>4</v>
      </c>
      <c r="B10" s="170" t="str">
        <f aca="false">IF(A!BG8=0,"",A!BG8)</f>
        <v>SPAM FO LUNCH</v>
      </c>
      <c r="C10" s="171" t="n">
        <f aca="false">IF(A!BF8=0,"",A!BF8)</f>
        <v>1181.7</v>
      </c>
    </row>
    <row r="11" customFormat="false" ht="22.05" hidden="false" customHeight="false" outlineLevel="0" collapsed="false">
      <c r="A11" s="169" t="n">
        <f aca="false">IF(A!BF9=0,"",ROW(A11)-6)</f>
        <v>5</v>
      </c>
      <c r="B11" s="170" t="str">
        <f aca="false">IF(A!BG9=0,"",A!BG9)</f>
        <v>THE BOYS</v>
      </c>
      <c r="C11" s="171" t="n">
        <f aca="false">IF(A!BF9=0,"",A!BF9)</f>
        <v>1179.95</v>
      </c>
    </row>
    <row r="12" customFormat="false" ht="22.05" hidden="false" customHeight="false" outlineLevel="0" collapsed="false">
      <c r="A12" s="169" t="n">
        <f aca="false">IF(A!BF10=0,"",ROW(A12)-6)</f>
        <v>6</v>
      </c>
      <c r="B12" s="170" t="str">
        <f aca="false">IF(A!BG10=0,"",A!BG10)</f>
        <v>FFFFF TO THE 1OTH POWER</v>
      </c>
      <c r="C12" s="171" t="n">
        <f aca="false">IF(A!BF10=0,"",A!BF10)</f>
        <v>1170.22</v>
      </c>
    </row>
    <row r="13" customFormat="false" ht="22.05" hidden="false" customHeight="false" outlineLevel="0" collapsed="false">
      <c r="A13" s="169" t="n">
        <f aca="false">IF(A!BF11=0,"",ROW(A13)-6)</f>
        <v>7</v>
      </c>
      <c r="B13" s="170" t="str">
        <f aca="false">IF(A!BG11=0,"",A!BG11)</f>
        <v>RACK PACK</v>
      </c>
      <c r="C13" s="171" t="n">
        <f aca="false">IF(A!BF11=0,"",A!BF11)</f>
        <v>1167.14</v>
      </c>
    </row>
    <row r="14" customFormat="false" ht="22.05" hidden="false" customHeight="false" outlineLevel="0" collapsed="false">
      <c r="A14" s="169" t="n">
        <f aca="false">IF(A!BF12=0,"",ROW(A14)-6)</f>
        <v>8</v>
      </c>
      <c r="B14" s="170" t="str">
        <f aca="false">IF(A!BG12=0,"",A!BG12)</f>
        <v>HOT WHEELS</v>
      </c>
      <c r="C14" s="171" t="n">
        <f aca="false">IF(A!BF12=0,"",A!BF12)</f>
        <v>1142</v>
      </c>
    </row>
    <row r="15" customFormat="false" ht="22.05" hidden="false" customHeight="false" outlineLevel="0" collapsed="false">
      <c r="A15" s="169" t="n">
        <f aca="false">IF(A!BF13=0,"",ROW(A15)-6)</f>
        <v>9</v>
      </c>
      <c r="B15" s="170" t="str">
        <f aca="false">IF(A!BG13=0,"",A!BG13)</f>
        <v>HABOOBS</v>
      </c>
      <c r="C15" s="171" t="n">
        <f aca="false">IF(A!BF13=0,"",A!BF13)</f>
        <v>1137.55</v>
      </c>
    </row>
    <row r="16" customFormat="false" ht="22.05" hidden="false" customHeight="false" outlineLevel="0" collapsed="false">
      <c r="A16" s="169" t="n">
        <f aca="false">IF(A!BF14=0,"",ROW(A16)-6)</f>
        <v>10</v>
      </c>
      <c r="B16" s="170" t="str">
        <f aca="false">IF(A!BG14=0,"",A!BG14)</f>
        <v>VLADIMIR POOLIN</v>
      </c>
      <c r="C16" s="171" t="n">
        <f aca="false">IF(A!BF14=0,"",A!BF14)</f>
        <v>1076.13</v>
      </c>
    </row>
    <row r="17" customFormat="false" ht="22.05" hidden="false" customHeight="false" outlineLevel="0" collapsed="false">
      <c r="A17" s="169" t="n">
        <f aca="false">IF(A!BF15=0,"",ROW(A17)-6)</f>
        <v>11</v>
      </c>
      <c r="B17" s="170" t="str">
        <f aca="false">IF(A!BG15=0,"",A!BG15)</f>
        <v>PIRATES OF THE TABLE</v>
      </c>
      <c r="C17" s="171" t="n">
        <f aca="false">IF(A!BF15=0,"",A!BF15)</f>
        <v>1072.63</v>
      </c>
    </row>
    <row r="18" customFormat="false" ht="22.05" hidden="false" customHeight="false" outlineLevel="0" collapsed="false">
      <c r="A18" s="169" t="n">
        <f aca="false">IF(A!BF16=0,"",ROW(A18)-6)</f>
        <v>12</v>
      </c>
      <c r="B18" s="170" t="str">
        <f aca="false">IF(A!BG16=0,"",A!BG16)</f>
        <v>BYE</v>
      </c>
      <c r="C18" s="171" t="n">
        <f aca="false">IF(A!BF16=0,"",A!BF16)</f>
        <v>25</v>
      </c>
    </row>
    <row r="19" customFormat="false" ht="22.05" hidden="false" customHeight="false" outlineLevel="0" collapsed="false">
      <c r="A19" s="169" t="str">
        <f aca="false">IF(A!BF17=0,"",ROW(A19)-6)</f>
        <v/>
      </c>
      <c r="B19" s="170" t="str">
        <f aca="false">IF(A!BG17=0,"",A!BG17)</f>
        <v/>
      </c>
      <c r="C19" s="171" t="str">
        <f aca="false">IF(A!BF17=0,"",A!BF17)</f>
        <v/>
      </c>
    </row>
    <row r="20" customFormat="false" ht="22.05" hidden="false" customHeight="false" outlineLevel="0" collapsed="false">
      <c r="A20" s="169" t="str">
        <f aca="false">IF(A!BF18=0,"",ROW(A20)-6)</f>
        <v/>
      </c>
      <c r="B20" s="170" t="str">
        <f aca="false">IF(A!BG18=0,"",A!BG18)</f>
        <v/>
      </c>
      <c r="C20" s="171" t="str">
        <f aca="false">IF(A!BF18=0,"",A!BF18)</f>
        <v/>
      </c>
    </row>
    <row r="21" customFormat="false" ht="22.05" hidden="false" customHeight="false" outlineLevel="0" collapsed="false">
      <c r="A21" s="169" t="str">
        <f aca="false">IF(A!BF19=0,"",ROW(A21)-6)</f>
        <v/>
      </c>
      <c r="B21" s="170" t="str">
        <f aca="false">IF(A!BG19=0,"",A!BG19)</f>
        <v/>
      </c>
      <c r="C21" s="171" t="str">
        <f aca="false">IF(A!BF19=0,"",A!BF19)</f>
        <v/>
      </c>
    </row>
    <row r="22" customFormat="false" ht="22.05" hidden="false" customHeight="false" outlineLevel="0" collapsed="false">
      <c r="A22" s="169" t="str">
        <f aca="false">IF(A!BF20=0,"",ROW(A22)-6)</f>
        <v/>
      </c>
      <c r="B22" s="170" t="str">
        <f aca="false">IF(A!BG20=0,"",A!BG20)</f>
        <v/>
      </c>
      <c r="C22" s="171" t="str">
        <f aca="false">IF(A!BF20=0,"",A!BF20)</f>
        <v/>
      </c>
    </row>
    <row r="23" customFormat="false" ht="22.05" hidden="false" customHeight="false" outlineLevel="0" collapsed="false">
      <c r="A23" s="169" t="str">
        <f aca="false">IF(A!BF21=0,"",ROW(A23)-6)</f>
        <v/>
      </c>
      <c r="B23" s="170" t="str">
        <f aca="false">IF(A!BG21=0,"",A!BG21)</f>
        <v/>
      </c>
      <c r="C23" s="171" t="str">
        <f aca="false">IF(A!BF21=0,"",A!BF21)</f>
        <v/>
      </c>
    </row>
    <row r="24" customFormat="false" ht="22.05" hidden="false" customHeight="false" outlineLevel="0" collapsed="false">
      <c r="A24" s="169" t="str">
        <f aca="false">IF(A!BF22=0,"",ROW(A24)-6)</f>
        <v/>
      </c>
      <c r="B24" s="170" t="str">
        <f aca="false">IF(A!BG22=0,"",A!BG22)</f>
        <v/>
      </c>
      <c r="C24" s="171" t="str">
        <f aca="false">IF(A!BF22=0,"",A!BF22)</f>
        <v/>
      </c>
    </row>
    <row r="25" customFormat="false" ht="22.05" hidden="false" customHeight="false" outlineLevel="0" collapsed="false">
      <c r="A25" s="169" t="str">
        <f aca="false">IF(A!BF23=0,"",ROW(A25)-6)</f>
        <v/>
      </c>
      <c r="B25" s="170" t="str">
        <f aca="false">IF(A!BG23=0,"",A!BG23)</f>
        <v/>
      </c>
      <c r="C25" s="171" t="str">
        <f aca="false">IF(A!BF23=0,"",A!BF23)</f>
        <v/>
      </c>
    </row>
    <row r="26" customFormat="false" ht="22.05" hidden="false" customHeight="false" outlineLevel="0" collapsed="false">
      <c r="A26" s="172" t="str">
        <f aca="false">IF(A!BF24=0,"",ROW(A26)-6)</f>
        <v/>
      </c>
      <c r="B26" s="173" t="str">
        <f aca="false">IF(A!BG24=0,"",A!BG24)</f>
        <v/>
      </c>
      <c r="C26" s="174" t="str">
        <f aca="false">IF(A!BF24=0,"",A!BF24)</f>
        <v/>
      </c>
    </row>
  </sheetData>
  <sheetProtection sheet="true" objects="true" scenarios="true"/>
  <mergeCells count="2">
    <mergeCell ref="A2:C2"/>
    <mergeCell ref="A3:C3"/>
  </mergeCells>
  <printOptions headings="false" gridLines="false" gridLinesSet="true" horizontalCentered="true" verticalCentered="false"/>
  <pageMargins left="0.5" right="0.5" top="0.5" bottom="0.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0" width="8.77"/>
    <col collapsed="false" customWidth="true" hidden="false" outlineLevel="0" max="2" min="2" style="0" width="16.77"/>
    <col collapsed="false" customWidth="true" hidden="false" outlineLevel="0" max="3" min="3" style="0" width="37.78"/>
    <col collapsed="false" customWidth="true" hidden="false" outlineLevel="0" max="4" min="4" style="0" width="10.78"/>
  </cols>
  <sheetData>
    <row r="1" customFormat="false" ht="15" hidden="false" customHeight="false" outlineLevel="0" collapsed="false">
      <c r="A1" s="0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Individual Score Summary"</f>
        <v>Wednesday Individual Score Summary</v>
      </c>
      <c r="B2" s="163"/>
      <c r="C2" s="163"/>
      <c r="D2" s="163"/>
    </row>
    <row r="3" customFormat="false" ht="17.35" hidden="false" customHeight="false" outlineLevel="0" collapsed="false">
      <c r="A3" s="164" t="n">
        <f aca="true">NOW()</f>
        <v>46171.6943271555</v>
      </c>
      <c r="B3" s="164"/>
      <c r="C3" s="164"/>
      <c r="D3" s="164"/>
      <c r="E3" s="175"/>
    </row>
    <row r="5" customFormat="false" ht="15" hidden="false" customHeight="false" outlineLevel="0" collapsed="false">
      <c r="A5" s="0" t="str">
        <f aca="false">"After:  "&amp;A!AW13&amp;IF(A!AW13=1," Week"," Weeks")</f>
        <v>After:  6 Weeks</v>
      </c>
    </row>
    <row r="6" customFormat="false" ht="25.5" hidden="false" customHeight="true" outlineLevel="0" collapsed="false">
      <c r="A6" s="176" t="s">
        <v>293</v>
      </c>
      <c r="B6" s="176" t="s">
        <v>197</v>
      </c>
      <c r="C6" s="176" t="s">
        <v>294</v>
      </c>
      <c r="D6" s="176" t="s">
        <v>28</v>
      </c>
    </row>
    <row r="7" customFormat="false" ht="19.5" hidden="false" customHeight="true" outlineLevel="0" collapsed="false">
      <c r="A7" s="177" t="n">
        <f aca="false">IF(A!BA5=0,"",IF(OR(D7=D8,D7=D6),"Tie",ROW(A7)-6))</f>
        <v>1</v>
      </c>
      <c r="B7" s="178" t="str">
        <f aca="false">IF(A!BB5=0,"",A!BB5)</f>
        <v>CHRIS</v>
      </c>
      <c r="C7" s="178" t="str">
        <f aca="false">IF(A!BC5=0,"",A!BC5)</f>
        <v>CRAZY TRAIN</v>
      </c>
      <c r="D7" s="179" t="n">
        <f aca="false">IF(A!BA5=0,"",A!BA5)</f>
        <v>275</v>
      </c>
    </row>
    <row r="8" customFormat="false" ht="19.5" hidden="false" customHeight="true" outlineLevel="0" collapsed="false">
      <c r="A8" s="180" t="n">
        <f aca="false">IF(A!BA6=0,"",IF(OR(D8=D9,D8=D7),"Tie",ROW(A8)-6))</f>
        <v>2</v>
      </c>
      <c r="B8" s="181" t="str">
        <f aca="false">IF(A!BB6=0,"",A!BB6)</f>
        <v>GARY</v>
      </c>
      <c r="C8" s="181" t="str">
        <f aca="false">IF(A!BC6=0,"",A!BC6)</f>
        <v>YOUNG BLOODS</v>
      </c>
      <c r="D8" s="182" t="n">
        <f aca="false">IF(A!BA6=0,"",A!BA6)</f>
        <v>266</v>
      </c>
    </row>
    <row r="9" customFormat="false" ht="19.5" hidden="false" customHeight="true" outlineLevel="0" collapsed="false">
      <c r="A9" s="180" t="str">
        <f aca="false">IF(A!BA7=0,"",IF(OR(D9=D10,D9=D8),"Tie",ROW(A9)-6))</f>
        <v>Tie</v>
      </c>
      <c r="B9" s="181" t="str">
        <f aca="false">IF(A!BB7=0,"",A!BB7)</f>
        <v>KASH</v>
      </c>
      <c r="C9" s="181" t="str">
        <f aca="false">IF(A!BC7=0,"",A!BC7)</f>
        <v>THE DOUGERNAUTS</v>
      </c>
      <c r="D9" s="182" t="n">
        <f aca="false">IF(A!BA7=0,"",A!BA7)</f>
        <v>259</v>
      </c>
    </row>
    <row r="10" customFormat="false" ht="19.5" hidden="false" customHeight="true" outlineLevel="0" collapsed="false">
      <c r="A10" s="180" t="str">
        <f aca="false">IF(A!BA8=0,"",IF(OR(D10=D11,D10=D9),"Tie",ROW(A10)-6))</f>
        <v>Tie</v>
      </c>
      <c r="B10" s="181" t="str">
        <f aca="false">IF(A!BB8=0,"",A!BB8)</f>
        <v>DARRIC</v>
      </c>
      <c r="C10" s="181" t="str">
        <f aca="false">IF(A!BC8=0,"",A!BC8)</f>
        <v>CRAZY TRAIN</v>
      </c>
      <c r="D10" s="182" t="n">
        <f aca="false">IF(A!BA8=0,"",A!BA8)</f>
        <v>259</v>
      </c>
    </row>
    <row r="11" customFormat="false" ht="19.5" hidden="false" customHeight="true" outlineLevel="0" collapsed="false">
      <c r="A11" s="180" t="n">
        <f aca="false">IF(A!BA9=0,"",IF(OR(D11=D12,D11=D10),"Tie",ROW(A11)-6))</f>
        <v>5</v>
      </c>
      <c r="B11" s="181" t="str">
        <f aca="false">IF(A!BB9=0,"",A!BB9)</f>
        <v>ERIC</v>
      </c>
      <c r="C11" s="181" t="str">
        <f aca="false">IF(A!BC9=0,"",A!BC9)</f>
        <v>SPAM FO LUNCH</v>
      </c>
      <c r="D11" s="182" t="n">
        <f aca="false">IF(A!BA9=0,"",A!BA9)</f>
        <v>256</v>
      </c>
    </row>
    <row r="12" customFormat="false" ht="19.5" hidden="false" customHeight="true" outlineLevel="0" collapsed="false">
      <c r="A12" s="180" t="n">
        <f aca="false">IF(A!BA10=0,"",IF(OR(D12=D13,D12=D11),"Tie",ROW(A12)-6))</f>
        <v>6</v>
      </c>
      <c r="B12" s="181" t="str">
        <f aca="false">IF(A!BB10=0,"",A!BB10)</f>
        <v>VIC</v>
      </c>
      <c r="C12" s="181" t="str">
        <f aca="false">IF(A!BC10=0,"",A!BC10)</f>
        <v>YOUNG BLOODS</v>
      </c>
      <c r="D12" s="182" t="n">
        <f aca="false">IF(A!BA10=0,"",A!BA10)</f>
        <v>253</v>
      </c>
    </row>
    <row r="13" customFormat="false" ht="19.5" hidden="false" customHeight="true" outlineLevel="0" collapsed="false">
      <c r="A13" s="180" t="n">
        <f aca="false">IF(A!BA11=0,"",IF(OR(D13=D14,D13=D12),"Tie",ROW(A13)-6))</f>
        <v>7</v>
      </c>
      <c r="B13" s="181" t="str">
        <f aca="false">IF(A!BB11=0,"",A!BB11)</f>
        <v>PAM</v>
      </c>
      <c r="C13" s="181" t="str">
        <f aca="false">IF(A!BC11=0,"",A!BC11)</f>
        <v>YOUNG BLOODS</v>
      </c>
      <c r="D13" s="182" t="n">
        <f aca="false">IF(A!BA11=0,"",A!BA11)</f>
        <v>250</v>
      </c>
    </row>
    <row r="14" customFormat="false" ht="19.5" hidden="false" customHeight="true" outlineLevel="0" collapsed="false">
      <c r="A14" s="180" t="str">
        <f aca="false">IF(A!BA12=0,"",IF(OR(D14=D15,D14=D13),"Tie",ROW(A14)-6))</f>
        <v>Tie</v>
      </c>
      <c r="B14" s="181" t="str">
        <f aca="false">IF(A!BB12=0,"",A!BB12)</f>
        <v>PATRICK</v>
      </c>
      <c r="C14" s="181" t="str">
        <f aca="false">IF(A!BC12=0,"",A!BC12)</f>
        <v>HOT WHEELS</v>
      </c>
      <c r="D14" s="182" t="n">
        <f aca="false">IF(A!BA12=0,"",A!BA12)</f>
        <v>248</v>
      </c>
    </row>
    <row r="15" customFormat="false" ht="19.5" hidden="false" customHeight="true" outlineLevel="0" collapsed="false">
      <c r="A15" s="180" t="str">
        <f aca="false">IF(A!BA13=0,"",IF(OR(D15=D16,D15=D14),"Tie",ROW(A15)-6))</f>
        <v>Tie</v>
      </c>
      <c r="B15" s="181" t="str">
        <f aca="false">IF(A!BB13=0,"",A!BB13)</f>
        <v>DAN</v>
      </c>
      <c r="C15" s="181" t="str">
        <f aca="false">IF(A!BC13=0,"",A!BC13)</f>
        <v>HABOOBS</v>
      </c>
      <c r="D15" s="182" t="n">
        <f aca="false">IF(A!BA13=0,"",A!BA13)</f>
        <v>248</v>
      </c>
    </row>
    <row r="16" customFormat="false" ht="19.5" hidden="false" customHeight="true" outlineLevel="0" collapsed="false">
      <c r="A16" s="180" t="n">
        <f aca="false">IF(A!BA14=0,"",IF(OR(D16=D17,D16=D15),"Tie",ROW(A16)-6))</f>
        <v>10</v>
      </c>
      <c r="B16" s="181" t="str">
        <f aca="false">IF(A!BB14=0,"",A!BB14)</f>
        <v>MIKE</v>
      </c>
      <c r="C16" s="181" t="str">
        <f aca="false">IF(A!BC14=0,"",A!BC14)</f>
        <v>THE BOYS</v>
      </c>
      <c r="D16" s="182" t="n">
        <f aca="false">IF(A!BA14=0,"",A!BA14)</f>
        <v>246</v>
      </c>
    </row>
    <row r="17" customFormat="false" ht="19.5" hidden="false" customHeight="true" outlineLevel="0" collapsed="false">
      <c r="A17" s="180" t="str">
        <f aca="false">IF(A!BA15=0,"",IF(OR(D17=D18,D17=D16),"Tie",ROW(A17)-6))</f>
        <v>Tie</v>
      </c>
      <c r="B17" s="181" t="str">
        <f aca="false">IF(A!BB15=0,"",A!BB15)</f>
        <v>JASON</v>
      </c>
      <c r="C17" s="181" t="str">
        <f aca="false">IF(A!BC15=0,"",A!BC15)</f>
        <v>PIRATES OF THE TABLE</v>
      </c>
      <c r="D17" s="182" t="n">
        <f aca="false">IF(A!BA15=0,"",A!BA15)</f>
        <v>245</v>
      </c>
    </row>
    <row r="18" customFormat="false" ht="19.5" hidden="false" customHeight="true" outlineLevel="0" collapsed="false">
      <c r="A18" s="180" t="str">
        <f aca="false">IF(A!BA16=0,"",IF(OR(D18=D19,D18=D17),"Tie",ROW(A18)-6))</f>
        <v>Tie</v>
      </c>
      <c r="B18" s="181" t="str">
        <f aca="false">IF(A!BB16=0,"",A!BB16)</f>
        <v>MICHAEL</v>
      </c>
      <c r="C18" s="181" t="str">
        <f aca="false">IF(A!BC16=0,"",A!BC16)</f>
        <v>THE DOUGERNAUTS</v>
      </c>
      <c r="D18" s="182" t="n">
        <f aca="false">IF(A!BA16=0,"",A!BA16)</f>
        <v>245</v>
      </c>
    </row>
    <row r="19" customFormat="false" ht="19.5" hidden="false" customHeight="true" outlineLevel="0" collapsed="false">
      <c r="A19" s="180" t="str">
        <f aca="false">IF(A!BA17=0,"",IF(OR(D19=D20,D19=D18),"Tie",ROW(A19)-6))</f>
        <v>Tie</v>
      </c>
      <c r="B19" s="181" t="str">
        <f aca="false">IF(A!BB17=0,"",A!BB17)</f>
        <v>BOBBY</v>
      </c>
      <c r="C19" s="181" t="str">
        <f aca="false">IF(A!BC17=0,"",A!BC17)</f>
        <v>THE BOYS</v>
      </c>
      <c r="D19" s="182" t="n">
        <f aca="false">IF(A!BA17=0,"",A!BA17)</f>
        <v>244</v>
      </c>
    </row>
    <row r="20" customFormat="false" ht="19.5" hidden="false" customHeight="true" outlineLevel="0" collapsed="false">
      <c r="A20" s="180" t="str">
        <f aca="false">IF(A!BA18=0,"",IF(OR(D20=D21,D20=D19),"Tie",ROW(A20)-6))</f>
        <v>Tie</v>
      </c>
      <c r="B20" s="181" t="str">
        <f aca="false">IF(A!BB18=0,"",A!BB18)</f>
        <v>SERGEI</v>
      </c>
      <c r="C20" s="181" t="str">
        <f aca="false">IF(A!BC18=0,"",A!BC18)</f>
        <v>CRAZY TRAIN</v>
      </c>
      <c r="D20" s="182" t="n">
        <f aca="false">IF(A!BA18=0,"",A!BA18)</f>
        <v>244</v>
      </c>
    </row>
    <row r="21" customFormat="false" ht="19.5" hidden="false" customHeight="true" outlineLevel="0" collapsed="false">
      <c r="A21" s="180" t="n">
        <f aca="false">IF(A!BA19=0,"",IF(OR(D21=D22,D21=D20),"Tie",ROW(A21)-6))</f>
        <v>15</v>
      </c>
      <c r="B21" s="181" t="str">
        <f aca="false">IF(A!BB19=0,"",A!BB19)</f>
        <v>JORDAN</v>
      </c>
      <c r="C21" s="181" t="str">
        <f aca="false">IF(A!BC19=0,"",A!BC19)</f>
        <v>CRAZY TRAIN</v>
      </c>
      <c r="D21" s="182" t="n">
        <f aca="false">IF(A!BA19=0,"",A!BA19)</f>
        <v>243</v>
      </c>
    </row>
    <row r="22" customFormat="false" ht="19.5" hidden="false" customHeight="true" outlineLevel="0" collapsed="false">
      <c r="A22" s="180" t="n">
        <f aca="false">IF(A!BA20=0,"",IF(OR(D22=D23,D22=D21),"Tie",ROW(A22)-6))</f>
        <v>16</v>
      </c>
      <c r="B22" s="181" t="str">
        <f aca="false">IF(A!BB20=0,"",A!BB20)</f>
        <v>BRENNEN</v>
      </c>
      <c r="C22" s="181" t="str">
        <f aca="false">IF(A!BC20=0,"",A!BC20)</f>
        <v>RACK PACK</v>
      </c>
      <c r="D22" s="182" t="n">
        <f aca="false">IF(A!BA20=0,"",A!BA20)</f>
        <v>242</v>
      </c>
    </row>
    <row r="23" customFormat="false" ht="19.5" hidden="false" customHeight="true" outlineLevel="0" collapsed="false">
      <c r="A23" s="180" t="str">
        <f aca="false">IF(A!BA21=0,"",IF(OR(D23=D24,D23=D22),"Tie",ROW(A23)-6))</f>
        <v>Tie</v>
      </c>
      <c r="B23" s="181" t="str">
        <f aca="false">IF(A!BB21=0,"",A!BB21)</f>
        <v>MELISSA</v>
      </c>
      <c r="C23" s="181" t="str">
        <f aca="false">IF(A!BC21=0,"",A!BC21)</f>
        <v>HOT WHEELS</v>
      </c>
      <c r="D23" s="182" t="n">
        <f aca="false">IF(A!BA21=0,"",A!BA21)</f>
        <v>241</v>
      </c>
    </row>
    <row r="24" customFormat="false" ht="19.5" hidden="false" customHeight="true" outlineLevel="0" collapsed="false">
      <c r="A24" s="180" t="str">
        <f aca="false">IF(A!BA22=0,"",IF(OR(D24=D25,D24=D23),"Tie",ROW(A24)-6))</f>
        <v>Tie</v>
      </c>
      <c r="B24" s="181" t="str">
        <f aca="false">IF(A!BB22=0,"",A!BB22)</f>
        <v>MIKE</v>
      </c>
      <c r="C24" s="181" t="str">
        <f aca="false">IF(A!BC22=0,"",A!BC22)</f>
        <v>HABOOBS</v>
      </c>
      <c r="D24" s="182" t="n">
        <f aca="false">IF(A!BA22=0,"",A!BA22)</f>
        <v>241</v>
      </c>
    </row>
    <row r="25" customFormat="false" ht="19.5" hidden="false" customHeight="true" outlineLevel="0" collapsed="false">
      <c r="A25" s="180" t="str">
        <f aca="false">IF(A!BA23=0,"",IF(OR(D25=D26,D25=D24),"Tie",ROW(A25)-6))</f>
        <v>Tie</v>
      </c>
      <c r="B25" s="181" t="str">
        <f aca="false">IF(A!BB23=0,"",A!BB23)</f>
        <v>JUSTIN</v>
      </c>
      <c r="C25" s="181" t="str">
        <f aca="false">IF(A!BC23=0,"",A!BC23)</f>
        <v>FFFFF TO THE 1OTH POWER</v>
      </c>
      <c r="D25" s="182" t="n">
        <f aca="false">IF(A!BA23=0,"",A!BA23)</f>
        <v>240</v>
      </c>
    </row>
    <row r="26" customFormat="false" ht="19.5" hidden="false" customHeight="true" outlineLevel="0" collapsed="false">
      <c r="A26" s="180" t="str">
        <f aca="false">IF(A!BA24=0,"",IF(OR(D26=D27,D26=D25),"Tie",ROW(A26)-6))</f>
        <v>Tie</v>
      </c>
      <c r="B26" s="181" t="str">
        <f aca="false">IF(A!BB24=0,"",A!BB24)</f>
        <v>LON</v>
      </c>
      <c r="C26" s="181" t="str">
        <f aca="false">IF(A!BC24=0,"",A!BC24)</f>
        <v>SPAM FO LUNCH</v>
      </c>
      <c r="D26" s="182" t="n">
        <f aca="false">IF(A!BA24=0,"",A!BA24)</f>
        <v>240</v>
      </c>
    </row>
    <row r="27" customFormat="false" ht="19.5" hidden="false" customHeight="true" outlineLevel="0" collapsed="false">
      <c r="A27" s="180" t="str">
        <f aca="false">IF(A!BA25=0,"",IF(OR(D27=D28,D27=D26),"Tie",ROW(A27)-6))</f>
        <v>Tie</v>
      </c>
      <c r="B27" s="181" t="str">
        <f aca="false">IF(A!BB25=0,"",A!BB25)</f>
        <v>DENNIS</v>
      </c>
      <c r="C27" s="181" t="str">
        <f aca="false">IF(A!BC25=0,"",A!BC25)</f>
        <v>FFFFF TO THE 1OTH POWER</v>
      </c>
      <c r="D27" s="182" t="n">
        <f aca="false">IF(A!BA25=0,"",A!BA25)</f>
        <v>239</v>
      </c>
    </row>
    <row r="28" customFormat="false" ht="19.5" hidden="false" customHeight="true" outlineLevel="0" collapsed="false">
      <c r="A28" s="180" t="str">
        <f aca="false">IF(A!BA26=0,"",IF(OR(D28=D29,D28=D27),"Tie",ROW(A28)-6))</f>
        <v>Tie</v>
      </c>
      <c r="B28" s="181" t="str">
        <f aca="false">IF(A!BB26=0,"",A!BB26)</f>
        <v>MIKE R.</v>
      </c>
      <c r="C28" s="181" t="str">
        <f aca="false">IF(A!BC26=0,"",A!BC26)</f>
        <v>CRAZY TRAIN</v>
      </c>
      <c r="D28" s="182" t="n">
        <f aca="false">IF(A!BA26=0,"",A!BA26)</f>
        <v>239</v>
      </c>
    </row>
    <row r="29" customFormat="false" ht="19.5" hidden="false" customHeight="true" outlineLevel="0" collapsed="false">
      <c r="A29" s="180" t="n">
        <f aca="false">IF(A!BA27=0,"",IF(OR(D29=D30,D29=D28),"Tie",ROW(A29)-6))</f>
        <v>23</v>
      </c>
      <c r="B29" s="181" t="str">
        <f aca="false">IF(A!BB27=0,"",A!BB27)</f>
        <v>PABLO</v>
      </c>
      <c r="C29" s="181" t="str">
        <f aca="false">IF(A!BC27=0,"",A!BC27)</f>
        <v>SPAM FO LUNCH</v>
      </c>
      <c r="D29" s="182" t="n">
        <f aca="false">IF(A!BA27=0,"",A!BA27)</f>
        <v>238</v>
      </c>
    </row>
    <row r="30" customFormat="false" ht="19.5" hidden="false" customHeight="true" outlineLevel="0" collapsed="false">
      <c r="A30" s="180" t="n">
        <f aca="false">IF(A!BA28=0,"",IF(OR(D30=D31,D30=D29),"Tie",ROW(A30)-6))</f>
        <v>24</v>
      </c>
      <c r="B30" s="181" t="str">
        <f aca="false">IF(A!BB28=0,"",A!BB28)</f>
        <v>TIM</v>
      </c>
      <c r="C30" s="181" t="str">
        <f aca="false">IF(A!BC28=0,"",A!BC28)</f>
        <v>RACK PACK</v>
      </c>
      <c r="D30" s="182" t="n">
        <f aca="false">IF(A!BA28=0,"",A!BA28)</f>
        <v>237</v>
      </c>
    </row>
    <row r="31" customFormat="false" ht="19.5" hidden="false" customHeight="true" outlineLevel="0" collapsed="false">
      <c r="A31" s="180" t="str">
        <f aca="false">IF(A!BA29=0,"",IF(OR(D31=D32,D31=D30),"Tie",ROW(A31)-6))</f>
        <v>Tie</v>
      </c>
      <c r="B31" s="181" t="str">
        <f aca="false">IF(A!BB29=0,"",A!BB29)</f>
        <v>LEIGH</v>
      </c>
      <c r="C31" s="181" t="str">
        <f aca="false">IF(A!BC29=0,"",A!BC29)</f>
        <v>VLADIMIR POOLIN</v>
      </c>
      <c r="D31" s="182" t="n">
        <f aca="false">IF(A!BA29=0,"",A!BA29)</f>
        <v>236</v>
      </c>
    </row>
    <row r="32" customFormat="false" ht="19.5" hidden="false" customHeight="true" outlineLevel="0" collapsed="false">
      <c r="A32" s="180" t="str">
        <f aca="false">IF(A!BA30=0,"",IF(OR(D32=D33,D32=D31),"Tie",ROW(A32)-6))</f>
        <v>Tie</v>
      </c>
      <c r="B32" s="181" t="str">
        <f aca="false">IF(A!BB30=0,"",A!BB30)</f>
        <v>JIM</v>
      </c>
      <c r="C32" s="181" t="str">
        <f aca="false">IF(A!BC30=0,"",A!BC30)</f>
        <v>YOUNG BLOODS</v>
      </c>
      <c r="D32" s="182" t="n">
        <f aca="false">IF(A!BA30=0,"",A!BA30)</f>
        <v>236</v>
      </c>
    </row>
    <row r="33" customFormat="false" ht="19.5" hidden="false" customHeight="true" outlineLevel="0" collapsed="false">
      <c r="A33" s="180" t="n">
        <f aca="false">IF(A!BA31=0,"",IF(OR(D33=D34,D33=D32),"Tie",ROW(A33)-6))</f>
        <v>27</v>
      </c>
      <c r="B33" s="181" t="str">
        <f aca="false">IF(A!BB31=0,"",A!BB31)</f>
        <v>JOHN B.</v>
      </c>
      <c r="C33" s="181" t="str">
        <f aca="false">IF(A!BC31=0,"",A!BC31)</f>
        <v>THE BOYS</v>
      </c>
      <c r="D33" s="182" t="n">
        <f aca="false">IF(A!BA31=0,"",A!BA31)</f>
        <v>235</v>
      </c>
    </row>
    <row r="34" customFormat="false" ht="19.5" hidden="false" customHeight="true" outlineLevel="0" collapsed="false">
      <c r="A34" s="180" t="n">
        <f aca="false">IF(A!BA32=0,"",IF(OR(D34=D35,D34=D33),"Tie",ROW(A34)-6))</f>
        <v>28</v>
      </c>
      <c r="B34" s="181" t="str">
        <f aca="false">IF(A!BB32=0,"",A!BB32)</f>
        <v>JIM</v>
      </c>
      <c r="C34" s="181" t="str">
        <f aca="false">IF(A!BC32=0,"",A!BC32)</f>
        <v>THE DOUGERNAUTS</v>
      </c>
      <c r="D34" s="182" t="n">
        <f aca="false">IF(A!BA32=0,"",A!BA32)</f>
        <v>234</v>
      </c>
    </row>
    <row r="35" customFormat="false" ht="19.5" hidden="false" customHeight="true" outlineLevel="0" collapsed="false">
      <c r="A35" s="180" t="str">
        <f aca="false">IF(A!BA33=0,"",IF(OR(D35=D36,D35=D34),"Tie",ROW(A35)-6))</f>
        <v>Tie</v>
      </c>
      <c r="B35" s="181" t="str">
        <f aca="false">IF(A!BB33=0,"",A!BB33)</f>
        <v>IAN</v>
      </c>
      <c r="C35" s="181" t="str">
        <f aca="false">IF(A!BC33=0,"",A!BC33)</f>
        <v>RACK PACK</v>
      </c>
      <c r="D35" s="182" t="n">
        <f aca="false">IF(A!BA33=0,"",A!BA33)</f>
        <v>233</v>
      </c>
    </row>
    <row r="36" customFormat="false" ht="19.5" hidden="false" customHeight="true" outlineLevel="0" collapsed="false">
      <c r="A36" s="180" t="str">
        <f aca="false">IF(A!BA34=0,"",IF(OR(D36=D37,D36=D35),"Tie",ROW(A36)-6))</f>
        <v>Tie</v>
      </c>
      <c r="B36" s="181" t="str">
        <f aca="false">IF(A!BB34=0,"",A!BB34)</f>
        <v>SCOTT</v>
      </c>
      <c r="C36" s="181" t="str">
        <f aca="false">IF(A!BC34=0,"",A!BC34)</f>
        <v>RACK PACK</v>
      </c>
      <c r="D36" s="182" t="n">
        <f aca="false">IF(A!BA34=0,"",A!BA34)</f>
        <v>233</v>
      </c>
    </row>
    <row r="37" customFormat="false" ht="19.5" hidden="false" customHeight="true" outlineLevel="0" collapsed="false">
      <c r="A37" s="180" t="n">
        <f aca="false">IF(A!BA35=0,"",IF(OR(D37=D38,D37=D36),"Tie",ROW(A37)-6))</f>
        <v>31</v>
      </c>
      <c r="B37" s="181" t="str">
        <f aca="false">IF(A!BB35=0,"",A!BB35)</f>
        <v>JOHN A</v>
      </c>
      <c r="C37" s="181" t="str">
        <f aca="false">IF(A!BC35=0,"",A!BC35)</f>
        <v>THE BOYS</v>
      </c>
      <c r="D37" s="182" t="n">
        <f aca="false">IF(A!BA35=0,"",A!BA35)</f>
        <v>232</v>
      </c>
    </row>
    <row r="38" customFormat="false" ht="19.5" hidden="false" customHeight="true" outlineLevel="0" collapsed="false">
      <c r="A38" s="180" t="n">
        <f aca="false">IF(A!BA36=0,"",IF(OR(D38=D39,D38=D37),"Tie",ROW(A38)-6))</f>
        <v>32</v>
      </c>
      <c r="B38" s="181" t="str">
        <f aca="false">IF(A!BB36=0,"",A!BB36)</f>
        <v>SABRINA</v>
      </c>
      <c r="C38" s="181" t="str">
        <f aca="false">IF(A!BC36=0,"",A!BC36)</f>
        <v>SPAM FO LUNCH</v>
      </c>
      <c r="D38" s="182" t="n">
        <f aca="false">IF(A!BA36=0,"",A!BA36)</f>
        <v>229</v>
      </c>
    </row>
    <row r="39" customFormat="false" ht="19.5" hidden="false" customHeight="true" outlineLevel="0" collapsed="false">
      <c r="A39" s="180" t="n">
        <f aca="false">IF(A!BA37=0,"",IF(OR(D39=D40,D39=D38),"Tie",ROW(A39)-6))</f>
        <v>33</v>
      </c>
      <c r="B39" s="181" t="str">
        <f aca="false">IF(A!BB37=0,"",A!BB37)</f>
        <v>VE</v>
      </c>
      <c r="C39" s="181" t="str">
        <f aca="false">IF(A!BC37=0,"",A!BC37)</f>
        <v>FFFFF TO THE 1OTH POWER</v>
      </c>
      <c r="D39" s="182" t="n">
        <f aca="false">IF(A!BA37=0,"",A!BA37)</f>
        <v>227</v>
      </c>
    </row>
    <row r="40" customFormat="false" ht="19.5" hidden="false" customHeight="true" outlineLevel="0" collapsed="false">
      <c r="A40" s="180" t="n">
        <f aca="false">IF(A!BA38=0,"",IF(OR(D40=D41,D40=D39),"Tie",ROW(A40)-6))</f>
        <v>34</v>
      </c>
      <c r="B40" s="181" t="str">
        <f aca="false">IF(A!BB38=0,"",A!BB38)</f>
        <v>PJ</v>
      </c>
      <c r="C40" s="181" t="str">
        <f aca="false">IF(A!BC38=0,"",A!BC38)</f>
        <v>HOT WHEELS</v>
      </c>
      <c r="D40" s="182" t="n">
        <f aca="false">IF(A!BA38=0,"",A!BA38)</f>
        <v>226</v>
      </c>
    </row>
    <row r="41" customFormat="false" ht="19.5" hidden="false" customHeight="true" outlineLevel="0" collapsed="false">
      <c r="A41" s="180" t="n">
        <f aca="false">IF(A!BA39=0,"",IF(OR(D41=D42,D41=D40),"Tie",ROW(A41)-6))</f>
        <v>35</v>
      </c>
      <c r="B41" s="181" t="str">
        <f aca="false">IF(A!BB39=0,"",A!BB39)</f>
        <v>OLGA</v>
      </c>
      <c r="C41" s="181" t="str">
        <f aca="false">IF(A!BC39=0,"",A!BC39)</f>
        <v>HABOOBS</v>
      </c>
      <c r="D41" s="182" t="n">
        <f aca="false">IF(A!BA39=0,"",A!BA39)</f>
        <v>225</v>
      </c>
    </row>
    <row r="42" customFormat="false" ht="19.5" hidden="false" customHeight="true" outlineLevel="0" collapsed="false">
      <c r="A42" s="180" t="str">
        <f aca="false">IF(A!BA40=0,"",IF(OR(D42=D43,D42=D41),"Tie",ROW(A42)-6))</f>
        <v>Tie</v>
      </c>
      <c r="B42" s="181" t="str">
        <f aca="false">IF(A!BB40=0,"",A!BB40)</f>
        <v>MIKE MO</v>
      </c>
      <c r="C42" s="181" t="str">
        <f aca="false">IF(A!BC40=0,"",A!BC40)</f>
        <v>HABOOBS</v>
      </c>
      <c r="D42" s="182" t="n">
        <f aca="false">IF(A!BA40=0,"",A!BA40)</f>
        <v>224</v>
      </c>
    </row>
    <row r="43" customFormat="false" ht="19.5" hidden="false" customHeight="true" outlineLevel="0" collapsed="false">
      <c r="A43" s="180" t="str">
        <f aca="false">IF(A!BA41=0,"",IF(OR(D43=D44,D43=D42),"Tie",ROW(A43)-6))</f>
        <v>Tie</v>
      </c>
      <c r="B43" s="181" t="str">
        <f aca="false">IF(A!BB41=0,"",A!BB41)</f>
        <v>SARAH</v>
      </c>
      <c r="C43" s="181" t="str">
        <f aca="false">IF(A!BC41=0,"",A!BC41)</f>
        <v>THE DOUGERNAUTS</v>
      </c>
      <c r="D43" s="182" t="n">
        <f aca="false">IF(A!BA41=0,"",A!BA41)</f>
        <v>224</v>
      </c>
    </row>
    <row r="44" customFormat="false" ht="19.5" hidden="false" customHeight="true" outlineLevel="0" collapsed="false">
      <c r="A44" s="180" t="str">
        <f aca="false">IF(A!BA42=0,"",IF(OR(D44=D45,D44=D43),"Tie",ROW(A44)-6))</f>
        <v>Tie</v>
      </c>
      <c r="B44" s="181" t="str">
        <f aca="false">IF(A!BB42=0,"",A!BB42)</f>
        <v>DON</v>
      </c>
      <c r="C44" s="181" t="str">
        <f aca="false">IF(A!BC42=0,"",A!BC42)</f>
        <v>PIRATES OF THE TABLE</v>
      </c>
      <c r="D44" s="182" t="n">
        <f aca="false">IF(A!BA42=0,"",A!BA42)</f>
        <v>222</v>
      </c>
    </row>
    <row r="45" customFormat="false" ht="19.5" hidden="false" customHeight="true" outlineLevel="0" collapsed="false">
      <c r="A45" s="180" t="str">
        <f aca="false">IF(A!BA43=0,"",IF(OR(D45=D46,D45=D44),"Tie",ROW(A45)-6))</f>
        <v>Tie</v>
      </c>
      <c r="B45" s="181" t="str">
        <f aca="false">IF(A!BB43=0,"",A!BB43)</f>
        <v>RICHARD</v>
      </c>
      <c r="C45" s="181" t="str">
        <f aca="false">IF(A!BC43=0,"",A!BC43)</f>
        <v>FFFFF TO THE 1OTH POWER</v>
      </c>
      <c r="D45" s="182" t="n">
        <f aca="false">IF(A!BA43=0,"",A!BA43)</f>
        <v>222</v>
      </c>
    </row>
    <row r="46" customFormat="false" ht="19.5" hidden="false" customHeight="true" outlineLevel="0" collapsed="false">
      <c r="A46" s="180" t="n">
        <f aca="false">IF(A!BA44=0,"",IF(OR(D46=D47,D46=D45),"Tie",ROW(A46)-6))</f>
        <v>40</v>
      </c>
      <c r="B46" s="181" t="str">
        <f aca="false">IF(A!BB44=0,"",A!BB44)</f>
        <v>ELI</v>
      </c>
      <c r="C46" s="181" t="str">
        <f aca="false">IF(A!BC44=0,"",A!BC44)</f>
        <v>VLADIMIR POOLIN</v>
      </c>
      <c r="D46" s="182" t="n">
        <f aca="false">IF(A!BA44=0,"",A!BA44)</f>
        <v>221</v>
      </c>
    </row>
    <row r="47" customFormat="false" ht="19.5" hidden="false" customHeight="true" outlineLevel="0" collapsed="false">
      <c r="A47" s="180" t="n">
        <f aca="false">IF(A!BA45=0,"",IF(OR(D47=D48,D47=D46),"Tie",ROW(A47)-6))</f>
        <v>41</v>
      </c>
      <c r="B47" s="181" t="str">
        <f aca="false">IF(A!BB45=0,"",A!BB45)</f>
        <v>CARA</v>
      </c>
      <c r="C47" s="181" t="str">
        <f aca="false">IF(A!BC45=0,"",A!BC45)</f>
        <v>HOT WHEELS</v>
      </c>
      <c r="D47" s="182" t="n">
        <f aca="false">IF(A!BA45=0,"",A!BA45)</f>
        <v>220</v>
      </c>
    </row>
    <row r="48" customFormat="false" ht="19.5" hidden="false" customHeight="true" outlineLevel="0" collapsed="false">
      <c r="A48" s="180" t="str">
        <f aca="false">IF(A!BA46=0,"",IF(OR(D48=D49,D48=D47),"Tie",ROW(A48)-6))</f>
        <v>Tie</v>
      </c>
      <c r="B48" s="181" t="str">
        <f aca="false">IF(A!BB46=0,"",A!BB46)</f>
        <v>NICK</v>
      </c>
      <c r="C48" s="181" t="str">
        <f aca="false">IF(A!BC46=0,"",A!BC46)</f>
        <v>RACK PACK</v>
      </c>
      <c r="D48" s="182" t="n">
        <f aca="false">IF(A!BA46=0,"",A!BA46)</f>
        <v>218</v>
      </c>
    </row>
    <row r="49" customFormat="false" ht="19.5" hidden="false" customHeight="true" outlineLevel="0" collapsed="false">
      <c r="A49" s="180" t="str">
        <f aca="false">IF(A!BA47=0,"",IF(OR(D49=D50,D49=D48),"Tie",ROW(A49)-6))</f>
        <v>Tie</v>
      </c>
      <c r="B49" s="181" t="str">
        <f aca="false">IF(A!BB47=0,"",A!BB47)</f>
        <v>ROGER</v>
      </c>
      <c r="C49" s="181" t="str">
        <f aca="false">IF(A!BC47=0,"",A!BC47)</f>
        <v>THE BOYS</v>
      </c>
      <c r="D49" s="182" t="n">
        <f aca="false">IF(A!BA47=0,"",A!BA47)</f>
        <v>218</v>
      </c>
    </row>
    <row r="50" customFormat="false" ht="19.5" hidden="false" customHeight="true" outlineLevel="0" collapsed="false">
      <c r="A50" s="180" t="n">
        <f aca="false">IF(A!BA48=0,"",IF(OR(D50=D51,D50=D49),"Tie",ROW(A50)-6))</f>
        <v>44</v>
      </c>
      <c r="B50" s="181" t="str">
        <f aca="false">IF(A!BB48=0,"",A!BB48)</f>
        <v>RICH</v>
      </c>
      <c r="C50" s="181" t="str">
        <f aca="false">IF(A!BC48=0,"",A!BC48)</f>
        <v>YOUNG BLOODS</v>
      </c>
      <c r="D50" s="182" t="n">
        <f aca="false">IF(A!BA48=0,"",A!BA48)</f>
        <v>214</v>
      </c>
    </row>
    <row r="51" customFormat="false" ht="19.5" hidden="false" customHeight="true" outlineLevel="0" collapsed="false">
      <c r="A51" s="180" t="n">
        <f aca="false">IF(A!BA49=0,"",IF(OR(D51=D52,D51=D50),"Tie",ROW(A51)-6))</f>
        <v>45</v>
      </c>
      <c r="B51" s="181" t="str">
        <f aca="false">IF(A!BB49=0,"",A!BB49)</f>
        <v>DOUG</v>
      </c>
      <c r="C51" s="181" t="str">
        <f aca="false">IF(A!BC49=0,"",A!BC49)</f>
        <v>THE DOUGERNAUTS</v>
      </c>
      <c r="D51" s="182" t="n">
        <f aca="false">IF(A!BA49=0,"",A!BA49)</f>
        <v>209</v>
      </c>
    </row>
    <row r="52" customFormat="false" ht="19.5" hidden="false" customHeight="true" outlineLevel="0" collapsed="false">
      <c r="A52" s="180" t="n">
        <f aca="false">IF(A!BA50=0,"",IF(OR(D52=D53,D52=D51),"Tie",ROW(A52)-6))</f>
        <v>46</v>
      </c>
      <c r="B52" s="181" t="str">
        <f aca="false">IF(A!BB50=0,"",A!BB50)</f>
        <v>BRANDY</v>
      </c>
      <c r="C52" s="181" t="str">
        <f aca="false">IF(A!BC50=0,"",A!BC50)</f>
        <v>HOT WHEELS</v>
      </c>
      <c r="D52" s="182" t="n">
        <f aca="false">IF(A!BA50=0,"",A!BA50)</f>
        <v>207</v>
      </c>
    </row>
    <row r="53" customFormat="false" ht="19.5" hidden="false" customHeight="true" outlineLevel="0" collapsed="false">
      <c r="A53" s="180" t="n">
        <f aca="false">IF(A!BA51=0,"",IF(OR(D53=D54,D53=D52),"Tie",ROW(A53)-6))</f>
        <v>47</v>
      </c>
      <c r="B53" s="181" t="str">
        <f aca="false">IF(A!BB51=0,"",A!BB51)</f>
        <v>IAN</v>
      </c>
      <c r="C53" s="181" t="str">
        <f aca="false">IF(A!BC51=0,"",A!BC51)</f>
        <v>VLADIMIR POOLIN</v>
      </c>
      <c r="D53" s="182" t="n">
        <f aca="false">IF(A!BA51=0,"",A!BA51)</f>
        <v>201</v>
      </c>
    </row>
    <row r="54" customFormat="false" ht="19.5" hidden="false" customHeight="true" outlineLevel="0" collapsed="false">
      <c r="A54" s="180" t="str">
        <f aca="false">IF(A!BA52=0,"",IF(OR(D54=D55,D54=D53),"Tie",ROW(A54)-6))</f>
        <v>Tie</v>
      </c>
      <c r="B54" s="181" t="str">
        <f aca="false">IF(A!BB52=0,"",A!BB52)</f>
        <v>ROWAN</v>
      </c>
      <c r="C54" s="181" t="str">
        <f aca="false">IF(A!BC52=0,"",A!BC52)</f>
        <v>VLADIMIR POOLIN</v>
      </c>
      <c r="D54" s="182" t="n">
        <f aca="false">IF(A!BA52=0,"",A!BA52)</f>
        <v>198</v>
      </c>
    </row>
    <row r="55" customFormat="false" ht="19.5" hidden="false" customHeight="true" outlineLevel="0" collapsed="false">
      <c r="A55" s="180" t="str">
        <f aca="false">IF(A!BA53=0,"",IF(OR(D55=D56,D55=D54),"Tie",ROW(A55)-6))</f>
        <v>Tie</v>
      </c>
      <c r="B55" s="181" t="str">
        <f aca="false">IF(A!BB53=0,"",A!BB53)</f>
        <v>NICK</v>
      </c>
      <c r="C55" s="181" t="str">
        <f aca="false">IF(A!BC53=0,"",A!BC53)</f>
        <v>SPAM FO LUNCH</v>
      </c>
      <c r="D55" s="182" t="n">
        <f aca="false">IF(A!BA53=0,"",A!BA53)</f>
        <v>198</v>
      </c>
    </row>
    <row r="56" customFormat="false" ht="19.5" hidden="false" customHeight="true" outlineLevel="0" collapsed="false">
      <c r="A56" s="180" t="n">
        <f aca="false">IF(A!BA54=0,"",IF(OR(D56=D57,D56=D55),"Tie",ROW(A56)-6))</f>
        <v>50</v>
      </c>
      <c r="B56" s="181" t="str">
        <f aca="false">IF(A!BB54=0,"",A!BB54)</f>
        <v>VICKIE</v>
      </c>
      <c r="C56" s="181" t="str">
        <f aca="false">IF(A!BC54=0,"",A!BC54)</f>
        <v>HABOOBS</v>
      </c>
      <c r="D56" s="182" t="n">
        <f aca="false">IF(A!BA54=0,"",A!BA54)</f>
        <v>191</v>
      </c>
    </row>
    <row r="57" customFormat="false" ht="19.5" hidden="false" customHeight="true" outlineLevel="0" collapsed="false">
      <c r="A57" s="180" t="n">
        <f aca="false">IF(A!BA55=0,"",IF(OR(D57=D58,D57=D56),"Tie",ROW(A57)-6))</f>
        <v>51</v>
      </c>
      <c r="B57" s="181" t="str">
        <f aca="false">IF(A!BB55=0,"",A!BB55)</f>
        <v>SANDY</v>
      </c>
      <c r="C57" s="181" t="str">
        <f aca="false">IF(A!BC55=0,"",A!BC55)</f>
        <v>FFFFF TO THE 1OTH POWER</v>
      </c>
      <c r="D57" s="182" t="n">
        <f aca="false">IF(A!BA55=0,"",A!BA55)</f>
        <v>183</v>
      </c>
    </row>
    <row r="58" customFormat="false" ht="19.5" hidden="false" customHeight="true" outlineLevel="0" collapsed="false">
      <c r="A58" s="180" t="n">
        <f aca="false">IF(A!BA56=0,"",IF(OR(D58=D59,D58=D57),"Tie",ROW(A58)-6))</f>
        <v>52</v>
      </c>
      <c r="B58" s="181" t="str">
        <f aca="false">IF(A!BB56=0,"",A!BB56)</f>
        <v>WC</v>
      </c>
      <c r="C58" s="181" t="str">
        <f aca="false">IF(A!BC56=0,"",A!BC56)</f>
        <v>PIRATES OF THE TABLE</v>
      </c>
      <c r="D58" s="182" t="n">
        <f aca="false">IF(A!BA56=0,"",A!BA56)</f>
        <v>182</v>
      </c>
    </row>
    <row r="59" customFormat="false" ht="19.5" hidden="false" customHeight="true" outlineLevel="0" collapsed="false">
      <c r="A59" s="180" t="n">
        <f aca="false">IF(A!BA57=0,"",IF(OR(D59=D60,D59=D58),"Tie",ROW(A59)-6))</f>
        <v>53</v>
      </c>
      <c r="B59" s="181" t="str">
        <f aca="false">IF(A!BB57=0,"",A!BB57)</f>
        <v>SAM</v>
      </c>
      <c r="C59" s="181" t="str">
        <f aca="false">IF(A!BC57=0,"",A!BC57)</f>
        <v>PIRATES OF THE TABLE</v>
      </c>
      <c r="D59" s="182" t="n">
        <f aca="false">IF(A!BA57=0,"",A!BA57)</f>
        <v>176</v>
      </c>
    </row>
    <row r="60" customFormat="false" ht="19.5" hidden="false" customHeight="true" outlineLevel="0" collapsed="false">
      <c r="A60" s="180" t="n">
        <f aca="false">IF(A!BA58=0,"",IF(OR(D60=D61,D60=D59),"Tie",ROW(A60)-6))</f>
        <v>54</v>
      </c>
      <c r="B60" s="181" t="str">
        <f aca="false">IF(A!BB58=0,"",A!BB58)</f>
        <v>TRAYE</v>
      </c>
      <c r="C60" s="181" t="str">
        <f aca="false">IF(A!BC58=0,"",A!BC58)</f>
        <v>PIRATES OF THE TABLE</v>
      </c>
      <c r="D60" s="182" t="n">
        <f aca="false">IF(A!BA58=0,"",A!BA58)</f>
        <v>175</v>
      </c>
    </row>
    <row r="61" customFormat="false" ht="19.5" hidden="false" customHeight="true" outlineLevel="0" collapsed="false">
      <c r="A61" s="180" t="n">
        <f aca="false">IF(A!BA59=0,"",IF(OR(D61=D62,D61=D60),"Tie",ROW(A61)-6))</f>
        <v>55</v>
      </c>
      <c r="B61" s="181" t="str">
        <f aca="false">IF(A!BB59=0,"",A!BB59)</f>
        <v>JAMES</v>
      </c>
      <c r="C61" s="181" t="str">
        <f aca="false">IF(A!BC59=0,"",A!BC59)</f>
        <v>VLADIMIR POOLIN</v>
      </c>
      <c r="D61" s="182" t="n">
        <f aca="false">IF(A!BA59=0,"",A!BA59)</f>
        <v>162</v>
      </c>
    </row>
    <row r="62" customFormat="false" ht="19.5" hidden="false" customHeight="true" outlineLevel="0" collapsed="false">
      <c r="A62" s="180" t="n">
        <f aca="false">IF(A!BA60=0,"",IF(OR(D62=D63,D62=D61),"Tie",ROW(A62)-6))</f>
        <v>56</v>
      </c>
      <c r="B62" s="181" t="str">
        <f aca="false">IF(A!BB60=0,"",A!BB60)</f>
        <v/>
      </c>
      <c r="C62" s="181" t="str">
        <f aca="false">IF(A!BC60=0,"",A!BC60)</f>
        <v>PIRATES OF THE TABLE</v>
      </c>
      <c r="D62" s="182" t="n">
        <f aca="false">IF(A!BA60=0,"",A!BA60)</f>
        <v>18</v>
      </c>
    </row>
    <row r="63" customFormat="false" ht="19.5" hidden="false" customHeight="true" outlineLevel="0" collapsed="false">
      <c r="A63" s="180" t="str">
        <f aca="false">IF(A!BA61=0,"",IF(OR(D63=D64,D63=D62),"Tie",ROW(A63)-6))</f>
        <v>Tie</v>
      </c>
      <c r="B63" s="181" t="n">
        <f aca="false">IF(A!BB61=0,"",A!BB61)</f>
        <v>1</v>
      </c>
      <c r="C63" s="181" t="str">
        <f aca="false">IF(A!BC61=0,"",A!BC61)</f>
        <v>BYE</v>
      </c>
      <c r="D63" s="182" t="n">
        <f aca="false">IF(A!BA61=0,"",A!BA61)</f>
        <v>5</v>
      </c>
    </row>
    <row r="64" customFormat="false" ht="19.5" hidden="false" customHeight="true" outlineLevel="0" collapsed="false">
      <c r="A64" s="180" t="str">
        <f aca="false">IF(A!BA62=0,"",IF(OR(D64=D65,D64=D63),"Tie",ROW(A64)-6))</f>
        <v>Tie</v>
      </c>
      <c r="B64" s="181" t="n">
        <f aca="false">IF(A!BB62=0,"",A!BB62)</f>
        <v>2</v>
      </c>
      <c r="C64" s="181" t="str">
        <f aca="false">IF(A!BC62=0,"",A!BC62)</f>
        <v>BYE</v>
      </c>
      <c r="D64" s="182" t="n">
        <f aca="false">IF(A!BA62=0,"",A!BA62)</f>
        <v>5</v>
      </c>
    </row>
    <row r="65" customFormat="false" ht="19.5" hidden="false" customHeight="true" outlineLevel="0" collapsed="false">
      <c r="A65" s="180" t="str">
        <f aca="false">IF(A!BA63=0,"",IF(OR(D65=D66,D65=D64),"Tie",ROW(A65)-6))</f>
        <v>Tie</v>
      </c>
      <c r="B65" s="181" t="n">
        <f aca="false">IF(A!BB63=0,"",A!BB63)</f>
        <v>3</v>
      </c>
      <c r="C65" s="181" t="str">
        <f aca="false">IF(A!BC63=0,"",A!BC63)</f>
        <v>BYE</v>
      </c>
      <c r="D65" s="182" t="n">
        <f aca="false">IF(A!BA63=0,"",A!BA63)</f>
        <v>5</v>
      </c>
    </row>
    <row r="66" customFormat="false" ht="19.5" hidden="false" customHeight="true" outlineLevel="0" collapsed="false">
      <c r="A66" s="180" t="str">
        <f aca="false">IF(A!BA64=0,"",IF(OR(D66=D67,D66=D65),"Tie",ROW(A66)-6))</f>
        <v>Tie</v>
      </c>
      <c r="B66" s="181" t="n">
        <f aca="false">IF(A!BB64=0,"",A!BB64)</f>
        <v>4</v>
      </c>
      <c r="C66" s="181" t="str">
        <f aca="false">IF(A!BC64=0,"",A!BC64)</f>
        <v>BYE</v>
      </c>
      <c r="D66" s="182" t="n">
        <f aca="false">IF(A!BA64=0,"",A!BA64)</f>
        <v>5</v>
      </c>
    </row>
    <row r="67" customFormat="false" ht="19.5" hidden="false" customHeight="true" outlineLevel="0" collapsed="false">
      <c r="A67" s="180" t="str">
        <f aca="false">IF(A!BA65=0,"",IF(OR(D67=D68,D67=D66),"Tie",ROW(A67)-6))</f>
        <v>Tie</v>
      </c>
      <c r="B67" s="181" t="n">
        <f aca="false">IF(A!BB65=0,"",A!BB65)</f>
        <v>5</v>
      </c>
      <c r="C67" s="181" t="str">
        <f aca="false">IF(A!BC65=0,"",A!BC65)</f>
        <v>BYE</v>
      </c>
      <c r="D67" s="182" t="n">
        <f aca="false">IF(A!BA65=0,"",A!BA65)</f>
        <v>5</v>
      </c>
    </row>
    <row r="68" customFormat="false" ht="19.5" hidden="false" customHeight="true" outlineLevel="0" collapsed="false">
      <c r="A68" s="180" t="str">
        <f aca="false">IF(A!BA66=0,"",IF(OR(D68=D69,D68=D67),"Tie",ROW(A68)-6))</f>
        <v/>
      </c>
      <c r="B68" s="181" t="str">
        <f aca="false">IF(A!BB66=0,"",A!BB66)</f>
        <v/>
      </c>
      <c r="C68" s="181" t="str">
        <f aca="false">IF(A!BC66=0,"",A!BC66)</f>
        <v/>
      </c>
      <c r="D68" s="182" t="str">
        <f aca="false">IF(A!BA66=0,"",A!BA66)</f>
        <v/>
      </c>
    </row>
    <row r="69" customFormat="false" ht="19.5" hidden="false" customHeight="true" outlineLevel="0" collapsed="false">
      <c r="A69" s="180" t="str">
        <f aca="false">IF(A!BA67=0,"",IF(OR(D69=D70,D69=D68),"Tie",ROW(A69)-6))</f>
        <v/>
      </c>
      <c r="B69" s="181" t="str">
        <f aca="false">IF(A!BB67=0,"",A!BB67)</f>
        <v/>
      </c>
      <c r="C69" s="181" t="str">
        <f aca="false">IF(A!BC67=0,"",A!BC67)</f>
        <v/>
      </c>
      <c r="D69" s="182" t="str">
        <f aca="false">IF(A!BA67=0,"",A!BA67)</f>
        <v/>
      </c>
    </row>
    <row r="70" customFormat="false" ht="19.5" hidden="false" customHeight="true" outlineLevel="0" collapsed="false">
      <c r="A70" s="180" t="str">
        <f aca="false">IF(A!BA68=0,"",IF(OR(D70=D71,D70=D69),"Tie",ROW(A70)-6))</f>
        <v/>
      </c>
      <c r="B70" s="181" t="str">
        <f aca="false">IF(A!BB68=0,"",A!BB68)</f>
        <v/>
      </c>
      <c r="C70" s="181" t="str">
        <f aca="false">IF(A!BC68=0,"",A!BC68)</f>
        <v/>
      </c>
      <c r="D70" s="182" t="str">
        <f aca="false">IF(A!BA68=0,"",A!BA68)</f>
        <v/>
      </c>
    </row>
    <row r="71" customFormat="false" ht="19.5" hidden="false" customHeight="true" outlineLevel="0" collapsed="false">
      <c r="A71" s="180" t="str">
        <f aca="false">IF(A!BA69=0,"",IF(OR(D71=D72,D71=D70),"Tie",ROW(A71)-6))</f>
        <v/>
      </c>
      <c r="B71" s="181" t="str">
        <f aca="false">IF(A!BB69=0,"",A!BB69)</f>
        <v/>
      </c>
      <c r="C71" s="181" t="str">
        <f aca="false">IF(A!BC69=0,"",A!BC69)</f>
        <v/>
      </c>
      <c r="D71" s="182" t="str">
        <f aca="false">IF(A!BA69=0,"",A!BA69)</f>
        <v/>
      </c>
    </row>
    <row r="72" customFormat="false" ht="19.5" hidden="false" customHeight="true" outlineLevel="0" collapsed="false">
      <c r="A72" s="180" t="str">
        <f aca="false">IF(A!BA70=0,"",IF(OR(D72=D73,D72=D71),"Tie",ROW(A72)-6))</f>
        <v/>
      </c>
      <c r="B72" s="181" t="str">
        <f aca="false">IF(A!BB70=0,"",A!BB70)</f>
        <v/>
      </c>
      <c r="C72" s="181" t="str">
        <f aca="false">IF(A!BC70=0,"",A!BC70)</f>
        <v/>
      </c>
      <c r="D72" s="182" t="str">
        <f aca="false">IF(A!BA70=0,"",A!BA70)</f>
        <v/>
      </c>
    </row>
    <row r="73" customFormat="false" ht="19.5" hidden="false" customHeight="true" outlineLevel="0" collapsed="false">
      <c r="A73" s="180" t="str">
        <f aca="false">IF(A!BA71=0,"",IF(OR(D73=D74,D73=D72),"Tie",ROW(A73)-6))</f>
        <v/>
      </c>
      <c r="B73" s="181" t="str">
        <f aca="false">IF(A!BB71=0,"",A!BB71)</f>
        <v/>
      </c>
      <c r="C73" s="181" t="str">
        <f aca="false">IF(A!BC71=0,"",A!BC71)</f>
        <v/>
      </c>
      <c r="D73" s="182" t="str">
        <f aca="false">IF(A!BA71=0,"",A!BA71)</f>
        <v/>
      </c>
    </row>
    <row r="74" customFormat="false" ht="19.5" hidden="false" customHeight="true" outlineLevel="0" collapsed="false">
      <c r="A74" s="180" t="str">
        <f aca="false">IF(A!BA72=0,"",IF(OR(D74=D75,D74=D73),"Tie",ROW(A74)-6))</f>
        <v/>
      </c>
      <c r="B74" s="181" t="str">
        <f aca="false">IF(A!BB72=0,"",A!BB72)</f>
        <v/>
      </c>
      <c r="C74" s="181" t="str">
        <f aca="false">IF(A!BC72=0,"",A!BC72)</f>
        <v/>
      </c>
      <c r="D74" s="182" t="str">
        <f aca="false">IF(A!BA72=0,"",A!BA72)</f>
        <v/>
      </c>
    </row>
    <row r="75" customFormat="false" ht="19.5" hidden="false" customHeight="true" outlineLevel="0" collapsed="false">
      <c r="A75" s="180" t="str">
        <f aca="false">IF(A!BA73=0,"",IF(OR(D75=D76,D75=D74),"Tie",ROW(A75)-6))</f>
        <v/>
      </c>
      <c r="B75" s="181" t="str">
        <f aca="false">IF(A!BB73=0,"",A!BB73)</f>
        <v/>
      </c>
      <c r="C75" s="181" t="str">
        <f aca="false">IF(A!BC73=0,"",A!BC73)</f>
        <v/>
      </c>
      <c r="D75" s="182" t="str">
        <f aca="false">IF(A!BA73=0,"",A!BA73)</f>
        <v/>
      </c>
    </row>
    <row r="76" customFormat="false" ht="19.5" hidden="false" customHeight="true" outlineLevel="0" collapsed="false">
      <c r="A76" s="180" t="str">
        <f aca="false">IF(A!BA74=0,"",IF(OR(D76=D77,D76=D75),"Tie",ROW(A76)-6))</f>
        <v/>
      </c>
      <c r="B76" s="181" t="str">
        <f aca="false">IF(A!BB74=0,"",A!BB74)</f>
        <v/>
      </c>
      <c r="C76" s="181" t="str">
        <f aca="false">IF(A!BC74=0,"",A!BC74)</f>
        <v/>
      </c>
      <c r="D76" s="182" t="str">
        <f aca="false">IF(A!BA74=0,"",A!BA74)</f>
        <v/>
      </c>
    </row>
    <row r="77" customFormat="false" ht="19.5" hidden="false" customHeight="true" outlineLevel="0" collapsed="false">
      <c r="A77" s="180" t="str">
        <f aca="false">IF(A!BA75=0,"",IF(OR(D77=D78,D77=D76),"Tie",ROW(A77)-6))</f>
        <v/>
      </c>
      <c r="B77" s="181" t="str">
        <f aca="false">IF(A!BB75=0,"",A!BB75)</f>
        <v/>
      </c>
      <c r="C77" s="181" t="str">
        <f aca="false">IF(A!BC75=0,"",A!BC75)</f>
        <v/>
      </c>
      <c r="D77" s="182" t="str">
        <f aca="false">IF(A!BA75=0,"",A!BA75)</f>
        <v/>
      </c>
    </row>
    <row r="78" customFormat="false" ht="19.5" hidden="false" customHeight="true" outlineLevel="0" collapsed="false">
      <c r="A78" s="180" t="str">
        <f aca="false">IF(A!BA76=0,"",IF(OR(D78=D79,D78=D77),"Tie",ROW(A78)-6))</f>
        <v/>
      </c>
      <c r="B78" s="181" t="str">
        <f aca="false">IF(A!BB76=0,"",A!BB76)</f>
        <v/>
      </c>
      <c r="C78" s="181" t="str">
        <f aca="false">IF(A!BC76=0,"",A!BC76)</f>
        <v/>
      </c>
      <c r="D78" s="182" t="str">
        <f aca="false">IF(A!BA76=0,"",A!BA76)</f>
        <v/>
      </c>
    </row>
    <row r="79" customFormat="false" ht="19.5" hidden="false" customHeight="true" outlineLevel="0" collapsed="false">
      <c r="A79" s="180" t="str">
        <f aca="false">IF(A!BA77=0,"",IF(OR(D79=D80,D79=D78),"Tie",ROW(A79)-6))</f>
        <v/>
      </c>
      <c r="B79" s="181" t="str">
        <f aca="false">IF(A!BB77=0,"",A!BB77)</f>
        <v/>
      </c>
      <c r="C79" s="181" t="str">
        <f aca="false">IF(A!BC77=0,"",A!BC77)</f>
        <v/>
      </c>
      <c r="D79" s="182" t="str">
        <f aca="false">IF(A!BA77=0,"",A!BA77)</f>
        <v/>
      </c>
    </row>
    <row r="80" customFormat="false" ht="19.5" hidden="false" customHeight="true" outlineLevel="0" collapsed="false">
      <c r="A80" s="180" t="str">
        <f aca="false">IF(A!BA78=0,"",IF(OR(D80=D81,D80=D79),"Tie",ROW(A80)-6))</f>
        <v/>
      </c>
      <c r="B80" s="181" t="str">
        <f aca="false">IF(A!BB78=0,"",A!BB78)</f>
        <v/>
      </c>
      <c r="C80" s="181" t="str">
        <f aca="false">IF(A!BC78=0,"",A!BC78)</f>
        <v/>
      </c>
      <c r="D80" s="182" t="str">
        <f aca="false">IF(A!BA78=0,"",A!BA78)</f>
        <v/>
      </c>
    </row>
    <row r="81" customFormat="false" ht="19.5" hidden="false" customHeight="true" outlineLevel="0" collapsed="false">
      <c r="A81" s="180" t="str">
        <f aca="false">IF(A!BA79=0,"",IF(OR(D81=D82,D81=D80),"Tie",ROW(A81)-6))</f>
        <v/>
      </c>
      <c r="B81" s="181" t="str">
        <f aca="false">IF(A!BB79=0,"",A!BB79)</f>
        <v/>
      </c>
      <c r="C81" s="181" t="str">
        <f aca="false">IF(A!BC79=0,"",A!BC79)</f>
        <v/>
      </c>
      <c r="D81" s="182" t="str">
        <f aca="false">IF(A!BA79=0,"",A!BA79)</f>
        <v/>
      </c>
    </row>
    <row r="82" customFormat="false" ht="19.5" hidden="false" customHeight="true" outlineLevel="0" collapsed="false">
      <c r="A82" s="180" t="str">
        <f aca="false">IF(A!BA80=0,"",IF(OR(D82=D83,D82=D81),"Tie",ROW(A82)-6))</f>
        <v/>
      </c>
      <c r="B82" s="181" t="str">
        <f aca="false">IF(A!BB80=0,"",A!BB80)</f>
        <v/>
      </c>
      <c r="C82" s="181" t="str">
        <f aca="false">IF(A!BC80=0,"",A!BC80)</f>
        <v/>
      </c>
      <c r="D82" s="182" t="str">
        <f aca="false">IF(A!BA80=0,"",A!BA80)</f>
        <v/>
      </c>
    </row>
    <row r="83" customFormat="false" ht="19.5" hidden="false" customHeight="true" outlineLevel="0" collapsed="false">
      <c r="A83" s="180" t="str">
        <f aca="false">IF(A!BA81=0,"",IF(OR(D83=D84,D83=D82),"Tie",ROW(A83)-6))</f>
        <v/>
      </c>
      <c r="B83" s="181" t="str">
        <f aca="false">IF(A!BB81=0,"",A!BB81)</f>
        <v/>
      </c>
      <c r="C83" s="181" t="str">
        <f aca="false">IF(A!BC81=0,"",A!BC81)</f>
        <v/>
      </c>
      <c r="D83" s="182" t="str">
        <f aca="false">IF(A!BA81=0,"",A!BA81)</f>
        <v/>
      </c>
    </row>
    <row r="84" customFormat="false" ht="19.5" hidden="false" customHeight="true" outlineLevel="0" collapsed="false">
      <c r="A84" s="180" t="str">
        <f aca="false">IF(A!BA82=0,"",IF(OR(D84=D85,D84=D83),"Tie",ROW(A84)-6))</f>
        <v/>
      </c>
      <c r="B84" s="181" t="str">
        <f aca="false">IF(A!BB82=0,"",A!BB82)</f>
        <v/>
      </c>
      <c r="C84" s="181" t="str">
        <f aca="false">IF(A!BC82=0,"",A!BC82)</f>
        <v/>
      </c>
      <c r="D84" s="182" t="str">
        <f aca="false">IF(A!BA82=0,"",A!BA82)</f>
        <v/>
      </c>
    </row>
    <row r="85" customFormat="false" ht="19.5" hidden="false" customHeight="true" outlineLevel="0" collapsed="false">
      <c r="A85" s="180" t="str">
        <f aca="false">IF(A!BA83=0,"",IF(OR(D85=D86,D85=D84),"Tie",ROW(A85)-6))</f>
        <v/>
      </c>
      <c r="B85" s="181" t="str">
        <f aca="false">IF(A!BB83=0,"",A!BB83)</f>
        <v/>
      </c>
      <c r="C85" s="181" t="str">
        <f aca="false">IF(A!BC83=0,"",A!BC83)</f>
        <v/>
      </c>
      <c r="D85" s="182" t="str">
        <f aca="false">IF(A!BA83=0,"",A!BA83)</f>
        <v/>
      </c>
    </row>
    <row r="86" customFormat="false" ht="19.5" hidden="false" customHeight="true" outlineLevel="0" collapsed="false">
      <c r="A86" s="180" t="str">
        <f aca="false">IF(A!BA84=0,"",IF(OR(D86=D87,D86=D85),"Tie",ROW(A86)-6))</f>
        <v/>
      </c>
      <c r="B86" s="181" t="str">
        <f aca="false">IF(A!BB84=0,"",A!BB84)</f>
        <v/>
      </c>
      <c r="C86" s="181" t="str">
        <f aca="false">IF(A!BC84=0,"",A!BC84)</f>
        <v/>
      </c>
      <c r="D86" s="182" t="str">
        <f aca="false">IF(A!BA84=0,"",A!BA84)</f>
        <v/>
      </c>
    </row>
    <row r="87" customFormat="false" ht="19.5" hidden="false" customHeight="true" outlineLevel="0" collapsed="false">
      <c r="A87" s="180" t="str">
        <f aca="false">IF(A!BA85=0,"",IF(OR(D87=D88,D87=D86),"Tie",ROW(A87)-6))</f>
        <v/>
      </c>
      <c r="B87" s="181" t="str">
        <f aca="false">IF(A!BB85=0,"",A!BB85)</f>
        <v/>
      </c>
      <c r="C87" s="181" t="str">
        <f aca="false">IF(A!BC85=0,"",A!BC85)</f>
        <v/>
      </c>
      <c r="D87" s="182" t="str">
        <f aca="false">IF(A!BA85=0,"",A!BA85)</f>
        <v/>
      </c>
    </row>
    <row r="88" customFormat="false" ht="19.5" hidden="false" customHeight="true" outlineLevel="0" collapsed="false">
      <c r="A88" s="180" t="str">
        <f aca="false">IF(A!BA86=0,"",IF(OR(D88=D89,D88=D87),"Tie",ROW(A88)-6))</f>
        <v/>
      </c>
      <c r="B88" s="181" t="str">
        <f aca="false">IF(A!BB86=0,"",A!BB86)</f>
        <v/>
      </c>
      <c r="C88" s="181" t="str">
        <f aca="false">IF(A!BC86=0,"",A!BC86)</f>
        <v/>
      </c>
      <c r="D88" s="182" t="str">
        <f aca="false">IF(A!BA86=0,"",A!BA86)</f>
        <v/>
      </c>
    </row>
    <row r="89" customFormat="false" ht="19.5" hidden="false" customHeight="true" outlineLevel="0" collapsed="false">
      <c r="A89" s="180" t="str">
        <f aca="false">IF(A!BA87=0,"",IF(OR(D89=D90,D89=D88),"Tie",ROW(A89)-6))</f>
        <v/>
      </c>
      <c r="B89" s="181" t="str">
        <f aca="false">IF(A!BB87=0,"",A!BB87)</f>
        <v/>
      </c>
      <c r="C89" s="181" t="str">
        <f aca="false">IF(A!BC87=0,"",A!BC87)</f>
        <v/>
      </c>
      <c r="D89" s="182" t="str">
        <f aca="false">IF(A!BA87=0,"",A!BA87)</f>
        <v/>
      </c>
    </row>
    <row r="90" customFormat="false" ht="19.5" hidden="false" customHeight="true" outlineLevel="0" collapsed="false">
      <c r="A90" s="180" t="str">
        <f aca="false">IF(A!BA88=0,"",IF(OR(D90=D91,D90=D89),"Tie",ROW(A90)-6))</f>
        <v/>
      </c>
      <c r="B90" s="181" t="str">
        <f aca="false">IF(A!BB88=0,"",A!BB88)</f>
        <v/>
      </c>
      <c r="C90" s="181" t="str">
        <f aca="false">IF(A!BC88=0,"",A!BC88)</f>
        <v/>
      </c>
      <c r="D90" s="182" t="str">
        <f aca="false">IF(A!BA88=0,"",A!BA88)</f>
        <v/>
      </c>
    </row>
    <row r="91" customFormat="false" ht="19.5" hidden="false" customHeight="true" outlineLevel="0" collapsed="false">
      <c r="A91" s="180" t="str">
        <f aca="false">IF(A!BA89=0,"",IF(OR(D91=D92,D91=D90),"Tie",ROW(A91)-6))</f>
        <v/>
      </c>
      <c r="B91" s="181" t="str">
        <f aca="false">IF(A!BB89=0,"",A!BB89)</f>
        <v/>
      </c>
      <c r="C91" s="181" t="str">
        <f aca="false">IF(A!BC89=0,"",A!BC89)</f>
        <v/>
      </c>
      <c r="D91" s="182" t="str">
        <f aca="false">IF(A!BA89=0,"",A!BA89)</f>
        <v/>
      </c>
    </row>
    <row r="92" customFormat="false" ht="19.5" hidden="false" customHeight="true" outlineLevel="0" collapsed="false">
      <c r="A92" s="180" t="str">
        <f aca="false">IF(A!BA90=0,"",IF(OR(D92=D93,D92=D91),"Tie",ROW(A92)-6))</f>
        <v/>
      </c>
      <c r="B92" s="181" t="str">
        <f aca="false">IF(A!BB90=0,"",A!BB90)</f>
        <v/>
      </c>
      <c r="C92" s="181" t="str">
        <f aca="false">IF(A!BC90=0,"",A!BC90)</f>
        <v/>
      </c>
      <c r="D92" s="182" t="str">
        <f aca="false">IF(A!BA90=0,"",A!BA90)</f>
        <v/>
      </c>
    </row>
    <row r="93" customFormat="false" ht="19.5" hidden="false" customHeight="true" outlineLevel="0" collapsed="false">
      <c r="A93" s="180" t="str">
        <f aca="false">IF(A!BA91=0,"",IF(OR(D93=D94,D93=D92),"Tie",ROW(A93)-6))</f>
        <v/>
      </c>
      <c r="B93" s="181" t="str">
        <f aca="false">IF(A!BB91=0,"",A!BB91)</f>
        <v/>
      </c>
      <c r="C93" s="181" t="str">
        <f aca="false">IF(A!BC91=0,"",A!BC91)</f>
        <v/>
      </c>
      <c r="D93" s="182" t="str">
        <f aca="false">IF(A!BA91=0,"",A!BA91)</f>
        <v/>
      </c>
    </row>
    <row r="94" customFormat="false" ht="19.5" hidden="false" customHeight="true" outlineLevel="0" collapsed="false">
      <c r="A94" s="180" t="str">
        <f aca="false">IF(A!BA92=0,"",IF(OR(D94=D95,D94=D93),"Tie",ROW(A94)-6))</f>
        <v/>
      </c>
      <c r="B94" s="181" t="str">
        <f aca="false">IF(A!BB92=0,"",A!BB92)</f>
        <v/>
      </c>
      <c r="C94" s="181" t="str">
        <f aca="false">IF(A!BC92=0,"",A!BC92)</f>
        <v/>
      </c>
      <c r="D94" s="182" t="str">
        <f aca="false">IF(A!BA92=0,"",A!BA92)</f>
        <v/>
      </c>
    </row>
    <row r="95" customFormat="false" ht="19.5" hidden="false" customHeight="true" outlineLevel="0" collapsed="false">
      <c r="A95" s="180" t="str">
        <f aca="false">IF(A!BA93=0,"",IF(OR(D95=D96,D95=D94),"Tie",ROW(A95)-6))</f>
        <v/>
      </c>
      <c r="B95" s="181" t="str">
        <f aca="false">IF(A!BB93=0,"",A!BB93)</f>
        <v/>
      </c>
      <c r="C95" s="181" t="str">
        <f aca="false">IF(A!BC93=0,"",A!BC93)</f>
        <v/>
      </c>
      <c r="D95" s="182" t="str">
        <f aca="false">IF(A!BA93=0,"",A!BA93)</f>
        <v/>
      </c>
    </row>
    <row r="96" customFormat="false" ht="19.5" hidden="false" customHeight="true" outlineLevel="0" collapsed="false">
      <c r="A96" s="180" t="str">
        <f aca="false">IF(A!BA94=0,"",IF(OR(D96=D97,D96=D95),"Tie",ROW(A96)-6))</f>
        <v/>
      </c>
      <c r="B96" s="181" t="str">
        <f aca="false">IF(A!BB94=0,"",A!BB94)</f>
        <v/>
      </c>
      <c r="C96" s="181" t="str">
        <f aca="false">IF(A!BC94=0,"",A!BC94)</f>
        <v/>
      </c>
      <c r="D96" s="182" t="str">
        <f aca="false">IF(A!BA94=0,"",A!BA94)</f>
        <v/>
      </c>
    </row>
    <row r="97" customFormat="false" ht="19.5" hidden="false" customHeight="true" outlineLevel="0" collapsed="false">
      <c r="A97" s="180" t="str">
        <f aca="false">IF(A!BA95=0,"",IF(OR(D97=D98,D97=D96),"Tie",ROW(A97)-6))</f>
        <v/>
      </c>
      <c r="B97" s="181" t="str">
        <f aca="false">IF(A!BB95=0,"",A!BB95)</f>
        <v/>
      </c>
      <c r="C97" s="181" t="str">
        <f aca="false">IF(A!BC95=0,"",A!BC95)</f>
        <v/>
      </c>
      <c r="D97" s="182" t="str">
        <f aca="false">IF(A!BA95=0,"",A!BA95)</f>
        <v/>
      </c>
    </row>
    <row r="98" customFormat="false" ht="19.5" hidden="false" customHeight="true" outlineLevel="0" collapsed="false">
      <c r="A98" s="180" t="str">
        <f aca="false">IF(A!BA96=0,"",IF(OR(D98=D99,D98=D97),"Tie",ROW(A98)-6))</f>
        <v/>
      </c>
      <c r="B98" s="181" t="str">
        <f aca="false">IF(A!BB96=0,"",A!BB96)</f>
        <v/>
      </c>
      <c r="C98" s="181" t="str">
        <f aca="false">IF(A!BC96=0,"",A!BC96)</f>
        <v/>
      </c>
      <c r="D98" s="182" t="str">
        <f aca="false">IF(A!BA96=0,"",A!BA96)</f>
        <v/>
      </c>
    </row>
    <row r="99" customFormat="false" ht="19.5" hidden="false" customHeight="true" outlineLevel="0" collapsed="false">
      <c r="A99" s="180" t="str">
        <f aca="false">IF(A!BA97=0,"",IF(OR(D99=D100,D99=D98),"Tie",ROW(A99)-6))</f>
        <v/>
      </c>
      <c r="B99" s="181" t="str">
        <f aca="false">IF(A!BB97=0,"",A!BB97)</f>
        <v/>
      </c>
      <c r="C99" s="181" t="str">
        <f aca="false">IF(A!BC97=0,"",A!BC97)</f>
        <v/>
      </c>
      <c r="D99" s="182" t="str">
        <f aca="false">IF(A!BA97=0,"",A!BA97)</f>
        <v/>
      </c>
    </row>
    <row r="100" customFormat="false" ht="19.5" hidden="false" customHeight="true" outlineLevel="0" collapsed="false">
      <c r="A100" s="180" t="str">
        <f aca="false">IF(A!BA98=0,"",IF(OR(D100=D101,D100=D99),"Tie",ROW(A100)-6))</f>
        <v/>
      </c>
      <c r="B100" s="181" t="str">
        <f aca="false">IF(A!BB98=0,"",A!BB98)</f>
        <v/>
      </c>
      <c r="C100" s="181" t="str">
        <f aca="false">IF(A!BC98=0,"",A!BC98)</f>
        <v/>
      </c>
      <c r="D100" s="182" t="str">
        <f aca="false">IF(A!BA98=0,"",A!BA98)</f>
        <v/>
      </c>
    </row>
    <row r="101" customFormat="false" ht="19.5" hidden="false" customHeight="true" outlineLevel="0" collapsed="false">
      <c r="A101" s="180" t="str">
        <f aca="false">IF(A!BA99=0,"",IF(OR(D101=D102,D101=D100),"Tie",ROW(A101)-6))</f>
        <v/>
      </c>
      <c r="B101" s="181" t="str">
        <f aca="false">IF(A!BB99=0,"",A!BB99)</f>
        <v/>
      </c>
      <c r="C101" s="181" t="str">
        <f aca="false">IF(A!BC99=0,"",A!BC99)</f>
        <v/>
      </c>
      <c r="D101" s="182" t="str">
        <f aca="false">IF(A!BA99=0,"",A!BA99)</f>
        <v/>
      </c>
    </row>
    <row r="102" customFormat="false" ht="19.5" hidden="false" customHeight="true" outlineLevel="0" collapsed="false">
      <c r="A102" s="180" t="str">
        <f aca="false">IF(A!BA100=0,"",IF(OR(D102=D103,D102=D101),"Tie",ROW(A102)-6))</f>
        <v/>
      </c>
      <c r="B102" s="181" t="str">
        <f aca="false">IF(A!BB100=0,"",A!BB100)</f>
        <v/>
      </c>
      <c r="C102" s="181" t="str">
        <f aca="false">IF(A!BC100=0,"",A!BC100)</f>
        <v/>
      </c>
      <c r="D102" s="182" t="str">
        <f aca="false">IF(A!BA100=0,"",A!BA100)</f>
        <v/>
      </c>
    </row>
    <row r="103" customFormat="false" ht="19.5" hidden="false" customHeight="true" outlineLevel="0" collapsed="false">
      <c r="A103" s="180" t="str">
        <f aca="false">IF(A!BA101=0,"",IF(OR(D103=D104,D103=D102),"Tie",ROW(A103)-6))</f>
        <v/>
      </c>
      <c r="B103" s="181" t="str">
        <f aca="false">IF(A!BB101=0,"",A!BB101)</f>
        <v/>
      </c>
      <c r="C103" s="181" t="str">
        <f aca="false">IF(A!BC101=0,"",A!BC101)</f>
        <v/>
      </c>
      <c r="D103" s="182" t="str">
        <f aca="false">IF(A!BA101=0,"",A!BA101)</f>
        <v/>
      </c>
    </row>
    <row r="104" customFormat="false" ht="19.5" hidden="false" customHeight="true" outlineLevel="0" collapsed="false">
      <c r="A104" s="180" t="str">
        <f aca="false">IF(A!BA102=0,"",IF(OR(D104=D105,D104=D103),"Tie",ROW(A104)-6))</f>
        <v/>
      </c>
      <c r="B104" s="181" t="str">
        <f aca="false">IF(A!BB102=0,"",A!BB102)</f>
        <v/>
      </c>
      <c r="C104" s="181" t="str">
        <f aca="false">IF(A!BC102=0,"",A!BC102)</f>
        <v/>
      </c>
      <c r="D104" s="182" t="str">
        <f aca="false">IF(A!BA102=0,"",A!BA102)</f>
        <v/>
      </c>
    </row>
    <row r="105" customFormat="false" ht="19.5" hidden="false" customHeight="true" outlineLevel="0" collapsed="false">
      <c r="A105" s="180" t="str">
        <f aca="false">IF(A!BA103=0,"",IF(OR(D105=D106,D105=D104),"Tie",ROW(A105)-6))</f>
        <v/>
      </c>
      <c r="B105" s="181" t="str">
        <f aca="false">IF(A!BB103=0,"",A!BB103)</f>
        <v/>
      </c>
      <c r="C105" s="181" t="str">
        <f aca="false">IF(A!BC103=0,"",A!BC103)</f>
        <v/>
      </c>
      <c r="D105" s="182" t="str">
        <f aca="false">IF(A!BA103=0,"",A!BA103)</f>
        <v/>
      </c>
    </row>
    <row r="106" customFormat="false" ht="19.5" hidden="false" customHeight="true" outlineLevel="0" collapsed="false">
      <c r="A106" s="180" t="str">
        <f aca="false">IF(A!BA104=0,"",IF(OR(D106=D107,D106=D105),"Tie",ROW(A106)-6))</f>
        <v/>
      </c>
      <c r="B106" s="181" t="str">
        <f aca="false">IF(A!BB104=0,"",A!BB104)</f>
        <v/>
      </c>
      <c r="C106" s="181" t="str">
        <f aca="false">IF(A!BC104=0,"",A!BC104)</f>
        <v/>
      </c>
      <c r="D106" s="182" t="str">
        <f aca="false">IF(A!BA104=0,"",A!BA104)</f>
        <v/>
      </c>
    </row>
    <row r="107" customFormat="false" ht="19.5" hidden="false" customHeight="true" outlineLevel="0" collapsed="false">
      <c r="A107" s="180" t="str">
        <f aca="false">IF(A!BA105=0,"",IF(OR(D107=D108,D107=D106),"Tie",ROW(A107)-6))</f>
        <v/>
      </c>
      <c r="B107" s="181" t="str">
        <f aca="false">IF(A!BB105=0,"",A!BB105)</f>
        <v/>
      </c>
      <c r="C107" s="181" t="str">
        <f aca="false">IF(A!BC105=0,"",A!BC105)</f>
        <v/>
      </c>
      <c r="D107" s="182" t="str">
        <f aca="false">IF(A!BA105=0,"",A!BA105)</f>
        <v/>
      </c>
    </row>
    <row r="108" customFormat="false" ht="19.5" hidden="false" customHeight="true" outlineLevel="0" collapsed="false">
      <c r="A108" s="180" t="str">
        <f aca="false">IF(A!BA106=0,"",IF(OR(D108=D109,D108=D107),"Tie",ROW(A108)-6))</f>
        <v/>
      </c>
      <c r="B108" s="181" t="str">
        <f aca="false">IF(A!BB106=0,"",A!BB106)</f>
        <v/>
      </c>
      <c r="C108" s="181" t="str">
        <f aca="false">IF(A!BC106=0,"",A!BC106)</f>
        <v/>
      </c>
      <c r="D108" s="182" t="str">
        <f aca="false">IF(A!BA106=0,"",A!BA106)</f>
        <v/>
      </c>
    </row>
    <row r="109" customFormat="false" ht="19.5" hidden="false" customHeight="true" outlineLevel="0" collapsed="false">
      <c r="A109" s="180" t="str">
        <f aca="false">IF(A!BA107=0,"",IF(OR(D109=D110,D109=D108),"Tie",ROW(A109)-6))</f>
        <v/>
      </c>
      <c r="B109" s="181" t="str">
        <f aca="false">IF(A!BB107=0,"",A!BB107)</f>
        <v/>
      </c>
      <c r="C109" s="181" t="str">
        <f aca="false">IF(A!BC107=0,"",A!BC107)</f>
        <v/>
      </c>
      <c r="D109" s="182" t="str">
        <f aca="false">IF(A!BA107=0,"",A!BA107)</f>
        <v/>
      </c>
    </row>
    <row r="110" customFormat="false" ht="19.5" hidden="false" customHeight="true" outlineLevel="0" collapsed="false">
      <c r="A110" s="180" t="str">
        <f aca="false">IF(A!BA108=0,"",IF(OR(D110=D111,D110=D109),"Tie",ROW(A110)-6))</f>
        <v/>
      </c>
      <c r="B110" s="181" t="str">
        <f aca="false">IF(A!BB108=0,"",A!BB108)</f>
        <v/>
      </c>
      <c r="C110" s="181" t="str">
        <f aca="false">IF(A!BC108=0,"",A!BC108)</f>
        <v/>
      </c>
      <c r="D110" s="182" t="str">
        <f aca="false">IF(A!BA108=0,"",A!BA108)</f>
        <v/>
      </c>
    </row>
    <row r="111" customFormat="false" ht="19.5" hidden="false" customHeight="true" outlineLevel="0" collapsed="false">
      <c r="A111" s="180" t="str">
        <f aca="false">IF(A!BA109=0,"",IF(OR(D111=D112,D111=D110),"Tie",ROW(A111)-6))</f>
        <v/>
      </c>
      <c r="B111" s="181" t="str">
        <f aca="false">IF(A!BB109=0,"",A!BB109)</f>
        <v/>
      </c>
      <c r="C111" s="181" t="str">
        <f aca="false">IF(A!BC109=0,"",A!BC109)</f>
        <v/>
      </c>
      <c r="D111" s="182" t="str">
        <f aca="false">IF(A!BA109=0,"",A!BA109)</f>
        <v/>
      </c>
    </row>
    <row r="112" customFormat="false" ht="19.5" hidden="false" customHeight="true" outlineLevel="0" collapsed="false">
      <c r="A112" s="180" t="str">
        <f aca="false">IF(A!BA110=0,"",IF(OR(D112=D113,D112=D111),"Tie",ROW(A112)-6))</f>
        <v/>
      </c>
      <c r="B112" s="181" t="str">
        <f aca="false">IF(A!BB110=0,"",A!BB110)</f>
        <v/>
      </c>
      <c r="C112" s="181" t="str">
        <f aca="false">IF(A!BC110=0,"",A!BC110)</f>
        <v/>
      </c>
      <c r="D112" s="182" t="str">
        <f aca="false">IF(A!BA110=0,"",A!BA110)</f>
        <v/>
      </c>
    </row>
    <row r="113" customFormat="false" ht="19.5" hidden="false" customHeight="true" outlineLevel="0" collapsed="false">
      <c r="A113" s="180" t="str">
        <f aca="false">IF(A!BA111=0,"",IF(OR(D113=D114,D113=D112),"Tie",ROW(A113)-6))</f>
        <v/>
      </c>
      <c r="B113" s="181" t="str">
        <f aca="false">IF(A!BB111=0,"",A!BB111)</f>
        <v/>
      </c>
      <c r="C113" s="181" t="str">
        <f aca="false">IF(A!BC111=0,"",A!BC111)</f>
        <v/>
      </c>
      <c r="D113" s="182" t="str">
        <f aca="false">IF(A!BA111=0,"",A!BA111)</f>
        <v/>
      </c>
    </row>
    <row r="114" customFormat="false" ht="19.5" hidden="false" customHeight="true" outlineLevel="0" collapsed="false">
      <c r="A114" s="180" t="str">
        <f aca="false">IF(A!BA112=0,"",IF(OR(D114=D115,D114=D113),"Tie",ROW(A114)-6))</f>
        <v/>
      </c>
      <c r="B114" s="181" t="str">
        <f aca="false">IF(A!BB112=0,"",A!BB112)</f>
        <v/>
      </c>
      <c r="C114" s="181" t="str">
        <f aca="false">IF(A!BC112=0,"",A!BC112)</f>
        <v/>
      </c>
      <c r="D114" s="182" t="str">
        <f aca="false">IF(A!BA112=0,"",A!BA112)</f>
        <v/>
      </c>
    </row>
    <row r="115" customFormat="false" ht="19.5" hidden="false" customHeight="true" outlineLevel="0" collapsed="false">
      <c r="A115" s="180" t="str">
        <f aca="false">IF(A!BA113=0,"",IF(OR(D115=D116,D115=D114),"Tie",ROW(A115)-6))</f>
        <v/>
      </c>
      <c r="B115" s="181" t="str">
        <f aca="false">IF(A!BB113=0,"",A!BB113)</f>
        <v/>
      </c>
      <c r="C115" s="181" t="str">
        <f aca="false">IF(A!BC113=0,"",A!BC113)</f>
        <v/>
      </c>
      <c r="D115" s="182" t="str">
        <f aca="false">IF(A!BA113=0,"",A!BA113)</f>
        <v/>
      </c>
    </row>
    <row r="116" customFormat="false" ht="19.5" hidden="false" customHeight="true" outlineLevel="0" collapsed="false">
      <c r="A116" s="180" t="str">
        <f aca="false">IF(A!BA114=0,"",IF(OR(D116=D117,D116=D115),"Tie",ROW(A116)-6))</f>
        <v/>
      </c>
      <c r="B116" s="181" t="str">
        <f aca="false">IF(A!BB114=0,"",A!BB114)</f>
        <v/>
      </c>
      <c r="C116" s="181" t="str">
        <f aca="false">IF(A!BC114=0,"",A!BC114)</f>
        <v/>
      </c>
      <c r="D116" s="182" t="str">
        <f aca="false">IF(A!BA114=0,"",A!BA114)</f>
        <v/>
      </c>
    </row>
    <row r="117" customFormat="false" ht="19.5" hidden="false" customHeight="true" outlineLevel="0" collapsed="false">
      <c r="A117" s="180" t="str">
        <f aca="false">IF(A!BA115=0,"",IF(OR(D117=D118,D117=D116),"Tie",ROW(A117)-6))</f>
        <v/>
      </c>
      <c r="B117" s="181" t="str">
        <f aca="false">IF(A!BB115=0,"",A!BB115)</f>
        <v/>
      </c>
      <c r="C117" s="181" t="str">
        <f aca="false">IF(A!BC115=0,"",A!BC115)</f>
        <v/>
      </c>
      <c r="D117" s="182" t="str">
        <f aca="false">IF(A!BA115=0,"",A!BA115)</f>
        <v/>
      </c>
    </row>
    <row r="118" customFormat="false" ht="19.5" hidden="false" customHeight="true" outlineLevel="0" collapsed="false">
      <c r="A118" s="180" t="str">
        <f aca="false">IF(A!BA116=0,"",IF(OR(D118=D119,D118=D117),"Tie",ROW(A118)-6))</f>
        <v/>
      </c>
      <c r="B118" s="181" t="str">
        <f aca="false">IF(A!BB116=0,"",A!BB116)</f>
        <v/>
      </c>
      <c r="C118" s="181" t="str">
        <f aca="false">IF(A!BC116=0,"",A!BC116)</f>
        <v/>
      </c>
      <c r="D118" s="182" t="str">
        <f aca="false">IF(A!BA116=0,"",A!BA116)</f>
        <v/>
      </c>
    </row>
    <row r="119" customFormat="false" ht="19.5" hidden="false" customHeight="true" outlineLevel="0" collapsed="false">
      <c r="A119" s="180" t="str">
        <f aca="false">IF(A!BA117=0,"",IF(OR(D119=D120,D119=D118),"Tie",ROW(A119)-6))</f>
        <v/>
      </c>
      <c r="B119" s="181" t="str">
        <f aca="false">IF(A!BB117=0,"",A!BB117)</f>
        <v/>
      </c>
      <c r="C119" s="181" t="str">
        <f aca="false">IF(A!BC117=0,"",A!BC117)</f>
        <v/>
      </c>
      <c r="D119" s="182" t="str">
        <f aca="false">IF(A!BA117=0,"",A!BA117)</f>
        <v/>
      </c>
    </row>
    <row r="120" customFormat="false" ht="19.5" hidden="false" customHeight="true" outlineLevel="0" collapsed="false">
      <c r="A120" s="180" t="str">
        <f aca="false">IF(A!BA118=0,"",IF(OR(D120=D121,D120=D119),"Tie",ROW(A120)-6))</f>
        <v/>
      </c>
      <c r="B120" s="181" t="str">
        <f aca="false">IF(A!BB118=0,"",A!BB118)</f>
        <v/>
      </c>
      <c r="C120" s="181" t="str">
        <f aca="false">IF(A!BC118=0,"",A!BC118)</f>
        <v/>
      </c>
      <c r="D120" s="182" t="str">
        <f aca="false">IF(A!BA118=0,"",A!BA118)</f>
        <v/>
      </c>
    </row>
    <row r="121" customFormat="false" ht="19.5" hidden="false" customHeight="true" outlineLevel="0" collapsed="false">
      <c r="A121" s="180" t="str">
        <f aca="false">IF(A!BA119=0,"",IF(OR(D121=D122,D121=D120),"Tie",ROW(A121)-6))</f>
        <v/>
      </c>
      <c r="B121" s="181" t="str">
        <f aca="false">IF(A!BB119=0,"",A!BB119)</f>
        <v/>
      </c>
      <c r="C121" s="181" t="str">
        <f aca="false">IF(A!BC119=0,"",A!BC119)</f>
        <v/>
      </c>
      <c r="D121" s="182" t="str">
        <f aca="false">IF(A!BA119=0,"",A!BA119)</f>
        <v/>
      </c>
    </row>
    <row r="122" customFormat="false" ht="19.5" hidden="false" customHeight="true" outlineLevel="0" collapsed="false">
      <c r="A122" s="180" t="str">
        <f aca="false">IF(A!BA120=0,"",IF(OR(D122=D123,D122=D121),"Tie",ROW(A122)-6))</f>
        <v/>
      </c>
      <c r="B122" s="181" t="str">
        <f aca="false">IF(A!BB120=0,"",A!BB120)</f>
        <v/>
      </c>
      <c r="C122" s="181" t="str">
        <f aca="false">IF(A!BC120=0,"",A!BC120)</f>
        <v/>
      </c>
      <c r="D122" s="182" t="str">
        <f aca="false">IF(A!BA120=0,"",A!BA120)</f>
        <v/>
      </c>
    </row>
    <row r="123" customFormat="false" ht="19.5" hidden="false" customHeight="true" outlineLevel="0" collapsed="false">
      <c r="A123" s="180" t="str">
        <f aca="false">IF(A!BA121=0,"",IF(OR(D123=D124,D123=D122),"Tie",ROW(A123)-6))</f>
        <v/>
      </c>
      <c r="B123" s="181" t="str">
        <f aca="false">IF(A!BB121=0,"",A!BB121)</f>
        <v/>
      </c>
      <c r="C123" s="181" t="str">
        <f aca="false">IF(A!BC121=0,"",A!BC121)</f>
        <v/>
      </c>
      <c r="D123" s="182" t="str">
        <f aca="false">IF(A!BA121=0,"",A!BA121)</f>
        <v/>
      </c>
    </row>
    <row r="124" customFormat="false" ht="19.5" hidden="false" customHeight="true" outlineLevel="0" collapsed="false">
      <c r="A124" s="180" t="str">
        <f aca="false">IF(A!BA122=0,"",IF(OR(D124=D125,D124=D123),"Tie",ROW(A124)-6))</f>
        <v/>
      </c>
      <c r="B124" s="181" t="str">
        <f aca="false">IF(A!BB122=0,"",A!BB122)</f>
        <v/>
      </c>
      <c r="C124" s="181" t="str">
        <f aca="false">IF(A!BC122=0,"",A!BC122)</f>
        <v/>
      </c>
      <c r="D124" s="182" t="str">
        <f aca="false">IF(A!BA122=0,"",A!BA122)</f>
        <v/>
      </c>
    </row>
    <row r="125" customFormat="false" ht="19.5" hidden="false" customHeight="true" outlineLevel="0" collapsed="false">
      <c r="A125" s="180" t="str">
        <f aca="false">IF(A!BA123=0,"",IF(OR(D125=D126,D125=D124),"Tie",ROW(A125)-6))</f>
        <v/>
      </c>
      <c r="B125" s="181" t="str">
        <f aca="false">IF(A!BB123=0,"",A!BB123)</f>
        <v/>
      </c>
      <c r="C125" s="181" t="str">
        <f aca="false">IF(A!BC123=0,"",A!BC123)</f>
        <v/>
      </c>
      <c r="D125" s="182" t="str">
        <f aca="false">IF(A!BA123=0,"",A!BA123)</f>
        <v/>
      </c>
    </row>
    <row r="126" customFormat="false" ht="19.5" hidden="false" customHeight="true" outlineLevel="0" collapsed="false">
      <c r="A126" s="180" t="str">
        <f aca="false">IF(A!BA124=0,"",IF(OR(D126=D127,D126=D125),"Tie",ROW(A126)-6))</f>
        <v/>
      </c>
      <c r="B126" s="181" t="str">
        <f aca="false">IF(A!BB124=0,"",A!BB124)</f>
        <v/>
      </c>
      <c r="C126" s="181" t="str">
        <f aca="false">IF(A!BC124=0,"",A!BC124)</f>
        <v/>
      </c>
      <c r="D126" s="182" t="str">
        <f aca="false">IF(A!BA124=0,"",A!BA124)</f>
        <v/>
      </c>
    </row>
    <row r="127" customFormat="false" ht="19.5" hidden="false" customHeight="true" outlineLevel="0" collapsed="false">
      <c r="A127" s="180" t="str">
        <f aca="false">IF(A!BA125=0,"",IF(OR(D127=D128,D127=D126),"Tie",ROW(A127)-6))</f>
        <v/>
      </c>
      <c r="B127" s="181" t="str">
        <f aca="false">IF(A!BB125=0,"",A!BB125)</f>
        <v/>
      </c>
      <c r="C127" s="181" t="str">
        <f aca="false">IF(A!BC125=0,"",A!BC125)</f>
        <v/>
      </c>
      <c r="D127" s="182" t="str">
        <f aca="false">IF(A!BA125=0,"",A!BA125)</f>
        <v/>
      </c>
    </row>
    <row r="128" customFormat="false" ht="19.5" hidden="false" customHeight="true" outlineLevel="0" collapsed="false">
      <c r="A128" s="180" t="str">
        <f aca="false">IF(A!BA126=0,"",IF(OR(D128=D129,D128=D127),"Tie",ROW(A128)-6))</f>
        <v/>
      </c>
      <c r="B128" s="181" t="str">
        <f aca="false">IF(A!BB126=0,"",A!BB126)</f>
        <v/>
      </c>
      <c r="C128" s="181" t="str">
        <f aca="false">IF(A!BC126=0,"",A!BC126)</f>
        <v/>
      </c>
      <c r="D128" s="182" t="str">
        <f aca="false">IF(A!BA126=0,"",A!BA126)</f>
        <v/>
      </c>
    </row>
    <row r="129" customFormat="false" ht="19.5" hidden="false" customHeight="true" outlineLevel="0" collapsed="false">
      <c r="A129" s="180" t="str">
        <f aca="false">IF(A!BA127=0,"",IF(OR(D129=D130,D129=D128),"Tie",ROW(A129)-6))</f>
        <v/>
      </c>
      <c r="B129" s="181" t="str">
        <f aca="false">IF(A!BB127=0,"",A!BB127)</f>
        <v/>
      </c>
      <c r="C129" s="181" t="str">
        <f aca="false">IF(A!BC127=0,"",A!BC127)</f>
        <v/>
      </c>
      <c r="D129" s="182" t="str">
        <f aca="false">IF(A!BA127=0,"",A!BA127)</f>
        <v/>
      </c>
    </row>
    <row r="130" customFormat="false" ht="19.5" hidden="false" customHeight="true" outlineLevel="0" collapsed="false">
      <c r="A130" s="180" t="str">
        <f aca="false">IF(A!BA128=0,"",IF(OR(D130=D131,D130=D129),"Tie",ROW(A130)-6))</f>
        <v/>
      </c>
      <c r="B130" s="181" t="str">
        <f aca="false">IF(A!BB128=0,"",A!BB128)</f>
        <v/>
      </c>
      <c r="C130" s="181" t="str">
        <f aca="false">IF(A!BC128=0,"",A!BC128)</f>
        <v/>
      </c>
      <c r="D130" s="182" t="str">
        <f aca="false">IF(A!BA128=0,"",A!BA128)</f>
        <v/>
      </c>
    </row>
    <row r="131" customFormat="false" ht="19.5" hidden="false" customHeight="true" outlineLevel="0" collapsed="false">
      <c r="A131" s="180" t="str">
        <f aca="false">IF(A!BA129=0,"",IF(OR(D131=D132,D131=D130),"Tie",ROW(A131)-6))</f>
        <v/>
      </c>
      <c r="B131" s="181" t="str">
        <f aca="false">IF(A!BB129=0,"",A!BB129)</f>
        <v/>
      </c>
      <c r="C131" s="181" t="str">
        <f aca="false">IF(A!BC129=0,"",A!BC129)</f>
        <v/>
      </c>
      <c r="D131" s="182" t="str">
        <f aca="false">IF(A!BA129=0,"",A!BA129)</f>
        <v/>
      </c>
    </row>
    <row r="132" customFormat="false" ht="19.5" hidden="false" customHeight="true" outlineLevel="0" collapsed="false">
      <c r="A132" s="180" t="str">
        <f aca="false">IF(A!BA130=0,"",IF(OR(D132=D133,D132=D131),"Tie",ROW(A132)-6))</f>
        <v/>
      </c>
      <c r="B132" s="181" t="str">
        <f aca="false">IF(A!BB130=0,"",A!BB130)</f>
        <v/>
      </c>
      <c r="C132" s="181" t="str">
        <f aca="false">IF(A!BC130=0,"",A!BC130)</f>
        <v/>
      </c>
      <c r="D132" s="182" t="str">
        <f aca="false">IF(A!BA130=0,"",A!BA130)</f>
        <v/>
      </c>
    </row>
    <row r="133" customFormat="false" ht="19.5" hidden="false" customHeight="true" outlineLevel="0" collapsed="false">
      <c r="A133" s="180" t="str">
        <f aca="false">IF(A!BA131=0,"",IF(OR(D133=D134,D133=D132),"Tie",ROW(A133)-6))</f>
        <v/>
      </c>
      <c r="B133" s="181" t="str">
        <f aca="false">IF(A!BB131=0,"",A!BB131)</f>
        <v/>
      </c>
      <c r="C133" s="181" t="str">
        <f aca="false">IF(A!BC131=0,"",A!BC131)</f>
        <v/>
      </c>
      <c r="D133" s="182" t="str">
        <f aca="false">IF(A!BA131=0,"",A!BA131)</f>
        <v/>
      </c>
    </row>
    <row r="134" customFormat="false" ht="19.5" hidden="false" customHeight="true" outlineLevel="0" collapsed="false">
      <c r="A134" s="180" t="str">
        <f aca="false">IF(A!BA132=0,"",IF(OR(D134=D135,D134=D133),"Tie",ROW(A134)-6))</f>
        <v/>
      </c>
      <c r="B134" s="181" t="str">
        <f aca="false">IF(A!BB132=0,"",A!BB132)</f>
        <v/>
      </c>
      <c r="C134" s="181" t="str">
        <f aca="false">IF(A!BC132=0,"",A!BC132)</f>
        <v/>
      </c>
      <c r="D134" s="182" t="str">
        <f aca="false">IF(A!BA132=0,"",A!BA132)</f>
        <v/>
      </c>
    </row>
    <row r="135" customFormat="false" ht="19.5" hidden="false" customHeight="true" outlineLevel="0" collapsed="false">
      <c r="A135" s="180" t="str">
        <f aca="false">IF(A!BA133=0,"",IF(OR(D135=D136,D135=D134),"Tie",ROW(A135)-6))</f>
        <v/>
      </c>
      <c r="B135" s="181" t="str">
        <f aca="false">IF(A!BB133=0,"",A!BB133)</f>
        <v/>
      </c>
      <c r="C135" s="181" t="str">
        <f aca="false">IF(A!BC133=0,"",A!BC133)</f>
        <v/>
      </c>
      <c r="D135" s="182" t="str">
        <f aca="false">IF(A!BA133=0,"",A!BA133)</f>
        <v/>
      </c>
    </row>
    <row r="136" customFormat="false" ht="19.5" hidden="false" customHeight="true" outlineLevel="0" collapsed="false">
      <c r="A136" s="180" t="str">
        <f aca="false">IF(A!BA134=0,"",IF(OR(D136=D137,D136=D135),"Tie",ROW(A136)-6))</f>
        <v/>
      </c>
      <c r="B136" s="181" t="str">
        <f aca="false">IF(A!BB134=0,"",A!BB134)</f>
        <v/>
      </c>
      <c r="C136" s="181" t="str">
        <f aca="false">IF(A!BC134=0,"",A!BC134)</f>
        <v/>
      </c>
      <c r="D136" s="182" t="str">
        <f aca="false">IF(A!BA134=0,"",A!BA134)</f>
        <v/>
      </c>
    </row>
    <row r="137" customFormat="false" ht="19.5" hidden="false" customHeight="true" outlineLevel="0" collapsed="false">
      <c r="A137" s="180" t="str">
        <f aca="false">IF(A!BA135=0,"",IF(OR(D137=D138,D137=D136),"Tie",ROW(A137)-6))</f>
        <v/>
      </c>
      <c r="B137" s="181" t="str">
        <f aca="false">IF(A!BB135=0,"",A!BB135)</f>
        <v/>
      </c>
      <c r="C137" s="181" t="str">
        <f aca="false">IF(A!BC135=0,"",A!BC135)</f>
        <v/>
      </c>
      <c r="D137" s="182" t="str">
        <f aca="false">IF(A!BA135=0,"",A!BA135)</f>
        <v/>
      </c>
    </row>
    <row r="138" customFormat="false" ht="19.5" hidden="false" customHeight="true" outlineLevel="0" collapsed="false">
      <c r="A138" s="180" t="str">
        <f aca="false">IF(A!BA136=0,"",IF(OR(D138=D139,D138=D137),"Tie",ROW(A138)-6))</f>
        <v/>
      </c>
      <c r="B138" s="181" t="str">
        <f aca="false">IF(A!BB136=0,"",A!BB136)</f>
        <v/>
      </c>
      <c r="C138" s="181" t="str">
        <f aca="false">IF(A!BC136=0,"",A!BC136)</f>
        <v/>
      </c>
      <c r="D138" s="182" t="str">
        <f aca="false">IF(A!BA136=0,"",A!BA136)</f>
        <v/>
      </c>
    </row>
    <row r="139" customFormat="false" ht="19.5" hidden="false" customHeight="true" outlineLevel="0" collapsed="false">
      <c r="A139" s="180" t="str">
        <f aca="false">IF(A!BA137=0,"",IF(OR(D139=D140,D139=D138),"Tie",ROW(A139)-6))</f>
        <v/>
      </c>
      <c r="B139" s="181" t="str">
        <f aca="false">IF(A!BB137=0,"",A!BB137)</f>
        <v/>
      </c>
      <c r="C139" s="181" t="str">
        <f aca="false">IF(A!BC137=0,"",A!BC137)</f>
        <v/>
      </c>
      <c r="D139" s="182" t="str">
        <f aca="false">IF(A!BA137=0,"",A!BA137)</f>
        <v/>
      </c>
    </row>
    <row r="140" customFormat="false" ht="19.5" hidden="false" customHeight="true" outlineLevel="0" collapsed="false">
      <c r="A140" s="180" t="str">
        <f aca="false">IF(A!BA138=0,"",IF(OR(D140=D141,D140=D139),"Tie",ROW(A140)-6))</f>
        <v/>
      </c>
      <c r="B140" s="181" t="str">
        <f aca="false">IF(A!BB138=0,"",A!BB138)</f>
        <v/>
      </c>
      <c r="C140" s="181" t="str">
        <f aca="false">IF(A!BC138=0,"",A!BC138)</f>
        <v/>
      </c>
      <c r="D140" s="182" t="str">
        <f aca="false">IF(A!BA138=0,"",A!BA138)</f>
        <v/>
      </c>
    </row>
    <row r="141" customFormat="false" ht="19.5" hidden="false" customHeight="true" outlineLevel="0" collapsed="false">
      <c r="A141" s="180" t="str">
        <f aca="false">IF(A!BA139=0,"",IF(OR(D141=D142,D141=D140),"Tie",ROW(A141)-6))</f>
        <v/>
      </c>
      <c r="B141" s="181" t="str">
        <f aca="false">IF(A!BB139=0,"",A!BB139)</f>
        <v/>
      </c>
      <c r="C141" s="181" t="str">
        <f aca="false">IF(A!BC139=0,"",A!BC139)</f>
        <v/>
      </c>
      <c r="D141" s="182" t="str">
        <f aca="false">IF(A!BA139=0,"",A!BA139)</f>
        <v/>
      </c>
    </row>
    <row r="142" customFormat="false" ht="19.5" hidden="false" customHeight="true" outlineLevel="0" collapsed="false">
      <c r="A142" s="180" t="str">
        <f aca="false">IF(A!BA140=0,"",IF(OR(D142=D143,D142=D141),"Tie",ROW(A142)-6))</f>
        <v/>
      </c>
      <c r="B142" s="181" t="str">
        <f aca="false">IF(A!BB140=0,"",A!BB140)</f>
        <v/>
      </c>
      <c r="C142" s="181" t="str">
        <f aca="false">IF(A!BC140=0,"",A!BC140)</f>
        <v/>
      </c>
      <c r="D142" s="182" t="str">
        <f aca="false">IF(A!BA140=0,"",A!BA140)</f>
        <v/>
      </c>
    </row>
    <row r="143" customFormat="false" ht="19.5" hidden="false" customHeight="true" outlineLevel="0" collapsed="false">
      <c r="A143" s="180" t="str">
        <f aca="false">IF(A!BA141=0,"",IF(OR(D143=D144,D143=D142),"Tie",ROW(A143)-6))</f>
        <v/>
      </c>
      <c r="B143" s="181" t="str">
        <f aca="false">IF(A!BB141=0,"",A!BB141)</f>
        <v/>
      </c>
      <c r="C143" s="181" t="str">
        <f aca="false">IF(A!BC141=0,"",A!BC141)</f>
        <v/>
      </c>
      <c r="D143" s="182" t="str">
        <f aca="false">IF(A!BA141=0,"",A!BA141)</f>
        <v/>
      </c>
    </row>
    <row r="144" customFormat="false" ht="19.5" hidden="false" customHeight="true" outlineLevel="0" collapsed="false">
      <c r="A144" s="180" t="str">
        <f aca="false">IF(A!BA142=0,"",IF(OR(D144=D145,D144=D143),"Tie",ROW(A144)-6))</f>
        <v/>
      </c>
      <c r="B144" s="181" t="str">
        <f aca="false">IF(A!BB142=0,"",A!BB142)</f>
        <v/>
      </c>
      <c r="C144" s="181" t="str">
        <f aca="false">IF(A!BC142=0,"",A!BC142)</f>
        <v/>
      </c>
      <c r="D144" s="182" t="str">
        <f aca="false">IF(A!BA142=0,"",A!BA142)</f>
        <v/>
      </c>
    </row>
    <row r="145" customFormat="false" ht="19.5" hidden="false" customHeight="true" outlineLevel="0" collapsed="false">
      <c r="A145" s="180" t="str">
        <f aca="false">IF(A!BA143=0,"",IF(OR(D145=D146,D145=D144),"Tie",ROW(A145)-6))</f>
        <v/>
      </c>
      <c r="B145" s="181" t="str">
        <f aca="false">IF(A!BB143=0,"",A!BB143)</f>
        <v/>
      </c>
      <c r="C145" s="181" t="str">
        <f aca="false">IF(A!BC143=0,"",A!BC143)</f>
        <v/>
      </c>
      <c r="D145" s="182" t="str">
        <f aca="false">IF(A!BA143=0,"",A!BA143)</f>
        <v/>
      </c>
    </row>
    <row r="146" customFormat="false" ht="19.5" hidden="false" customHeight="true" outlineLevel="0" collapsed="false">
      <c r="A146" s="180" t="str">
        <f aca="false">IF(A!BA144=0,"",IF(OR(D146=D147,D146=D145),"Tie",ROW(A146)-6))</f>
        <v/>
      </c>
      <c r="B146" s="181" t="str">
        <f aca="false">IF(A!BB144=0,"",A!BB144)</f>
        <v/>
      </c>
      <c r="C146" s="181" t="str">
        <f aca="false">IF(A!BC144=0,"",A!BC144)</f>
        <v/>
      </c>
      <c r="D146" s="182" t="str">
        <f aca="false">IF(A!BA144=0,"",A!BA144)</f>
        <v/>
      </c>
    </row>
    <row r="147" customFormat="false" ht="19.5" hidden="false" customHeight="true" outlineLevel="0" collapsed="false">
      <c r="A147" s="180" t="str">
        <f aca="false">IF(A!BA145=0,"",IF(OR(D147=D148,D147=D146),"Tie",ROW(A147)-6))</f>
        <v/>
      </c>
      <c r="B147" s="181" t="str">
        <f aca="false">IF(A!BB145=0,"",A!BB145)</f>
        <v/>
      </c>
      <c r="C147" s="181" t="str">
        <f aca="false">IF(A!BC145=0,"",A!BC145)</f>
        <v/>
      </c>
      <c r="D147" s="182" t="str">
        <f aca="false">IF(A!BA145=0,"",A!BA145)</f>
        <v/>
      </c>
    </row>
    <row r="148" customFormat="false" ht="19.5" hidden="false" customHeight="true" outlineLevel="0" collapsed="false">
      <c r="A148" s="180" t="str">
        <f aca="false">IF(A!BA146=0,"",IF(OR(D148=D149,D148=D147),"Tie",ROW(A148)-6))</f>
        <v/>
      </c>
      <c r="B148" s="181" t="str">
        <f aca="false">IF(A!BB146=0,"",A!BB146)</f>
        <v/>
      </c>
      <c r="C148" s="181" t="str">
        <f aca="false">IF(A!BC146=0,"",A!BC146)</f>
        <v/>
      </c>
      <c r="D148" s="182" t="str">
        <f aca="false">IF(A!BA146=0,"",A!BA146)</f>
        <v/>
      </c>
    </row>
    <row r="149" customFormat="false" ht="19.5" hidden="false" customHeight="true" outlineLevel="0" collapsed="false">
      <c r="A149" s="180" t="str">
        <f aca="false">IF(A!BA147=0,"",IF(OR(D149=D150,D149=D148),"Tie",ROW(A149)-6))</f>
        <v/>
      </c>
      <c r="B149" s="181" t="str">
        <f aca="false">IF(A!BB147=0,"",A!BB147)</f>
        <v/>
      </c>
      <c r="C149" s="181" t="str">
        <f aca="false">IF(A!BC147=0,"",A!BC147)</f>
        <v/>
      </c>
      <c r="D149" s="182" t="str">
        <f aca="false">IF(A!BA147=0,"",A!BA147)</f>
        <v/>
      </c>
    </row>
    <row r="150" customFormat="false" ht="19.5" hidden="false" customHeight="true" outlineLevel="0" collapsed="false">
      <c r="A150" s="180" t="str">
        <f aca="false">IF(A!BA148=0,"",IF(OR(D150=D151,D150=D149),"Tie",ROW(A150)-6))</f>
        <v/>
      </c>
      <c r="B150" s="181" t="str">
        <f aca="false">IF(A!BB148=0,"",A!BB148)</f>
        <v/>
      </c>
      <c r="C150" s="181" t="str">
        <f aca="false">IF(A!BC148=0,"",A!BC148)</f>
        <v/>
      </c>
      <c r="D150" s="182" t="str">
        <f aca="false">IF(A!BA148=0,"",A!BA148)</f>
        <v/>
      </c>
    </row>
    <row r="151" customFormat="false" ht="19.5" hidden="false" customHeight="true" outlineLevel="0" collapsed="false">
      <c r="A151" s="180" t="str">
        <f aca="false">IF(A!BA149=0,"",IF(OR(D151=D152,D151=D150),"Tie",ROW(A151)-6))</f>
        <v/>
      </c>
      <c r="B151" s="181" t="str">
        <f aca="false">IF(A!BB149=0,"",A!BB149)</f>
        <v/>
      </c>
      <c r="C151" s="181" t="str">
        <f aca="false">IF(A!BC149=0,"",A!BC149)</f>
        <v/>
      </c>
      <c r="D151" s="182" t="str">
        <f aca="false">IF(A!BA149=0,"",A!BA149)</f>
        <v/>
      </c>
    </row>
    <row r="152" customFormat="false" ht="19.5" hidden="false" customHeight="true" outlineLevel="0" collapsed="false">
      <c r="A152" s="180" t="str">
        <f aca="false">IF(A!BA150=0,"",IF(OR(D152=D153,D152=D151),"Tie",ROW(A152)-6))</f>
        <v/>
      </c>
      <c r="B152" s="181" t="str">
        <f aca="false">IF(A!BB150=0,"",A!BB150)</f>
        <v/>
      </c>
      <c r="C152" s="181" t="str">
        <f aca="false">IF(A!BC150=0,"",A!BC150)</f>
        <v/>
      </c>
      <c r="D152" s="182" t="str">
        <f aca="false">IF(A!BA150=0,"",A!BA150)</f>
        <v/>
      </c>
    </row>
    <row r="153" customFormat="false" ht="19.5" hidden="false" customHeight="true" outlineLevel="0" collapsed="false">
      <c r="A153" s="180" t="str">
        <f aca="false">IF(A!BA151=0,"",IF(OR(D153=D154,D153=D152),"Tie",ROW(A153)-6))</f>
        <v/>
      </c>
      <c r="B153" s="181" t="str">
        <f aca="false">IF(A!BB151=0,"",A!BB151)</f>
        <v/>
      </c>
      <c r="C153" s="181" t="str">
        <f aca="false">IF(A!BC151=0,"",A!BC151)</f>
        <v/>
      </c>
      <c r="D153" s="182" t="str">
        <f aca="false">IF(A!BA151=0,"",A!BA151)</f>
        <v/>
      </c>
    </row>
    <row r="154" customFormat="false" ht="19.5" hidden="false" customHeight="true" outlineLevel="0" collapsed="false">
      <c r="A154" s="180" t="str">
        <f aca="false">IF(A!BA152=0,"",IF(OR(D154=D155,D154=D153),"Tie",ROW(A154)-6))</f>
        <v/>
      </c>
      <c r="B154" s="181" t="str">
        <f aca="false">IF(A!BB152=0,"",A!BB152)</f>
        <v/>
      </c>
      <c r="C154" s="181" t="str">
        <f aca="false">IF(A!BC152=0,"",A!BC152)</f>
        <v/>
      </c>
      <c r="D154" s="182" t="str">
        <f aca="false">IF(A!BA152=0,"",A!BA152)</f>
        <v/>
      </c>
    </row>
    <row r="155" customFormat="false" ht="19.5" hidden="false" customHeight="true" outlineLevel="0" collapsed="false">
      <c r="A155" s="180" t="str">
        <f aca="false">IF(A!BA153=0,"",IF(OR(D155=D156,D155=D154),"Tie",ROW(A155)-6))</f>
        <v/>
      </c>
      <c r="B155" s="181" t="str">
        <f aca="false">IF(A!BB153=0,"",A!BB153)</f>
        <v/>
      </c>
      <c r="C155" s="181" t="str">
        <f aca="false">IF(A!BC153=0,"",A!BC153)</f>
        <v/>
      </c>
      <c r="D155" s="182" t="str">
        <f aca="false">IF(A!BA153=0,"",A!BA153)</f>
        <v/>
      </c>
    </row>
    <row r="156" customFormat="false" ht="19.5" hidden="false" customHeight="true" outlineLevel="0" collapsed="false">
      <c r="A156" s="180" t="str">
        <f aca="false">IF(A!BA154=0,"",IF(OR(D156=D157,D156=D155),"Tie",ROW(A156)-6))</f>
        <v/>
      </c>
      <c r="B156" s="181" t="str">
        <f aca="false">IF(A!BB154=0,"",A!BB154)</f>
        <v/>
      </c>
      <c r="C156" s="181" t="str">
        <f aca="false">IF(A!BC154=0,"",A!BC154)</f>
        <v/>
      </c>
      <c r="D156" s="182" t="str">
        <f aca="false">IF(A!BA154=0,"",A!BA154)</f>
        <v/>
      </c>
    </row>
    <row r="157" customFormat="false" ht="19.5" hidden="false" customHeight="true" outlineLevel="0" collapsed="false">
      <c r="A157" s="180" t="str">
        <f aca="false">IF(A!BA155=0,"",IF(OR(D157=D158,D157=D156),"Tie",ROW(A157)-6))</f>
        <v/>
      </c>
      <c r="B157" s="181" t="str">
        <f aca="false">IF(A!BB155=0,"",A!BB155)</f>
        <v/>
      </c>
      <c r="C157" s="181" t="str">
        <f aca="false">IF(A!BC155=0,"",A!BC155)</f>
        <v/>
      </c>
      <c r="D157" s="182" t="str">
        <f aca="false">IF(A!BA155=0,"",A!BA155)</f>
        <v/>
      </c>
    </row>
    <row r="158" customFormat="false" ht="19.5" hidden="false" customHeight="true" outlineLevel="0" collapsed="false">
      <c r="A158" s="180" t="str">
        <f aca="false">IF(A!BA156=0,"",IF(OR(D158=D159,D158=D157),"Tie",ROW(A158)-6))</f>
        <v/>
      </c>
      <c r="B158" s="181" t="str">
        <f aca="false">IF(A!BB156=0,"",A!BB156)</f>
        <v/>
      </c>
      <c r="C158" s="181" t="str">
        <f aca="false">IF(A!BC156=0,"",A!BC156)</f>
        <v/>
      </c>
      <c r="D158" s="182" t="str">
        <f aca="false">IF(A!BA156=0,"",A!BA156)</f>
        <v/>
      </c>
    </row>
    <row r="159" customFormat="false" ht="19.5" hidden="false" customHeight="true" outlineLevel="0" collapsed="false">
      <c r="A159" s="180" t="str">
        <f aca="false">IF(A!BA157=0,"",IF(OR(D159=D160,D159=D158),"Tie",ROW(A159)-6))</f>
        <v/>
      </c>
      <c r="B159" s="181" t="str">
        <f aca="false">IF(A!BB157=0,"",A!BB157)</f>
        <v/>
      </c>
      <c r="C159" s="181" t="str">
        <f aca="false">IF(A!BC157=0,"",A!BC157)</f>
        <v/>
      </c>
      <c r="D159" s="182" t="str">
        <f aca="false">IF(A!BA157=0,"",A!BA157)</f>
        <v/>
      </c>
    </row>
    <row r="160" customFormat="false" ht="19.5" hidden="false" customHeight="true" outlineLevel="0" collapsed="false">
      <c r="A160" s="180" t="str">
        <f aca="false">IF(A!BA158=0,"",IF(OR(D160=D161,D160=D159),"Tie",ROW(A160)-6))</f>
        <v/>
      </c>
      <c r="B160" s="181" t="str">
        <f aca="false">IF(A!BB158=0,"",A!BB158)</f>
        <v/>
      </c>
      <c r="C160" s="181" t="str">
        <f aca="false">IF(A!BC158=0,"",A!BC158)</f>
        <v/>
      </c>
      <c r="D160" s="182" t="str">
        <f aca="false">IF(A!BA158=0,"",A!BA158)</f>
        <v/>
      </c>
    </row>
    <row r="161" customFormat="false" ht="19.5" hidden="false" customHeight="true" outlineLevel="0" collapsed="false">
      <c r="A161" s="180" t="str">
        <f aca="false">IF(A!BA159=0,"",IF(OR(D161=D162,D161=D160),"Tie",ROW(A161)-6))</f>
        <v/>
      </c>
      <c r="B161" s="181" t="str">
        <f aca="false">IF(A!BB159=0,"",A!BB159)</f>
        <v/>
      </c>
      <c r="C161" s="181" t="str">
        <f aca="false">IF(A!BC159=0,"",A!BC159)</f>
        <v/>
      </c>
      <c r="D161" s="182" t="str">
        <f aca="false">IF(A!BA159=0,"",A!BA159)</f>
        <v/>
      </c>
    </row>
    <row r="162" customFormat="false" ht="19.5" hidden="false" customHeight="true" outlineLevel="0" collapsed="false">
      <c r="A162" s="180" t="str">
        <f aca="false">IF(A!BA160=0,"",IF(OR(D162=D163,D162=D161),"Tie",ROW(A162)-6))</f>
        <v/>
      </c>
      <c r="B162" s="181" t="str">
        <f aca="false">IF(A!BB160=0,"",A!BB160)</f>
        <v/>
      </c>
      <c r="C162" s="181" t="str">
        <f aca="false">IF(A!BC160=0,"",A!BC160)</f>
        <v/>
      </c>
      <c r="D162" s="182" t="str">
        <f aca="false">IF(A!BA160=0,"",A!BA160)</f>
        <v/>
      </c>
    </row>
    <row r="163" customFormat="false" ht="19.5" hidden="false" customHeight="true" outlineLevel="0" collapsed="false">
      <c r="A163" s="180" t="str">
        <f aca="false">IF(A!BA161=0,"",IF(OR(D163=D164,D163=D162),"Tie",ROW(A163)-6))</f>
        <v/>
      </c>
      <c r="B163" s="181" t="str">
        <f aca="false">IF(A!BB161=0,"",A!BB161)</f>
        <v/>
      </c>
      <c r="C163" s="181" t="str">
        <f aca="false">IF(A!BC161=0,"",A!BC161)</f>
        <v/>
      </c>
      <c r="D163" s="182" t="str">
        <f aca="false">IF(A!BA161=0,"",A!BA161)</f>
        <v/>
      </c>
    </row>
    <row r="164" customFormat="false" ht="19.5" hidden="false" customHeight="true" outlineLevel="0" collapsed="false">
      <c r="A164" s="180" t="str">
        <f aca="false">IF(A!BA162=0,"",IF(OR(D164=D165,D164=D163),"Tie",ROW(A164)-6))</f>
        <v/>
      </c>
      <c r="B164" s="181" t="str">
        <f aca="false">IF(A!BB162=0,"",A!BB162)</f>
        <v/>
      </c>
      <c r="C164" s="181" t="str">
        <f aca="false">IF(A!BC162=0,"",A!BC162)</f>
        <v/>
      </c>
      <c r="D164" s="182" t="str">
        <f aca="false">IF(A!BA162=0,"",A!BA162)</f>
        <v/>
      </c>
    </row>
    <row r="165" customFormat="false" ht="19.5" hidden="false" customHeight="true" outlineLevel="0" collapsed="false">
      <c r="A165" s="180" t="str">
        <f aca="false">IF(A!BA163=0,"",IF(OR(D165=D166,D165=D164),"Tie",ROW(A165)-6))</f>
        <v/>
      </c>
      <c r="B165" s="181" t="str">
        <f aca="false">IF(A!BB163=0,"",A!BB163)</f>
        <v/>
      </c>
      <c r="C165" s="181" t="str">
        <f aca="false">IF(A!BC163=0,"",A!BC163)</f>
        <v/>
      </c>
      <c r="D165" s="182" t="str">
        <f aca="false">IF(A!BA163=0,"",A!BA163)</f>
        <v/>
      </c>
    </row>
    <row r="166" customFormat="false" ht="19.5" hidden="false" customHeight="true" outlineLevel="0" collapsed="false">
      <c r="A166" s="183" t="str">
        <f aca="false">IF(A!BA164=0,"",IF(OR(D166=D167,D166=D165),"Tie",ROW(A166)-6))</f>
        <v/>
      </c>
      <c r="B166" s="184" t="str">
        <f aca="false">IF(A!BB164=0,"",A!BB164)</f>
        <v/>
      </c>
      <c r="C166" s="184" t="str">
        <f aca="false">IF(A!BC164=0,"",A!BC164)</f>
        <v/>
      </c>
      <c r="D166" s="185" t="str">
        <f aca="false">IF(A!BA164=0,"",A!BA164)</f>
        <v/>
      </c>
    </row>
  </sheetData>
  <sheetProtection sheet="true" objects="true" scenarios="true"/>
  <mergeCells count="2">
    <mergeCell ref="A2:D2"/>
    <mergeCell ref="A3:D3"/>
  </mergeCells>
  <printOptions headings="false" gridLines="false" gridLinesSet="true" horizontalCentered="true" verticalCentered="false"/>
  <pageMargins left="0.5" right="0.5" top="0.4" bottom="0.4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60"/>
  <sheetViews>
    <sheetView showFormulas="false" showGridLines="fals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A73" activeCellId="0" sqref="A7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4" width="12.78"/>
    <col collapsed="false" customWidth="false" hidden="false" outlineLevel="0" max="2" min="2" style="4" width="8.33"/>
    <col collapsed="false" customWidth="true" hidden="false" outlineLevel="0" max="27" min="25" style="0" width="9.77"/>
  </cols>
  <sheetData>
    <row r="1" customFormat="false" ht="17.35" hidden="false" customHeight="false" outlineLevel="0" collapsed="false">
      <c r="Y1" s="186" t="s">
        <v>31</v>
      </c>
      <c r="Z1" s="186" t="s">
        <v>31</v>
      </c>
      <c r="AA1" s="186" t="s">
        <v>31</v>
      </c>
    </row>
    <row r="2" customFormat="false" ht="17.35" hidden="false" customHeight="false" outlineLevel="0" collapsed="false">
      <c r="A2" s="187" t="str">
        <f aca="false">C!A4</f>
        <v>PIRATES OF THE TABLE</v>
      </c>
      <c r="B2" s="187" t="s">
        <v>295</v>
      </c>
      <c r="C2" s="188" t="s">
        <v>296</v>
      </c>
      <c r="D2" s="188" t="s">
        <v>297</v>
      </c>
      <c r="E2" s="188" t="s">
        <v>298</v>
      </c>
      <c r="F2" s="188" t="s">
        <v>299</v>
      </c>
      <c r="G2" s="188" t="s">
        <v>300</v>
      </c>
      <c r="H2" s="188" t="s">
        <v>301</v>
      </c>
      <c r="I2" s="188" t="s">
        <v>302</v>
      </c>
      <c r="J2" s="188" t="s">
        <v>303</v>
      </c>
      <c r="K2" s="188" t="s">
        <v>304</v>
      </c>
      <c r="L2" s="188" t="s">
        <v>305</v>
      </c>
      <c r="M2" s="188" t="s">
        <v>306</v>
      </c>
      <c r="N2" s="188" t="s">
        <v>307</v>
      </c>
      <c r="O2" s="188" t="s">
        <v>308</v>
      </c>
      <c r="P2" s="188" t="s">
        <v>309</v>
      </c>
      <c r="Q2" s="188" t="s">
        <v>310</v>
      </c>
      <c r="R2" s="188" t="s">
        <v>311</v>
      </c>
      <c r="S2" s="188" t="s">
        <v>312</v>
      </c>
      <c r="T2" s="188" t="s">
        <v>313</v>
      </c>
      <c r="U2" s="188" t="s">
        <v>314</v>
      </c>
      <c r="V2" s="188" t="s">
        <v>315</v>
      </c>
      <c r="W2" s="188" t="s">
        <v>316</v>
      </c>
      <c r="X2" s="189" t="s">
        <v>317</v>
      </c>
      <c r="Y2" s="190" t="s">
        <v>209</v>
      </c>
      <c r="Z2" s="190" t="s">
        <v>318</v>
      </c>
      <c r="AA2" s="190" t="s">
        <v>319</v>
      </c>
    </row>
    <row r="3" customFormat="false" ht="15" hidden="false" customHeight="false" outlineLevel="0" collapsed="false">
      <c r="A3" s="191" t="str">
        <f aca="false">C!A5</f>
        <v>JASON</v>
      </c>
      <c r="B3" s="192" t="n">
        <f aca="false">IF(B!C18=TRUE(),14,0)</f>
        <v>0</v>
      </c>
      <c r="C3" s="192" t="n">
        <f aca="false">C!$C5</f>
        <v>0</v>
      </c>
      <c r="D3" s="192" t="n">
        <f aca="false">D!$C5</f>
        <v>0</v>
      </c>
      <c r="E3" s="192" t="n">
        <f aca="false">E!$C5</f>
        <v>0</v>
      </c>
      <c r="F3" s="192" t="n">
        <f aca="false">F!$C5</f>
        <v>0</v>
      </c>
      <c r="G3" s="192" t="n">
        <f aca="false">G!$C5</f>
        <v>0</v>
      </c>
      <c r="H3" s="192" t="n">
        <f aca="false">H!$C5</f>
        <v>0</v>
      </c>
      <c r="I3" s="192" t="n">
        <f aca="false">I!$C5</f>
        <v>0</v>
      </c>
      <c r="J3" s="192" t="n">
        <f aca="false">J!$C5</f>
        <v>0</v>
      </c>
      <c r="K3" s="192" t="n">
        <f aca="false">K!$C5</f>
        <v>0</v>
      </c>
      <c r="L3" s="192" t="n">
        <f aca="false">L!$C5</f>
        <v>0</v>
      </c>
      <c r="M3" s="192" t="n">
        <f aca="false">M!$C5</f>
        <v>0</v>
      </c>
      <c r="N3" s="192" t="n">
        <f aca="false">N!$C5</f>
        <v>0</v>
      </c>
      <c r="O3" s="192" t="n">
        <f aca="false">O!$C5</f>
        <v>0</v>
      </c>
      <c r="P3" s="192" t="n">
        <f aca="false">P!$C5</f>
        <v>0</v>
      </c>
      <c r="Q3" s="192" t="n">
        <f aca="false">Q!$C5</f>
        <v>0</v>
      </c>
      <c r="R3" s="192" t="n">
        <f aca="false">R!$C5</f>
        <v>0</v>
      </c>
      <c r="S3" s="192" t="n">
        <f aca="false">S!$C5</f>
        <v>0</v>
      </c>
      <c r="T3" s="192" t="n">
        <f aca="false">T!$C5</f>
        <v>0</v>
      </c>
      <c r="U3" s="192" t="n">
        <f aca="false">U!$C5</f>
        <v>0</v>
      </c>
      <c r="V3" s="192" t="n">
        <f aca="false">V!$C5</f>
        <v>0</v>
      </c>
      <c r="W3" s="192" t="n">
        <f aca="false">W!$C5</f>
        <v>0</v>
      </c>
      <c r="X3" s="192" t="n">
        <f aca="false">X!$C5</f>
        <v>0</v>
      </c>
      <c r="Y3" s="193" t="n">
        <f aca="false">SUM(B3:X3)</f>
        <v>0</v>
      </c>
      <c r="Z3" s="193" t="n">
        <f aca="false">IF(B!B18="",0,B!$C$11+B!$C$8*B!C20)</f>
        <v>240</v>
      </c>
      <c r="AA3" s="193" t="n">
        <f aca="false">Y3-Z3</f>
        <v>-240</v>
      </c>
    </row>
    <row r="4" customFormat="false" ht="15" hidden="false" customHeight="false" outlineLevel="0" collapsed="false">
      <c r="A4" s="191" t="str">
        <f aca="false">C!A6</f>
        <v>TRAYE</v>
      </c>
      <c r="B4" s="192" t="n">
        <f aca="false">IF(B!C23=TRUE(),14,0)</f>
        <v>0</v>
      </c>
      <c r="C4" s="192" t="n">
        <f aca="false">C!$C6</f>
        <v>0</v>
      </c>
      <c r="D4" s="192" t="n">
        <f aca="false">D!$C6</f>
        <v>0</v>
      </c>
      <c r="E4" s="192" t="n">
        <f aca="false">E!$C6</f>
        <v>10</v>
      </c>
      <c r="F4" s="192" t="n">
        <f aca="false">F!$C6</f>
        <v>0</v>
      </c>
      <c r="G4" s="192" t="n">
        <f aca="false">G!$C6</f>
        <v>0</v>
      </c>
      <c r="H4" s="192" t="n">
        <f aca="false">H!$C6</f>
        <v>0</v>
      </c>
      <c r="I4" s="192" t="n">
        <f aca="false">I!$C6</f>
        <v>0</v>
      </c>
      <c r="J4" s="192" t="n">
        <f aca="false">J!$C6</f>
        <v>0</v>
      </c>
      <c r="K4" s="192" t="n">
        <f aca="false">K!$C6</f>
        <v>0</v>
      </c>
      <c r="L4" s="192" t="n">
        <f aca="false">L!$C6</f>
        <v>0</v>
      </c>
      <c r="M4" s="192" t="n">
        <f aca="false">M!$C6</f>
        <v>0</v>
      </c>
      <c r="N4" s="192" t="n">
        <f aca="false">N!$C6</f>
        <v>0</v>
      </c>
      <c r="O4" s="192" t="n">
        <f aca="false">O!$C6</f>
        <v>0</v>
      </c>
      <c r="P4" s="192" t="n">
        <f aca="false">P!$C6</f>
        <v>0</v>
      </c>
      <c r="Q4" s="192" t="n">
        <f aca="false">Q!$C6</f>
        <v>0</v>
      </c>
      <c r="R4" s="192" t="n">
        <f aca="false">R!$C6</f>
        <v>0</v>
      </c>
      <c r="S4" s="192" t="n">
        <f aca="false">S!$C6</f>
        <v>0</v>
      </c>
      <c r="T4" s="192" t="n">
        <f aca="false">T!$C6</f>
        <v>0</v>
      </c>
      <c r="U4" s="192" t="n">
        <f aca="false">U!$C6</f>
        <v>0</v>
      </c>
      <c r="V4" s="192" t="n">
        <f aca="false">V!$C6</f>
        <v>0</v>
      </c>
      <c r="W4" s="192" t="n">
        <f aca="false">W!$C6</f>
        <v>0</v>
      </c>
      <c r="X4" s="192" t="n">
        <f aca="false">X!$C6</f>
        <v>0</v>
      </c>
      <c r="Y4" s="193" t="n">
        <f aca="false">SUM(B4:X4)</f>
        <v>10</v>
      </c>
      <c r="Z4" s="193" t="n">
        <f aca="false">IF(B!B23="",0,B!$C$11+B!$C$8*B!C25)</f>
        <v>240</v>
      </c>
      <c r="AA4" s="193" t="n">
        <f aca="false">Y4-Z4</f>
        <v>-230</v>
      </c>
    </row>
    <row r="5" customFormat="false" ht="15" hidden="false" customHeight="false" outlineLevel="0" collapsed="false">
      <c r="A5" s="191" t="str">
        <f aca="false">C!A7</f>
        <v>WC</v>
      </c>
      <c r="B5" s="192" t="n">
        <f aca="false">IF(B!C28=TRUE(),14,0)</f>
        <v>0</v>
      </c>
      <c r="C5" s="192" t="n">
        <f aca="false">C!$C7</f>
        <v>0</v>
      </c>
      <c r="D5" s="192" t="n">
        <f aca="false">D!$C7</f>
        <v>0</v>
      </c>
      <c r="E5" s="192" t="n">
        <f aca="false">E!$C7</f>
        <v>0</v>
      </c>
      <c r="F5" s="192" t="n">
        <f aca="false">F!$C7</f>
        <v>0</v>
      </c>
      <c r="G5" s="192" t="n">
        <f aca="false">G!$C7</f>
        <v>0</v>
      </c>
      <c r="H5" s="192" t="n">
        <f aca="false">H!$C7</f>
        <v>0</v>
      </c>
      <c r="I5" s="192" t="n">
        <f aca="false">I!$C7</f>
        <v>0</v>
      </c>
      <c r="J5" s="192" t="n">
        <f aca="false">J!$C7</f>
        <v>0</v>
      </c>
      <c r="K5" s="192" t="n">
        <f aca="false">K!$C7</f>
        <v>0</v>
      </c>
      <c r="L5" s="192" t="n">
        <f aca="false">L!$C7</f>
        <v>0</v>
      </c>
      <c r="M5" s="192" t="n">
        <f aca="false">M!$C7</f>
        <v>0</v>
      </c>
      <c r="N5" s="192" t="n">
        <f aca="false">N!$C7</f>
        <v>0</v>
      </c>
      <c r="O5" s="192" t="n">
        <f aca="false">O!$C7</f>
        <v>0</v>
      </c>
      <c r="P5" s="192" t="n">
        <f aca="false">P!$C7</f>
        <v>0</v>
      </c>
      <c r="Q5" s="192" t="n">
        <f aca="false">Q!$C7</f>
        <v>0</v>
      </c>
      <c r="R5" s="192" t="n">
        <f aca="false">R!$C7</f>
        <v>0</v>
      </c>
      <c r="S5" s="192" t="n">
        <f aca="false">S!$C7</f>
        <v>0</v>
      </c>
      <c r="T5" s="192" t="n">
        <f aca="false">T!$C7</f>
        <v>0</v>
      </c>
      <c r="U5" s="192" t="n">
        <f aca="false">U!$C7</f>
        <v>0</v>
      </c>
      <c r="V5" s="192" t="n">
        <f aca="false">V!$C7</f>
        <v>0</v>
      </c>
      <c r="W5" s="192" t="n">
        <f aca="false">W!$C7</f>
        <v>0</v>
      </c>
      <c r="X5" s="192" t="n">
        <f aca="false">X!$C7</f>
        <v>0</v>
      </c>
      <c r="Y5" s="193" t="n">
        <f aca="false">SUM(B5:X5)</f>
        <v>0</v>
      </c>
      <c r="Z5" s="193" t="n">
        <f aca="false">IF(B!B28="",0,B!$C$11+B!$C$8*B!C30)</f>
        <v>240</v>
      </c>
      <c r="AA5" s="193" t="n">
        <f aca="false">Y5-Z5</f>
        <v>-240</v>
      </c>
    </row>
    <row r="6" customFormat="false" ht="15" hidden="false" customHeight="false" outlineLevel="0" collapsed="false">
      <c r="A6" s="191" t="str">
        <f aca="false">C!A8</f>
        <v>DON</v>
      </c>
      <c r="B6" s="192" t="n">
        <f aca="false">IF(B!C33=TRUE(),14,0)</f>
        <v>0</v>
      </c>
      <c r="C6" s="192" t="n">
        <f aca="false">C!$C8</f>
        <v>0</v>
      </c>
      <c r="D6" s="192" t="n">
        <f aca="false">D!$C8</f>
        <v>0</v>
      </c>
      <c r="E6" s="192" t="n">
        <f aca="false">E!$C8</f>
        <v>0</v>
      </c>
      <c r="F6" s="192" t="n">
        <f aca="false">F!$C8</f>
        <v>0</v>
      </c>
      <c r="G6" s="192" t="n">
        <f aca="false">G!$C8</f>
        <v>0</v>
      </c>
      <c r="H6" s="192" t="n">
        <f aca="false">H!$C8</f>
        <v>0</v>
      </c>
      <c r="I6" s="192" t="n">
        <f aca="false">I!$C8</f>
        <v>0</v>
      </c>
      <c r="J6" s="192" t="n">
        <f aca="false">J!$C8</f>
        <v>0</v>
      </c>
      <c r="K6" s="192" t="n">
        <f aca="false">K!$C8</f>
        <v>0</v>
      </c>
      <c r="L6" s="192" t="n">
        <f aca="false">L!$C8</f>
        <v>0</v>
      </c>
      <c r="M6" s="192" t="n">
        <f aca="false">M!$C8</f>
        <v>0</v>
      </c>
      <c r="N6" s="192" t="n">
        <f aca="false">N!$C8</f>
        <v>0</v>
      </c>
      <c r="O6" s="192" t="n">
        <f aca="false">O!$C8</f>
        <v>0</v>
      </c>
      <c r="P6" s="192" t="n">
        <f aca="false">P!$C8</f>
        <v>0</v>
      </c>
      <c r="Q6" s="192" t="n">
        <f aca="false">Q!$C8</f>
        <v>0</v>
      </c>
      <c r="R6" s="192" t="n">
        <f aca="false">R!$C8</f>
        <v>0</v>
      </c>
      <c r="S6" s="192" t="n">
        <f aca="false">S!$C8</f>
        <v>0</v>
      </c>
      <c r="T6" s="192" t="n">
        <f aca="false">T!$C8</f>
        <v>0</v>
      </c>
      <c r="U6" s="192" t="n">
        <f aca="false">U!$C8</f>
        <v>0</v>
      </c>
      <c r="V6" s="192" t="n">
        <f aca="false">V!$C8</f>
        <v>0</v>
      </c>
      <c r="W6" s="192" t="n">
        <f aca="false">W!$C8</f>
        <v>0</v>
      </c>
      <c r="X6" s="192" t="n">
        <f aca="false">X!$C8</f>
        <v>0</v>
      </c>
      <c r="Y6" s="193" t="n">
        <f aca="false">SUM(B6:X6)</f>
        <v>0</v>
      </c>
      <c r="Z6" s="193" t="n">
        <f aca="false">IF(B!B33="",0,B!$C$11+B!$C$8*B!C35)</f>
        <v>240</v>
      </c>
      <c r="AA6" s="193" t="n">
        <f aca="false">Y6-Z6</f>
        <v>-240</v>
      </c>
    </row>
    <row r="7" customFormat="false" ht="15" hidden="false" customHeight="false" outlineLevel="0" collapsed="false">
      <c r="A7" s="191" t="str">
        <f aca="false">C!A9</f>
        <v>SAM</v>
      </c>
      <c r="B7" s="192" t="n">
        <f aca="false">IF(B!C38=TRUE(),14,0)</f>
        <v>0</v>
      </c>
      <c r="C7" s="192" t="n">
        <f aca="false">C!$C9</f>
        <v>0</v>
      </c>
      <c r="D7" s="192" t="n">
        <f aca="false">D!$C9</f>
        <v>0</v>
      </c>
      <c r="E7" s="192" t="n">
        <f aca="false">E!$C9</f>
        <v>60</v>
      </c>
      <c r="F7" s="192" t="n">
        <f aca="false">F!$C9</f>
        <v>0</v>
      </c>
      <c r="G7" s="192" t="n">
        <f aca="false">G!$C9</f>
        <v>0</v>
      </c>
      <c r="H7" s="192" t="n">
        <f aca="false">H!$C9</f>
        <v>0</v>
      </c>
      <c r="I7" s="192" t="n">
        <f aca="false">I!$C9</f>
        <v>0</v>
      </c>
      <c r="J7" s="192" t="n">
        <f aca="false">J!$C9</f>
        <v>0</v>
      </c>
      <c r="K7" s="192" t="n">
        <f aca="false">K!$C9</f>
        <v>0</v>
      </c>
      <c r="L7" s="192" t="n">
        <f aca="false">L!$C9</f>
        <v>0</v>
      </c>
      <c r="M7" s="192" t="n">
        <f aca="false">M!$C9</f>
        <v>0</v>
      </c>
      <c r="N7" s="192" t="n">
        <f aca="false">N!$C9</f>
        <v>0</v>
      </c>
      <c r="O7" s="192" t="n">
        <f aca="false">O!$C9</f>
        <v>0</v>
      </c>
      <c r="P7" s="192" t="n">
        <f aca="false">P!$C9</f>
        <v>0</v>
      </c>
      <c r="Q7" s="192" t="n">
        <f aca="false">Q!$C9</f>
        <v>0</v>
      </c>
      <c r="R7" s="192" t="n">
        <f aca="false">R!$C9</f>
        <v>0</v>
      </c>
      <c r="S7" s="192" t="n">
        <f aca="false">S!$C9</f>
        <v>0</v>
      </c>
      <c r="T7" s="192" t="n">
        <f aca="false">T!$C9</f>
        <v>0</v>
      </c>
      <c r="U7" s="192" t="n">
        <f aca="false">U!$C9</f>
        <v>0</v>
      </c>
      <c r="V7" s="192" t="n">
        <f aca="false">V!$C9</f>
        <v>0</v>
      </c>
      <c r="W7" s="192" t="n">
        <f aca="false">W!$C9</f>
        <v>0</v>
      </c>
      <c r="X7" s="192" t="n">
        <f aca="false">X!$C9</f>
        <v>0</v>
      </c>
      <c r="Y7" s="194" t="n">
        <f aca="false">SUM(B7:X7)</f>
        <v>60</v>
      </c>
      <c r="Z7" s="193" t="n">
        <f aca="false">IF(B!B38="",0,B!$C$11+B!$C$8*B!C40)</f>
        <v>240</v>
      </c>
      <c r="AA7" s="193" t="n">
        <f aca="false">Y7-Z7</f>
        <v>-180</v>
      </c>
    </row>
    <row r="8" customFormat="false" ht="15" hidden="false" customHeight="false" outlineLevel="0" collapsed="false">
      <c r="A8" s="195" t="s">
        <v>320</v>
      </c>
      <c r="B8" s="196" t="n">
        <f aca="false">SUM(B3:B7)</f>
        <v>0</v>
      </c>
      <c r="C8" s="196" t="n">
        <f aca="false">SUM(C3:C7)</f>
        <v>0</v>
      </c>
      <c r="D8" s="196" t="n">
        <f aca="false">SUM(D3:D7)</f>
        <v>0</v>
      </c>
      <c r="E8" s="196" t="n">
        <f aca="false">SUM(E3:E7)</f>
        <v>70</v>
      </c>
      <c r="F8" s="196" t="n">
        <f aca="false">SUM(F3:F7)</f>
        <v>0</v>
      </c>
      <c r="G8" s="196" t="n">
        <f aca="false">SUM(G3:G7)</f>
        <v>0</v>
      </c>
      <c r="H8" s="196" t="n">
        <f aca="false">SUM(H3:H7)</f>
        <v>0</v>
      </c>
      <c r="I8" s="196" t="n">
        <f aca="false">SUM(I3:I7)</f>
        <v>0</v>
      </c>
      <c r="J8" s="196" t="n">
        <f aca="false">SUM(J3:J7)</f>
        <v>0</v>
      </c>
      <c r="K8" s="196" t="n">
        <f aca="false">SUM(K3:K7)</f>
        <v>0</v>
      </c>
      <c r="L8" s="196" t="n">
        <f aca="false">SUM(L3:L7)</f>
        <v>0</v>
      </c>
      <c r="M8" s="196" t="n">
        <f aca="false">SUM(M3:M7)</f>
        <v>0</v>
      </c>
      <c r="N8" s="196" t="n">
        <f aca="false">SUM(N3:N7)</f>
        <v>0</v>
      </c>
      <c r="O8" s="196" t="n">
        <f aca="false">SUM(O3:O7)</f>
        <v>0</v>
      </c>
      <c r="P8" s="196" t="n">
        <f aca="false">SUM(P3:P7)</f>
        <v>0</v>
      </c>
      <c r="Q8" s="196" t="n">
        <f aca="false">SUM(Q3:Q7)</f>
        <v>0</v>
      </c>
      <c r="R8" s="196" t="n">
        <f aca="false">SUM(R3:R7)</f>
        <v>0</v>
      </c>
      <c r="S8" s="196" t="n">
        <f aca="false">SUM(S3:S7)</f>
        <v>0</v>
      </c>
      <c r="T8" s="196" t="n">
        <f aca="false">SUM(T3:T7)</f>
        <v>0</v>
      </c>
      <c r="U8" s="196" t="n">
        <f aca="false">SUM(U3:U7)</f>
        <v>0</v>
      </c>
      <c r="V8" s="196" t="n">
        <f aca="false">SUM(V3:V7)</f>
        <v>0</v>
      </c>
      <c r="W8" s="196" t="n">
        <f aca="false">SUM(W3:W7)</f>
        <v>0</v>
      </c>
      <c r="X8" s="197" t="n">
        <f aca="false">SUM(X3:X7)</f>
        <v>0</v>
      </c>
      <c r="Y8" s="198" t="n">
        <f aca="false">SUM(Y3:Y7)</f>
        <v>70</v>
      </c>
      <c r="Z8" s="198" t="n">
        <f aca="false">SUM(Z3:Z7)</f>
        <v>1200</v>
      </c>
      <c r="AA8" s="198" t="n">
        <f aca="false">SUM(AA3:AA7)</f>
        <v>-1130</v>
      </c>
    </row>
    <row r="9" customFormat="false" ht="17.35" hidden="false" customHeight="false" outlineLevel="0" collapsed="false">
      <c r="A9" s="199"/>
      <c r="B9" s="199"/>
      <c r="Y9" s="186" t="s">
        <v>31</v>
      </c>
      <c r="Z9" s="186" t="s">
        <v>31</v>
      </c>
      <c r="AA9" s="186" t="s">
        <v>31</v>
      </c>
    </row>
    <row r="10" customFormat="false" ht="17.35" hidden="false" customHeight="false" outlineLevel="0" collapsed="false">
      <c r="A10" s="187" t="str">
        <f aca="false">C!A17</f>
        <v>VLADIMIR POOLIN</v>
      </c>
      <c r="B10" s="187" t="s">
        <v>295</v>
      </c>
      <c r="C10" s="188" t="s">
        <v>296</v>
      </c>
      <c r="D10" s="188" t="s">
        <v>297</v>
      </c>
      <c r="E10" s="188" t="s">
        <v>298</v>
      </c>
      <c r="F10" s="188" t="s">
        <v>299</v>
      </c>
      <c r="G10" s="188" t="s">
        <v>300</v>
      </c>
      <c r="H10" s="188" t="s">
        <v>301</v>
      </c>
      <c r="I10" s="188" t="s">
        <v>302</v>
      </c>
      <c r="J10" s="188" t="s">
        <v>303</v>
      </c>
      <c r="K10" s="188" t="s">
        <v>304</v>
      </c>
      <c r="L10" s="188" t="s">
        <v>305</v>
      </c>
      <c r="M10" s="188" t="s">
        <v>306</v>
      </c>
      <c r="N10" s="188" t="s">
        <v>307</v>
      </c>
      <c r="O10" s="188" t="s">
        <v>308</v>
      </c>
      <c r="P10" s="188" t="s">
        <v>309</v>
      </c>
      <c r="Q10" s="188" t="s">
        <v>310</v>
      </c>
      <c r="R10" s="188" t="s">
        <v>311</v>
      </c>
      <c r="S10" s="188" t="s">
        <v>312</v>
      </c>
      <c r="T10" s="188" t="s">
        <v>313</v>
      </c>
      <c r="U10" s="188" t="s">
        <v>314</v>
      </c>
      <c r="V10" s="188" t="s">
        <v>315</v>
      </c>
      <c r="W10" s="188" t="s">
        <v>316</v>
      </c>
      <c r="X10" s="189" t="s">
        <v>317</v>
      </c>
      <c r="Y10" s="190" t="s">
        <v>209</v>
      </c>
      <c r="Z10" s="190" t="s">
        <v>318</v>
      </c>
      <c r="AA10" s="190" t="s">
        <v>319</v>
      </c>
    </row>
    <row r="11" customFormat="false" ht="15" hidden="false" customHeight="false" outlineLevel="0" collapsed="false">
      <c r="A11" s="191" t="str">
        <f aca="false">C!A18</f>
        <v>LEIGH</v>
      </c>
      <c r="B11" s="192" t="n">
        <f aca="false">IF(B!C61=TRUE(),14,0)</f>
        <v>0</v>
      </c>
      <c r="C11" s="192" t="n">
        <f aca="false">C!$C18</f>
        <v>0</v>
      </c>
      <c r="D11" s="192" t="n">
        <f aca="false">D!$C18</f>
        <v>0</v>
      </c>
      <c r="E11" s="192" t="n">
        <f aca="false">E!$C18</f>
        <v>20</v>
      </c>
      <c r="F11" s="192" t="n">
        <f aca="false">F!$C18</f>
        <v>0</v>
      </c>
      <c r="G11" s="192" t="n">
        <f aca="false">G!$C18</f>
        <v>0</v>
      </c>
      <c r="H11" s="192" t="n">
        <f aca="false">H!$C18</f>
        <v>0</v>
      </c>
      <c r="I11" s="192" t="n">
        <f aca="false">I!$C18</f>
        <v>0</v>
      </c>
      <c r="J11" s="192" t="n">
        <f aca="false">J!$C18</f>
        <v>0</v>
      </c>
      <c r="K11" s="192" t="n">
        <f aca="false">K!$C18</f>
        <v>0</v>
      </c>
      <c r="L11" s="192" t="n">
        <f aca="false">L!$C18</f>
        <v>0</v>
      </c>
      <c r="M11" s="192" t="n">
        <f aca="false">M!$C18</f>
        <v>0</v>
      </c>
      <c r="N11" s="192" t="n">
        <f aca="false">N!$C18</f>
        <v>0</v>
      </c>
      <c r="O11" s="192" t="n">
        <f aca="false">O!$C18</f>
        <v>0</v>
      </c>
      <c r="P11" s="192" t="n">
        <f aca="false">P!$C18</f>
        <v>0</v>
      </c>
      <c r="Q11" s="192" t="n">
        <f aca="false">Q!$C18</f>
        <v>0</v>
      </c>
      <c r="R11" s="192" t="n">
        <f aca="false">R!$C18</f>
        <v>0</v>
      </c>
      <c r="S11" s="192" t="n">
        <f aca="false">S!$C18</f>
        <v>0</v>
      </c>
      <c r="T11" s="192" t="n">
        <f aca="false">T!$C18</f>
        <v>0</v>
      </c>
      <c r="U11" s="192" t="n">
        <f aca="false">U!$C18</f>
        <v>0</v>
      </c>
      <c r="V11" s="192" t="n">
        <f aca="false">V!$C18</f>
        <v>0</v>
      </c>
      <c r="W11" s="192" t="n">
        <f aca="false">W!$C18</f>
        <v>0</v>
      </c>
      <c r="X11" s="192" t="n">
        <f aca="false">X!$C18</f>
        <v>0</v>
      </c>
      <c r="Y11" s="193" t="n">
        <f aca="false">SUM(B11:X11)</f>
        <v>20</v>
      </c>
      <c r="Z11" s="193" t="n">
        <f aca="false">IF(B!B61="",0,B!$C$11+B!$C$8*B!C63)</f>
        <v>240</v>
      </c>
      <c r="AA11" s="193" t="n">
        <f aca="false">Y11-Z11</f>
        <v>-220</v>
      </c>
    </row>
    <row r="12" customFormat="false" ht="15" hidden="false" customHeight="false" outlineLevel="0" collapsed="false">
      <c r="A12" s="191" t="str">
        <f aca="false">C!A19</f>
        <v>IAN</v>
      </c>
      <c r="B12" s="192" t="n">
        <f aca="false">IF(B!C66=TRUE(),14,0)</f>
        <v>0</v>
      </c>
      <c r="C12" s="192" t="n">
        <f aca="false">C!$C19</f>
        <v>0</v>
      </c>
      <c r="D12" s="192" t="n">
        <f aca="false">D!$C19</f>
        <v>0</v>
      </c>
      <c r="E12" s="192" t="n">
        <f aca="false">E!$C19</f>
        <v>0</v>
      </c>
      <c r="F12" s="192" t="n">
        <f aca="false">F!$C19</f>
        <v>0</v>
      </c>
      <c r="G12" s="192" t="n">
        <f aca="false">G!$C19</f>
        <v>0</v>
      </c>
      <c r="H12" s="192" t="n">
        <f aca="false">H!$C19</f>
        <v>0</v>
      </c>
      <c r="I12" s="192" t="n">
        <f aca="false">I!$C19</f>
        <v>0</v>
      </c>
      <c r="J12" s="192" t="n">
        <f aca="false">J!$C19</f>
        <v>0</v>
      </c>
      <c r="K12" s="192" t="n">
        <f aca="false">K!$C19</f>
        <v>0</v>
      </c>
      <c r="L12" s="192" t="n">
        <f aca="false">L!$C19</f>
        <v>0</v>
      </c>
      <c r="M12" s="192" t="n">
        <f aca="false">M!$C19</f>
        <v>0</v>
      </c>
      <c r="N12" s="192" t="n">
        <f aca="false">N!$C19</f>
        <v>0</v>
      </c>
      <c r="O12" s="192" t="n">
        <f aca="false">O!$C19</f>
        <v>0</v>
      </c>
      <c r="P12" s="192" t="n">
        <f aca="false">P!$C19</f>
        <v>0</v>
      </c>
      <c r="Q12" s="192" t="n">
        <f aca="false">Q!$C19</f>
        <v>0</v>
      </c>
      <c r="R12" s="192" t="n">
        <f aca="false">R!$C19</f>
        <v>0</v>
      </c>
      <c r="S12" s="192" t="n">
        <f aca="false">S!$C19</f>
        <v>0</v>
      </c>
      <c r="T12" s="192" t="n">
        <f aca="false">T!$C19</f>
        <v>0</v>
      </c>
      <c r="U12" s="192" t="n">
        <f aca="false">U!$C19</f>
        <v>0</v>
      </c>
      <c r="V12" s="192" t="n">
        <f aca="false">V!$C19</f>
        <v>0</v>
      </c>
      <c r="W12" s="192" t="n">
        <f aca="false">W!$C19</f>
        <v>0</v>
      </c>
      <c r="X12" s="192" t="n">
        <f aca="false">X!$C19</f>
        <v>0</v>
      </c>
      <c r="Y12" s="193" t="n">
        <f aca="false">SUM(B12:X12)</f>
        <v>0</v>
      </c>
      <c r="Z12" s="193" t="n">
        <f aca="false">IF(B!B66="",0,B!$C$11+B!$C$8*B!C68)</f>
        <v>240</v>
      </c>
      <c r="AA12" s="193" t="n">
        <f aca="false">Y12-Z12</f>
        <v>-240</v>
      </c>
    </row>
    <row r="13" customFormat="false" ht="15" hidden="false" customHeight="false" outlineLevel="0" collapsed="false">
      <c r="A13" s="191" t="str">
        <f aca="false">C!A20</f>
        <v>ELI</v>
      </c>
      <c r="B13" s="192" t="n">
        <f aca="false">IF(B!C71=TRUE(),14,0)</f>
        <v>0</v>
      </c>
      <c r="C13" s="192" t="n">
        <f aca="false">C!$C20</f>
        <v>0</v>
      </c>
      <c r="D13" s="192" t="n">
        <f aca="false">D!$C20</f>
        <v>0</v>
      </c>
      <c r="E13" s="192" t="n">
        <f aca="false">E!$C20</f>
        <v>0</v>
      </c>
      <c r="F13" s="192" t="n">
        <f aca="false">F!$C20</f>
        <v>0</v>
      </c>
      <c r="G13" s="192" t="n">
        <f aca="false">G!$C20</f>
        <v>0</v>
      </c>
      <c r="H13" s="192" t="n">
        <f aca="false">H!$C20</f>
        <v>20</v>
      </c>
      <c r="I13" s="192" t="n">
        <f aca="false">I!$C20</f>
        <v>0</v>
      </c>
      <c r="J13" s="192" t="n">
        <f aca="false">J!$C20</f>
        <v>0</v>
      </c>
      <c r="K13" s="192" t="n">
        <f aca="false">K!$C20</f>
        <v>0</v>
      </c>
      <c r="L13" s="192" t="n">
        <f aca="false">L!$C20</f>
        <v>0</v>
      </c>
      <c r="M13" s="192" t="n">
        <f aca="false">M!$C20</f>
        <v>0</v>
      </c>
      <c r="N13" s="192" t="n">
        <f aca="false">N!$C20</f>
        <v>0</v>
      </c>
      <c r="O13" s="192" t="n">
        <f aca="false">O!$C20</f>
        <v>0</v>
      </c>
      <c r="P13" s="192" t="n">
        <f aca="false">P!$C20</f>
        <v>0</v>
      </c>
      <c r="Q13" s="192" t="n">
        <f aca="false">Q!$C20</f>
        <v>0</v>
      </c>
      <c r="R13" s="192" t="n">
        <f aca="false">R!$C20</f>
        <v>0</v>
      </c>
      <c r="S13" s="192" t="n">
        <f aca="false">S!$C20</f>
        <v>0</v>
      </c>
      <c r="T13" s="192" t="n">
        <f aca="false">T!$C20</f>
        <v>0</v>
      </c>
      <c r="U13" s="192" t="n">
        <f aca="false">U!$C20</f>
        <v>0</v>
      </c>
      <c r="V13" s="192" t="n">
        <f aca="false">V!$C20</f>
        <v>0</v>
      </c>
      <c r="W13" s="192" t="n">
        <f aca="false">W!$C20</f>
        <v>0</v>
      </c>
      <c r="X13" s="192" t="n">
        <f aca="false">X!$C20</f>
        <v>0</v>
      </c>
      <c r="Y13" s="193" t="n">
        <f aca="false">SUM(B13:X13)</f>
        <v>20</v>
      </c>
      <c r="Z13" s="193" t="n">
        <f aca="false">IF(B!B71="",0,B!$C$11+B!$C$8*B!C73)</f>
        <v>240</v>
      </c>
      <c r="AA13" s="193" t="n">
        <f aca="false">Y13-Z13</f>
        <v>-220</v>
      </c>
    </row>
    <row r="14" customFormat="false" ht="15" hidden="false" customHeight="false" outlineLevel="0" collapsed="false">
      <c r="A14" s="191" t="str">
        <f aca="false">C!A21</f>
        <v>ROWAN</v>
      </c>
      <c r="B14" s="192" t="n">
        <f aca="false">IF(B!C76=TRUE(),14,0)</f>
        <v>0</v>
      </c>
      <c r="C14" s="192" t="n">
        <f aca="false">C!$C21</f>
        <v>0</v>
      </c>
      <c r="D14" s="192" t="n">
        <f aca="false">D!$C21</f>
        <v>0</v>
      </c>
      <c r="E14" s="192" t="n">
        <f aca="false">E!$C21</f>
        <v>0</v>
      </c>
      <c r="F14" s="192" t="n">
        <f aca="false">F!$C21</f>
        <v>0</v>
      </c>
      <c r="G14" s="192" t="n">
        <f aca="false">G!$C21</f>
        <v>0</v>
      </c>
      <c r="H14" s="192" t="n">
        <f aca="false">H!$C21</f>
        <v>20</v>
      </c>
      <c r="I14" s="192" t="n">
        <f aca="false">I!$C21</f>
        <v>0</v>
      </c>
      <c r="J14" s="192" t="n">
        <f aca="false">J!$C21</f>
        <v>0</v>
      </c>
      <c r="K14" s="192" t="n">
        <f aca="false">K!$C21</f>
        <v>0</v>
      </c>
      <c r="L14" s="192" t="n">
        <f aca="false">L!$C21</f>
        <v>0</v>
      </c>
      <c r="M14" s="192" t="n">
        <f aca="false">M!$C21</f>
        <v>0</v>
      </c>
      <c r="N14" s="192" t="n">
        <f aca="false">N!$C21</f>
        <v>0</v>
      </c>
      <c r="O14" s="192" t="n">
        <f aca="false">O!$C21</f>
        <v>0</v>
      </c>
      <c r="P14" s="192" t="n">
        <f aca="false">P!$C21</f>
        <v>0</v>
      </c>
      <c r="Q14" s="192" t="n">
        <f aca="false">Q!$C21</f>
        <v>0</v>
      </c>
      <c r="R14" s="192" t="n">
        <f aca="false">R!$C21</f>
        <v>0</v>
      </c>
      <c r="S14" s="192" t="n">
        <f aca="false">S!$C21</f>
        <v>0</v>
      </c>
      <c r="T14" s="192" t="n">
        <f aca="false">T!$C21</f>
        <v>0</v>
      </c>
      <c r="U14" s="192" t="n">
        <f aca="false">U!$C21</f>
        <v>0</v>
      </c>
      <c r="V14" s="192" t="n">
        <f aca="false">V!$C21</f>
        <v>0</v>
      </c>
      <c r="W14" s="192" t="n">
        <f aca="false">W!$C21</f>
        <v>0</v>
      </c>
      <c r="X14" s="192" t="n">
        <f aca="false">X!$C21</f>
        <v>0</v>
      </c>
      <c r="Y14" s="193" t="n">
        <f aca="false">SUM(B14:X14)</f>
        <v>20</v>
      </c>
      <c r="Z14" s="193" t="n">
        <f aca="false">IF(B!B76="",0,B!$C$11+B!$C$8*B!C78)</f>
        <v>240</v>
      </c>
      <c r="AA14" s="193" t="n">
        <f aca="false">Y14-Z14</f>
        <v>-220</v>
      </c>
    </row>
    <row r="15" customFormat="false" ht="15" hidden="false" customHeight="false" outlineLevel="0" collapsed="false">
      <c r="A15" s="191" t="str">
        <f aca="false">C!A22</f>
        <v>JAMES</v>
      </c>
      <c r="B15" s="192" t="n">
        <f aca="false">IF(B!C81=TRUE(),14,0)</f>
        <v>0</v>
      </c>
      <c r="C15" s="192" t="n">
        <f aca="false">C!$C22</f>
        <v>0</v>
      </c>
      <c r="D15" s="192" t="n">
        <f aca="false">D!$C22</f>
        <v>0</v>
      </c>
      <c r="E15" s="192" t="n">
        <f aca="false">E!$C22</f>
        <v>0</v>
      </c>
      <c r="F15" s="192" t="n">
        <f aca="false">F!$C22</f>
        <v>0</v>
      </c>
      <c r="G15" s="192" t="n">
        <f aca="false">G!$C22</f>
        <v>0</v>
      </c>
      <c r="H15" s="192" t="n">
        <f aca="false">H!$C22</f>
        <v>0</v>
      </c>
      <c r="I15" s="192" t="n">
        <f aca="false">I!$C22</f>
        <v>0</v>
      </c>
      <c r="J15" s="192" t="n">
        <f aca="false">J!$C22</f>
        <v>0</v>
      </c>
      <c r="K15" s="192" t="n">
        <f aca="false">K!$C22</f>
        <v>0</v>
      </c>
      <c r="L15" s="192" t="n">
        <f aca="false">L!$C22</f>
        <v>0</v>
      </c>
      <c r="M15" s="192" t="n">
        <f aca="false">M!$C22</f>
        <v>0</v>
      </c>
      <c r="N15" s="192" t="n">
        <f aca="false">N!$C22</f>
        <v>0</v>
      </c>
      <c r="O15" s="192" t="n">
        <f aca="false">O!$C22</f>
        <v>0</v>
      </c>
      <c r="P15" s="192" t="n">
        <f aca="false">P!$C22</f>
        <v>0</v>
      </c>
      <c r="Q15" s="192" t="n">
        <f aca="false">Q!$C22</f>
        <v>0</v>
      </c>
      <c r="R15" s="192" t="n">
        <f aca="false">R!$C22</f>
        <v>0</v>
      </c>
      <c r="S15" s="192" t="n">
        <f aca="false">S!$C22</f>
        <v>0</v>
      </c>
      <c r="T15" s="192" t="n">
        <f aca="false">T!$C22</f>
        <v>0</v>
      </c>
      <c r="U15" s="192" t="n">
        <f aca="false">U!$C22</f>
        <v>0</v>
      </c>
      <c r="V15" s="192" t="n">
        <f aca="false">V!$C22</f>
        <v>0</v>
      </c>
      <c r="W15" s="192" t="n">
        <f aca="false">W!$C22</f>
        <v>0</v>
      </c>
      <c r="X15" s="192" t="n">
        <f aca="false">X!$C22</f>
        <v>0</v>
      </c>
      <c r="Y15" s="193" t="n">
        <f aca="false">SUM(B15:X15)</f>
        <v>0</v>
      </c>
      <c r="Z15" s="193" t="n">
        <f aca="false">IF(B!B81="",0,B!$C$11+B!$C$8*B!C83)</f>
        <v>240</v>
      </c>
      <c r="AA15" s="193" t="n">
        <f aca="false">Y15-Z15</f>
        <v>-240</v>
      </c>
    </row>
    <row r="16" customFormat="false" ht="15" hidden="false" customHeight="false" outlineLevel="0" collapsed="false">
      <c r="A16" s="195" t="s">
        <v>320</v>
      </c>
      <c r="B16" s="196" t="n">
        <f aca="false">SUM(B11:B15)</f>
        <v>0</v>
      </c>
      <c r="C16" s="196" t="n">
        <f aca="false">SUM(C11:C15)</f>
        <v>0</v>
      </c>
      <c r="D16" s="196" t="n">
        <f aca="false">SUM(D11:D15)</f>
        <v>0</v>
      </c>
      <c r="E16" s="196" t="n">
        <f aca="false">SUM(E11:E15)</f>
        <v>20</v>
      </c>
      <c r="F16" s="196" t="n">
        <f aca="false">SUM(F11:F15)</f>
        <v>0</v>
      </c>
      <c r="G16" s="196" t="n">
        <f aca="false">SUM(G11:G15)</f>
        <v>0</v>
      </c>
      <c r="H16" s="196" t="n">
        <f aca="false">SUM(H11:H15)</f>
        <v>40</v>
      </c>
      <c r="I16" s="196" t="n">
        <f aca="false">SUM(I11:I15)</f>
        <v>0</v>
      </c>
      <c r="J16" s="196" t="n">
        <f aca="false">SUM(J11:J15)</f>
        <v>0</v>
      </c>
      <c r="K16" s="196" t="n">
        <f aca="false">SUM(K11:K15)</f>
        <v>0</v>
      </c>
      <c r="L16" s="196" t="n">
        <f aca="false">SUM(L11:L15)</f>
        <v>0</v>
      </c>
      <c r="M16" s="196" t="n">
        <f aca="false">SUM(M11:M15)</f>
        <v>0</v>
      </c>
      <c r="N16" s="196" t="n">
        <f aca="false">SUM(N11:N15)</f>
        <v>0</v>
      </c>
      <c r="O16" s="196" t="n">
        <f aca="false">SUM(O11:O15)</f>
        <v>0</v>
      </c>
      <c r="P16" s="196" t="n">
        <f aca="false">SUM(P11:P15)</f>
        <v>0</v>
      </c>
      <c r="Q16" s="196" t="n">
        <f aca="false">SUM(Q11:Q15)</f>
        <v>0</v>
      </c>
      <c r="R16" s="196" t="n">
        <f aca="false">SUM(R11:R15)</f>
        <v>0</v>
      </c>
      <c r="S16" s="196" t="n">
        <f aca="false">SUM(S11:S15)</f>
        <v>0</v>
      </c>
      <c r="T16" s="196" t="n">
        <f aca="false">SUM(T11:T15)</f>
        <v>0</v>
      </c>
      <c r="U16" s="196" t="n">
        <f aca="false">SUM(U11:U15)</f>
        <v>0</v>
      </c>
      <c r="V16" s="196" t="n">
        <f aca="false">SUM(V11:V15)</f>
        <v>0</v>
      </c>
      <c r="W16" s="196" t="n">
        <f aca="false">SUM(W11:W15)</f>
        <v>0</v>
      </c>
      <c r="X16" s="197" t="n">
        <f aca="false">SUM(X11:X15)</f>
        <v>0</v>
      </c>
      <c r="Y16" s="198" t="n">
        <f aca="false">SUM(Y11:Y15)</f>
        <v>60</v>
      </c>
      <c r="Z16" s="198" t="n">
        <f aca="false">SUM(Z11:Z15)</f>
        <v>1200</v>
      </c>
      <c r="AA16" s="198" t="n">
        <f aca="false">SUM(AA11:AA15)</f>
        <v>-1140</v>
      </c>
    </row>
    <row r="17" customFormat="false" ht="17.35" hidden="false" customHeight="false" outlineLevel="0" collapsed="false">
      <c r="A17" s="199"/>
      <c r="B17" s="199"/>
      <c r="Y17" s="186" t="s">
        <v>31</v>
      </c>
      <c r="Z17" s="186" t="s">
        <v>31</v>
      </c>
      <c r="AA17" s="186" t="s">
        <v>31</v>
      </c>
    </row>
    <row r="18" customFormat="false" ht="17.35" hidden="false" customHeight="false" outlineLevel="0" collapsed="false">
      <c r="A18" s="187" t="str">
        <f aca="false">C!A30</f>
        <v>RACK PACK</v>
      </c>
      <c r="B18" s="187" t="s">
        <v>295</v>
      </c>
      <c r="C18" s="188" t="s">
        <v>296</v>
      </c>
      <c r="D18" s="188" t="s">
        <v>297</v>
      </c>
      <c r="E18" s="188" t="s">
        <v>298</v>
      </c>
      <c r="F18" s="188" t="s">
        <v>299</v>
      </c>
      <c r="G18" s="188" t="s">
        <v>300</v>
      </c>
      <c r="H18" s="188" t="s">
        <v>301</v>
      </c>
      <c r="I18" s="188" t="s">
        <v>302</v>
      </c>
      <c r="J18" s="188" t="s">
        <v>303</v>
      </c>
      <c r="K18" s="188" t="s">
        <v>304</v>
      </c>
      <c r="L18" s="188" t="s">
        <v>305</v>
      </c>
      <c r="M18" s="188" t="s">
        <v>306</v>
      </c>
      <c r="N18" s="188" t="s">
        <v>307</v>
      </c>
      <c r="O18" s="188" t="s">
        <v>308</v>
      </c>
      <c r="P18" s="188" t="s">
        <v>309</v>
      </c>
      <c r="Q18" s="188" t="s">
        <v>310</v>
      </c>
      <c r="R18" s="188" t="s">
        <v>311</v>
      </c>
      <c r="S18" s="188" t="s">
        <v>312</v>
      </c>
      <c r="T18" s="188" t="s">
        <v>313</v>
      </c>
      <c r="U18" s="188" t="s">
        <v>314</v>
      </c>
      <c r="V18" s="188" t="s">
        <v>315</v>
      </c>
      <c r="W18" s="188" t="s">
        <v>316</v>
      </c>
      <c r="X18" s="189" t="s">
        <v>317</v>
      </c>
      <c r="Y18" s="190" t="s">
        <v>209</v>
      </c>
      <c r="Z18" s="190" t="s">
        <v>318</v>
      </c>
      <c r="AA18" s="190" t="s">
        <v>319</v>
      </c>
    </row>
    <row r="19" customFormat="false" ht="15" hidden="false" customHeight="false" outlineLevel="0" collapsed="false">
      <c r="A19" s="191" t="str">
        <f aca="false">C!A31</f>
        <v>BRENNEN</v>
      </c>
      <c r="B19" s="192" t="n">
        <f aca="false">IF(B!C104=TRUE(),14,0)</f>
        <v>0</v>
      </c>
      <c r="C19" s="192" t="n">
        <f aca="false">C!$C31</f>
        <v>0</v>
      </c>
      <c r="D19" s="192" t="n">
        <f aca="false">D!$C31</f>
        <v>10</v>
      </c>
      <c r="E19" s="192" t="n">
        <f aca="false">E!$C31</f>
        <v>0</v>
      </c>
      <c r="F19" s="192" t="n">
        <f aca="false">F!$C31</f>
        <v>0</v>
      </c>
      <c r="G19" s="192" t="n">
        <f aca="false">G!$C31</f>
        <v>0</v>
      </c>
      <c r="H19" s="192" t="n">
        <f aca="false">H!$C31</f>
        <v>10</v>
      </c>
      <c r="I19" s="192" t="n">
        <f aca="false">I!$C31</f>
        <v>0</v>
      </c>
      <c r="J19" s="192" t="n">
        <f aca="false">J!$C31</f>
        <v>0</v>
      </c>
      <c r="K19" s="192" t="n">
        <f aca="false">K!$C31</f>
        <v>0</v>
      </c>
      <c r="L19" s="192" t="n">
        <f aca="false">L!$C31</f>
        <v>0</v>
      </c>
      <c r="M19" s="192" t="n">
        <f aca="false">M!$C31</f>
        <v>0</v>
      </c>
      <c r="N19" s="192" t="n">
        <f aca="false">N!$C31</f>
        <v>0</v>
      </c>
      <c r="O19" s="192" t="n">
        <f aca="false">O!$C31</f>
        <v>0</v>
      </c>
      <c r="P19" s="192" t="n">
        <f aca="false">P!$C31</f>
        <v>0</v>
      </c>
      <c r="Q19" s="192" t="n">
        <f aca="false">Q!$C31</f>
        <v>0</v>
      </c>
      <c r="R19" s="192" t="n">
        <f aca="false">R!$C31</f>
        <v>0</v>
      </c>
      <c r="S19" s="192" t="n">
        <f aca="false">S!$C31</f>
        <v>0</v>
      </c>
      <c r="T19" s="192" t="n">
        <f aca="false">T!$C31</f>
        <v>0</v>
      </c>
      <c r="U19" s="192" t="n">
        <f aca="false">U!$C31</f>
        <v>0</v>
      </c>
      <c r="V19" s="192" t="n">
        <f aca="false">V!$C31</f>
        <v>0</v>
      </c>
      <c r="W19" s="192" t="n">
        <f aca="false">W!$C31</f>
        <v>0</v>
      </c>
      <c r="X19" s="192" t="n">
        <f aca="false">X!$C31</f>
        <v>0</v>
      </c>
      <c r="Y19" s="193" t="n">
        <f aca="false">SUM(B19:X19)</f>
        <v>20</v>
      </c>
      <c r="Z19" s="193" t="n">
        <f aca="false">IF(B!B104="",0,B!$C$11+B!$C$8*B!C106)</f>
        <v>240</v>
      </c>
      <c r="AA19" s="193" t="n">
        <f aca="false">Y19-Z19</f>
        <v>-220</v>
      </c>
    </row>
    <row r="20" customFormat="false" ht="15" hidden="false" customHeight="false" outlineLevel="0" collapsed="false">
      <c r="A20" s="191" t="str">
        <f aca="false">C!A32</f>
        <v>NICK</v>
      </c>
      <c r="B20" s="192" t="n">
        <f aca="false">IF(B!C109=TRUE(),14,0)</f>
        <v>0</v>
      </c>
      <c r="C20" s="192" t="n">
        <f aca="false">C!$C32</f>
        <v>0</v>
      </c>
      <c r="D20" s="192" t="n">
        <f aca="false">D!$C32</f>
        <v>0</v>
      </c>
      <c r="E20" s="192" t="n">
        <f aca="false">E!$C32</f>
        <v>0</v>
      </c>
      <c r="F20" s="192" t="n">
        <f aca="false">F!$C32</f>
        <v>0</v>
      </c>
      <c r="G20" s="192" t="n">
        <f aca="false">G!$C32</f>
        <v>0</v>
      </c>
      <c r="H20" s="192" t="n">
        <f aca="false">H!$C32</f>
        <v>0</v>
      </c>
      <c r="I20" s="192" t="n">
        <f aca="false">I!$C32</f>
        <v>0</v>
      </c>
      <c r="J20" s="192" t="n">
        <f aca="false">J!$C32</f>
        <v>0</v>
      </c>
      <c r="K20" s="192" t="n">
        <f aca="false">K!$C32</f>
        <v>0</v>
      </c>
      <c r="L20" s="192" t="n">
        <f aca="false">L!$C32</f>
        <v>0</v>
      </c>
      <c r="M20" s="192" t="n">
        <f aca="false">M!$C32</f>
        <v>0</v>
      </c>
      <c r="N20" s="192" t="n">
        <f aca="false">N!$C32</f>
        <v>0</v>
      </c>
      <c r="O20" s="192" t="n">
        <f aca="false">O!$C32</f>
        <v>0</v>
      </c>
      <c r="P20" s="192" t="n">
        <f aca="false">P!$C32</f>
        <v>0</v>
      </c>
      <c r="Q20" s="192" t="n">
        <f aca="false">Q!$C32</f>
        <v>0</v>
      </c>
      <c r="R20" s="192" t="n">
        <f aca="false">R!$C32</f>
        <v>0</v>
      </c>
      <c r="S20" s="192" t="n">
        <f aca="false">S!$C32</f>
        <v>0</v>
      </c>
      <c r="T20" s="192" t="n">
        <f aca="false">T!$C32</f>
        <v>0</v>
      </c>
      <c r="U20" s="192" t="n">
        <f aca="false">U!$C32</f>
        <v>0</v>
      </c>
      <c r="V20" s="192" t="n">
        <f aca="false">V!$C32</f>
        <v>0</v>
      </c>
      <c r="W20" s="192" t="n">
        <f aca="false">W!$C32</f>
        <v>0</v>
      </c>
      <c r="X20" s="192" t="n">
        <f aca="false">X!$C32</f>
        <v>0</v>
      </c>
      <c r="Y20" s="193" t="n">
        <f aca="false">SUM(B20:X20)</f>
        <v>0</v>
      </c>
      <c r="Z20" s="193" t="n">
        <f aca="false">IF(B!B109="",0,B!$C$11+B!$C$8*B!C111)</f>
        <v>240</v>
      </c>
      <c r="AA20" s="193" t="n">
        <f aca="false">Y20-Z20</f>
        <v>-240</v>
      </c>
    </row>
    <row r="21" customFormat="false" ht="15" hidden="false" customHeight="false" outlineLevel="0" collapsed="false">
      <c r="A21" s="191" t="str">
        <f aca="false">C!A33</f>
        <v>IAN</v>
      </c>
      <c r="B21" s="192" t="n">
        <f aca="false">IF(B!C114=TRUE(),14,0)</f>
        <v>0</v>
      </c>
      <c r="C21" s="192" t="n">
        <f aca="false">C!$C33</f>
        <v>0</v>
      </c>
      <c r="D21" s="192" t="n">
        <f aca="false">D!$C33</f>
        <v>0</v>
      </c>
      <c r="E21" s="192" t="n">
        <f aca="false">E!$C33</f>
        <v>0</v>
      </c>
      <c r="F21" s="192" t="n">
        <f aca="false">F!$C33</f>
        <v>0</v>
      </c>
      <c r="G21" s="192" t="n">
        <f aca="false">G!$C33</f>
        <v>0</v>
      </c>
      <c r="H21" s="192" t="n">
        <f aca="false">H!$C33</f>
        <v>0</v>
      </c>
      <c r="I21" s="192" t="n">
        <f aca="false">I!$C33</f>
        <v>0</v>
      </c>
      <c r="J21" s="192" t="n">
        <f aca="false">J!$C33</f>
        <v>0</v>
      </c>
      <c r="K21" s="192" t="n">
        <f aca="false">K!$C33</f>
        <v>0</v>
      </c>
      <c r="L21" s="192" t="n">
        <f aca="false">L!$C33</f>
        <v>0</v>
      </c>
      <c r="M21" s="192" t="n">
        <f aca="false">M!$C33</f>
        <v>0</v>
      </c>
      <c r="N21" s="192" t="n">
        <f aca="false">N!$C33</f>
        <v>0</v>
      </c>
      <c r="O21" s="192" t="n">
        <f aca="false">O!$C33</f>
        <v>0</v>
      </c>
      <c r="P21" s="192" t="n">
        <f aca="false">P!$C33</f>
        <v>0</v>
      </c>
      <c r="Q21" s="192" t="n">
        <f aca="false">Q!$C33</f>
        <v>0</v>
      </c>
      <c r="R21" s="192" t="n">
        <f aca="false">R!$C33</f>
        <v>0</v>
      </c>
      <c r="S21" s="192" t="n">
        <f aca="false">S!$C33</f>
        <v>0</v>
      </c>
      <c r="T21" s="192" t="n">
        <f aca="false">T!$C33</f>
        <v>0</v>
      </c>
      <c r="U21" s="192" t="n">
        <f aca="false">U!$C33</f>
        <v>0</v>
      </c>
      <c r="V21" s="192" t="n">
        <f aca="false">V!$C33</f>
        <v>0</v>
      </c>
      <c r="W21" s="192" t="n">
        <f aca="false">W!$C33</f>
        <v>0</v>
      </c>
      <c r="X21" s="192" t="n">
        <f aca="false">X!$C33</f>
        <v>0</v>
      </c>
      <c r="Y21" s="193" t="n">
        <f aca="false">SUM(B21:X21)</f>
        <v>0</v>
      </c>
      <c r="Z21" s="193" t="n">
        <f aca="false">IF(B!B114="",0,B!$C$11+B!$C$8*B!C116)</f>
        <v>240</v>
      </c>
      <c r="AA21" s="193" t="n">
        <f aca="false">Y21-Z21</f>
        <v>-240</v>
      </c>
    </row>
    <row r="22" customFormat="false" ht="15" hidden="false" customHeight="false" outlineLevel="0" collapsed="false">
      <c r="A22" s="191" t="str">
        <f aca="false">C!A34</f>
        <v>SCOTT</v>
      </c>
      <c r="B22" s="192" t="n">
        <f aca="false">IF(B!C119=TRUE(),14,0)</f>
        <v>0</v>
      </c>
      <c r="C22" s="192" t="n">
        <f aca="false">C!$C34</f>
        <v>0</v>
      </c>
      <c r="D22" s="192" t="n">
        <f aca="false">D!$C34</f>
        <v>10</v>
      </c>
      <c r="E22" s="192" t="n">
        <f aca="false">E!$C34</f>
        <v>5</v>
      </c>
      <c r="F22" s="192" t="n">
        <f aca="false">F!$C34</f>
        <v>5</v>
      </c>
      <c r="G22" s="192" t="n">
        <f aca="false">G!$C34</f>
        <v>0</v>
      </c>
      <c r="H22" s="192" t="n">
        <f aca="false">H!$C34</f>
        <v>0</v>
      </c>
      <c r="I22" s="192" t="n">
        <f aca="false">I!$C34</f>
        <v>0</v>
      </c>
      <c r="J22" s="192" t="n">
        <f aca="false">J!$C34</f>
        <v>0</v>
      </c>
      <c r="K22" s="192" t="n">
        <f aca="false">K!$C34</f>
        <v>0</v>
      </c>
      <c r="L22" s="192" t="n">
        <f aca="false">L!$C34</f>
        <v>0</v>
      </c>
      <c r="M22" s="192" t="n">
        <f aca="false">M!$C34</f>
        <v>0</v>
      </c>
      <c r="N22" s="192" t="n">
        <f aca="false">N!$C34</f>
        <v>0</v>
      </c>
      <c r="O22" s="192" t="n">
        <f aca="false">O!$C34</f>
        <v>0</v>
      </c>
      <c r="P22" s="192" t="n">
        <f aca="false">P!$C34</f>
        <v>0</v>
      </c>
      <c r="Q22" s="192" t="n">
        <f aca="false">Q!$C34</f>
        <v>0</v>
      </c>
      <c r="R22" s="192" t="n">
        <f aca="false">R!$C34</f>
        <v>0</v>
      </c>
      <c r="S22" s="192" t="n">
        <f aca="false">S!$C34</f>
        <v>0</v>
      </c>
      <c r="T22" s="192" t="n">
        <f aca="false">T!$C34</f>
        <v>0</v>
      </c>
      <c r="U22" s="192" t="n">
        <f aca="false">U!$C34</f>
        <v>0</v>
      </c>
      <c r="V22" s="192" t="n">
        <f aca="false">V!$C34</f>
        <v>0</v>
      </c>
      <c r="W22" s="192" t="n">
        <f aca="false">W!$C34</f>
        <v>0</v>
      </c>
      <c r="X22" s="192" t="n">
        <f aca="false">X!$C34</f>
        <v>0</v>
      </c>
      <c r="Y22" s="193" t="n">
        <f aca="false">SUM(B22:X22)</f>
        <v>20</v>
      </c>
      <c r="Z22" s="193" t="n">
        <f aca="false">IF(B!B119="",0,B!$C$11+B!$C$8*B!C121)</f>
        <v>240</v>
      </c>
      <c r="AA22" s="193" t="n">
        <f aca="false">Y22-Z22</f>
        <v>-220</v>
      </c>
    </row>
    <row r="23" customFormat="false" ht="15" hidden="false" customHeight="false" outlineLevel="0" collapsed="false">
      <c r="A23" s="191" t="str">
        <f aca="false">C!A35</f>
        <v>TIM</v>
      </c>
      <c r="B23" s="192" t="n">
        <f aca="false">IF(B!C124=TRUE(),14,0)</f>
        <v>0</v>
      </c>
      <c r="C23" s="192" t="n">
        <f aca="false">C!$C35</f>
        <v>0</v>
      </c>
      <c r="D23" s="192" t="n">
        <f aca="false">D!$C35</f>
        <v>0</v>
      </c>
      <c r="E23" s="192" t="n">
        <f aca="false">E!$C35</f>
        <v>0</v>
      </c>
      <c r="F23" s="192" t="n">
        <f aca="false">F!$C35</f>
        <v>0</v>
      </c>
      <c r="G23" s="192" t="n">
        <f aca="false">G!$C35</f>
        <v>0</v>
      </c>
      <c r="H23" s="192" t="n">
        <f aca="false">H!$C35</f>
        <v>0</v>
      </c>
      <c r="I23" s="192" t="n">
        <f aca="false">I!$C35</f>
        <v>0</v>
      </c>
      <c r="J23" s="192" t="n">
        <f aca="false">J!$C35</f>
        <v>0</v>
      </c>
      <c r="K23" s="192" t="n">
        <f aca="false">K!$C35</f>
        <v>0</v>
      </c>
      <c r="L23" s="192" t="n">
        <f aca="false">L!$C35</f>
        <v>0</v>
      </c>
      <c r="M23" s="192" t="n">
        <f aca="false">M!$C35</f>
        <v>0</v>
      </c>
      <c r="N23" s="192" t="n">
        <f aca="false">N!$C35</f>
        <v>0</v>
      </c>
      <c r="O23" s="192" t="n">
        <f aca="false">O!$C35</f>
        <v>0</v>
      </c>
      <c r="P23" s="192" t="n">
        <f aca="false">P!$C35</f>
        <v>0</v>
      </c>
      <c r="Q23" s="192" t="n">
        <f aca="false">Q!$C35</f>
        <v>0</v>
      </c>
      <c r="R23" s="192" t="n">
        <f aca="false">R!$C35</f>
        <v>0</v>
      </c>
      <c r="S23" s="192" t="n">
        <f aca="false">S!$C35</f>
        <v>0</v>
      </c>
      <c r="T23" s="192" t="n">
        <f aca="false">T!$C35</f>
        <v>0</v>
      </c>
      <c r="U23" s="192" t="n">
        <f aca="false">U!$C35</f>
        <v>0</v>
      </c>
      <c r="V23" s="192" t="n">
        <f aca="false">V!$C35</f>
        <v>0</v>
      </c>
      <c r="W23" s="192" t="n">
        <f aca="false">W!$C35</f>
        <v>0</v>
      </c>
      <c r="X23" s="192" t="n">
        <f aca="false">X!$C35</f>
        <v>0</v>
      </c>
      <c r="Y23" s="193" t="n">
        <f aca="false">SUM(B23:X23)</f>
        <v>0</v>
      </c>
      <c r="Z23" s="193" t="n">
        <f aca="false">IF(B!B124="",0,B!$C$11+B!$C$8*B!C126)</f>
        <v>240</v>
      </c>
      <c r="AA23" s="193" t="n">
        <f aca="false">Y23-Z23</f>
        <v>-240</v>
      </c>
    </row>
    <row r="24" customFormat="false" ht="15" hidden="false" customHeight="false" outlineLevel="0" collapsed="false">
      <c r="A24" s="195" t="s">
        <v>320</v>
      </c>
      <c r="B24" s="196" t="n">
        <f aca="false">SUM(B19:B23)</f>
        <v>0</v>
      </c>
      <c r="C24" s="196" t="n">
        <f aca="false">SUM(C19:C23)</f>
        <v>0</v>
      </c>
      <c r="D24" s="196" t="n">
        <f aca="false">SUM(D19:D23)</f>
        <v>20</v>
      </c>
      <c r="E24" s="196" t="n">
        <f aca="false">SUM(E19:E23)</f>
        <v>5</v>
      </c>
      <c r="F24" s="196" t="n">
        <f aca="false">SUM(F19:F23)</f>
        <v>5</v>
      </c>
      <c r="G24" s="196" t="n">
        <f aca="false">SUM(G19:G23)</f>
        <v>0</v>
      </c>
      <c r="H24" s="196" t="n">
        <f aca="false">SUM(H19:H23)</f>
        <v>10</v>
      </c>
      <c r="I24" s="196" t="n">
        <f aca="false">SUM(I19:I23)</f>
        <v>0</v>
      </c>
      <c r="J24" s="196" t="n">
        <f aca="false">SUM(J19:J23)</f>
        <v>0</v>
      </c>
      <c r="K24" s="196" t="n">
        <f aca="false">SUM(K19:K23)</f>
        <v>0</v>
      </c>
      <c r="L24" s="196" t="n">
        <f aca="false">SUM(L19:L23)</f>
        <v>0</v>
      </c>
      <c r="M24" s="196" t="n">
        <f aca="false">SUM(M19:M23)</f>
        <v>0</v>
      </c>
      <c r="N24" s="196" t="n">
        <f aca="false">SUM(N19:N23)</f>
        <v>0</v>
      </c>
      <c r="O24" s="196" t="n">
        <f aca="false">SUM(O19:O23)</f>
        <v>0</v>
      </c>
      <c r="P24" s="196" t="n">
        <f aca="false">SUM(P19:P23)</f>
        <v>0</v>
      </c>
      <c r="Q24" s="196" t="n">
        <f aca="false">SUM(Q19:Q23)</f>
        <v>0</v>
      </c>
      <c r="R24" s="196" t="n">
        <f aca="false">SUM(R19:R23)</f>
        <v>0</v>
      </c>
      <c r="S24" s="196" t="n">
        <f aca="false">SUM(S19:S23)</f>
        <v>0</v>
      </c>
      <c r="T24" s="196" t="n">
        <f aca="false">SUM(T19:T23)</f>
        <v>0</v>
      </c>
      <c r="U24" s="196" t="n">
        <f aca="false">SUM(U19:U23)</f>
        <v>0</v>
      </c>
      <c r="V24" s="196" t="n">
        <f aca="false">SUM(V19:V23)</f>
        <v>0</v>
      </c>
      <c r="W24" s="196" t="n">
        <f aca="false">SUM(W19:W23)</f>
        <v>0</v>
      </c>
      <c r="X24" s="197" t="n">
        <f aca="false">SUM(X19:X23)</f>
        <v>0</v>
      </c>
      <c r="Y24" s="198" t="n">
        <f aca="false">SUM(Y19:Y23)</f>
        <v>40</v>
      </c>
      <c r="Z24" s="198" t="n">
        <f aca="false">SUM(Z19:Z23)</f>
        <v>1200</v>
      </c>
      <c r="AA24" s="198" t="n">
        <f aca="false">SUM(AA19:AA23)</f>
        <v>-1160</v>
      </c>
    </row>
    <row r="25" customFormat="false" ht="17.35" hidden="false" customHeight="false" outlineLevel="0" collapsed="false">
      <c r="A25" s="199"/>
      <c r="B25" s="199"/>
      <c r="Y25" s="186" t="s">
        <v>31</v>
      </c>
      <c r="Z25" s="186" t="s">
        <v>31</v>
      </c>
      <c r="AA25" s="186" t="s">
        <v>31</v>
      </c>
    </row>
    <row r="26" customFormat="false" ht="17.35" hidden="false" customHeight="false" outlineLevel="0" collapsed="false">
      <c r="A26" s="187" t="str">
        <f aca="false">C!A43</f>
        <v>PKT CHANGE</v>
      </c>
      <c r="B26" s="187" t="s">
        <v>295</v>
      </c>
      <c r="C26" s="188" t="s">
        <v>296</v>
      </c>
      <c r="D26" s="188" t="s">
        <v>297</v>
      </c>
      <c r="E26" s="188" t="s">
        <v>298</v>
      </c>
      <c r="F26" s="188" t="s">
        <v>299</v>
      </c>
      <c r="G26" s="188" t="s">
        <v>300</v>
      </c>
      <c r="H26" s="188" t="s">
        <v>301</v>
      </c>
      <c r="I26" s="188" t="s">
        <v>302</v>
      </c>
      <c r="J26" s="188" t="s">
        <v>303</v>
      </c>
      <c r="K26" s="188" t="s">
        <v>304</v>
      </c>
      <c r="L26" s="188" t="s">
        <v>305</v>
      </c>
      <c r="M26" s="188" t="s">
        <v>306</v>
      </c>
      <c r="N26" s="188" t="s">
        <v>307</v>
      </c>
      <c r="O26" s="188" t="s">
        <v>308</v>
      </c>
      <c r="P26" s="188" t="s">
        <v>309</v>
      </c>
      <c r="Q26" s="188" t="s">
        <v>310</v>
      </c>
      <c r="R26" s="188" t="s">
        <v>311</v>
      </c>
      <c r="S26" s="188" t="s">
        <v>312</v>
      </c>
      <c r="T26" s="188" t="s">
        <v>313</v>
      </c>
      <c r="U26" s="188" t="s">
        <v>314</v>
      </c>
      <c r="V26" s="188" t="s">
        <v>315</v>
      </c>
      <c r="W26" s="188" t="s">
        <v>316</v>
      </c>
      <c r="X26" s="189" t="s">
        <v>317</v>
      </c>
      <c r="Y26" s="190" t="s">
        <v>209</v>
      </c>
      <c r="Z26" s="190" t="s">
        <v>318</v>
      </c>
      <c r="AA26" s="190" t="s">
        <v>319</v>
      </c>
    </row>
    <row r="27" customFormat="false" ht="15" hidden="false" customHeight="false" outlineLevel="0" collapsed="false">
      <c r="A27" s="191" t="str">
        <f aca="false">C!A44</f>
        <v>PATRICK</v>
      </c>
      <c r="B27" s="192" t="n">
        <f aca="false">IF(B!C147=TRUE(),14,0)</f>
        <v>0</v>
      </c>
      <c r="C27" s="192" t="n">
        <f aca="false">C!$C44</f>
        <v>0</v>
      </c>
      <c r="D27" s="192" t="n">
        <f aca="false">D!$C44</f>
        <v>0</v>
      </c>
      <c r="E27" s="192" t="n">
        <f aca="false">E!$C44</f>
        <v>0</v>
      </c>
      <c r="F27" s="192" t="n">
        <f aca="false">F!$C44</f>
        <v>20</v>
      </c>
      <c r="G27" s="192" t="n">
        <f aca="false">G!$C44</f>
        <v>10</v>
      </c>
      <c r="H27" s="192" t="n">
        <f aca="false">H!$C44</f>
        <v>10</v>
      </c>
      <c r="I27" s="192" t="n">
        <f aca="false">I!$C44</f>
        <v>0</v>
      </c>
      <c r="J27" s="192" t="n">
        <f aca="false">J!$C44</f>
        <v>0</v>
      </c>
      <c r="K27" s="192" t="n">
        <f aca="false">K!$C44</f>
        <v>0</v>
      </c>
      <c r="L27" s="192" t="n">
        <f aca="false">L!$C44</f>
        <v>0</v>
      </c>
      <c r="M27" s="192" t="n">
        <f aca="false">M!$C44</f>
        <v>0</v>
      </c>
      <c r="N27" s="192" t="n">
        <f aca="false">N!$C44</f>
        <v>0</v>
      </c>
      <c r="O27" s="192" t="n">
        <f aca="false">O!$C44</f>
        <v>0</v>
      </c>
      <c r="P27" s="192" t="n">
        <f aca="false">P!$C44</f>
        <v>0</v>
      </c>
      <c r="Q27" s="192" t="n">
        <f aca="false">Q!$C44</f>
        <v>0</v>
      </c>
      <c r="R27" s="192" t="n">
        <f aca="false">R!$C44</f>
        <v>0</v>
      </c>
      <c r="S27" s="192" t="n">
        <f aca="false">S!$C44</f>
        <v>0</v>
      </c>
      <c r="T27" s="192" t="n">
        <f aca="false">T!$C44</f>
        <v>0</v>
      </c>
      <c r="U27" s="192" t="n">
        <f aca="false">U!$C44</f>
        <v>0</v>
      </c>
      <c r="V27" s="192" t="n">
        <f aca="false">V!$C44</f>
        <v>0</v>
      </c>
      <c r="W27" s="192" t="n">
        <f aca="false">W!$C44</f>
        <v>0</v>
      </c>
      <c r="X27" s="192" t="n">
        <f aca="false">X!$C44</f>
        <v>0</v>
      </c>
      <c r="Y27" s="193" t="n">
        <f aca="false">SUM(B27:X27)</f>
        <v>40</v>
      </c>
      <c r="Z27" s="193" t="n">
        <f aca="false">IF(B!B147="",0,B!$C$11+B!$C$8*B!C149)</f>
        <v>240</v>
      </c>
      <c r="AA27" s="193" t="n">
        <f aca="false">Y27-Z27</f>
        <v>-200</v>
      </c>
    </row>
    <row r="28" customFormat="false" ht="15" hidden="false" customHeight="false" outlineLevel="0" collapsed="false">
      <c r="A28" s="191" t="str">
        <f aca="false">C!A45</f>
        <v>BRANDY</v>
      </c>
      <c r="B28" s="192" t="n">
        <f aca="false">IF(B!C152=TRUE(),14,0)</f>
        <v>14</v>
      </c>
      <c r="C28" s="192" t="n">
        <f aca="false">C!$C45</f>
        <v>0</v>
      </c>
      <c r="D28" s="192" t="n">
        <f aca="false">D!$C45</f>
        <v>0</v>
      </c>
      <c r="E28" s="192" t="n">
        <f aca="false">E!$C45</f>
        <v>0</v>
      </c>
      <c r="F28" s="192" t="n">
        <f aca="false">F!$C45</f>
        <v>20</v>
      </c>
      <c r="G28" s="192" t="n">
        <f aca="false">G!$C45</f>
        <v>10</v>
      </c>
      <c r="H28" s="192" t="n">
        <f aca="false">H!$C45</f>
        <v>10</v>
      </c>
      <c r="I28" s="192" t="n">
        <f aca="false">I!$C45</f>
        <v>0</v>
      </c>
      <c r="J28" s="192" t="n">
        <f aca="false">J!$C45</f>
        <v>0</v>
      </c>
      <c r="K28" s="192" t="n">
        <f aca="false">K!$C45</f>
        <v>0</v>
      </c>
      <c r="L28" s="192" t="n">
        <f aca="false">L!$C45</f>
        <v>0</v>
      </c>
      <c r="M28" s="192" t="n">
        <f aca="false">M!$C45</f>
        <v>0</v>
      </c>
      <c r="N28" s="192" t="n">
        <f aca="false">N!$C45</f>
        <v>0</v>
      </c>
      <c r="O28" s="192" t="n">
        <f aca="false">O!$C45</f>
        <v>0</v>
      </c>
      <c r="P28" s="192" t="n">
        <f aca="false">P!$C45</f>
        <v>0</v>
      </c>
      <c r="Q28" s="192" t="n">
        <f aca="false">Q!$C45</f>
        <v>0</v>
      </c>
      <c r="R28" s="192" t="n">
        <f aca="false">R!$C45</f>
        <v>0</v>
      </c>
      <c r="S28" s="192" t="n">
        <f aca="false">S!$C45</f>
        <v>0</v>
      </c>
      <c r="T28" s="192" t="n">
        <f aca="false">T!$C45</f>
        <v>0</v>
      </c>
      <c r="U28" s="192" t="n">
        <f aca="false">U!$C45</f>
        <v>0</v>
      </c>
      <c r="V28" s="192" t="n">
        <f aca="false">V!$C45</f>
        <v>0</v>
      </c>
      <c r="W28" s="192" t="n">
        <f aca="false">W!$C45</f>
        <v>0</v>
      </c>
      <c r="X28" s="192" t="n">
        <f aca="false">X!$C45</f>
        <v>0</v>
      </c>
      <c r="Y28" s="193" t="n">
        <f aca="false">SUM(B28:X28)</f>
        <v>54</v>
      </c>
      <c r="Z28" s="193" t="n">
        <f aca="false">IF(B!B152="",0,B!$C$11+B!$C$8*B!C154)</f>
        <v>240</v>
      </c>
      <c r="AA28" s="193" t="n">
        <f aca="false">Y28-Z28</f>
        <v>-186</v>
      </c>
    </row>
    <row r="29" customFormat="false" ht="15" hidden="false" customHeight="false" outlineLevel="0" collapsed="false">
      <c r="A29" s="191" t="str">
        <f aca="false">C!A46</f>
        <v>PJ</v>
      </c>
      <c r="B29" s="192" t="n">
        <f aca="false">IF(B!C157=TRUE(),14,0)</f>
        <v>0</v>
      </c>
      <c r="C29" s="192" t="n">
        <f aca="false">C!$C46</f>
        <v>0</v>
      </c>
      <c r="D29" s="192" t="n">
        <f aca="false">D!$C46</f>
        <v>0</v>
      </c>
      <c r="E29" s="192" t="n">
        <f aca="false">E!$C46</f>
        <v>0</v>
      </c>
      <c r="F29" s="192" t="n">
        <f aca="false">F!$C46</f>
        <v>20</v>
      </c>
      <c r="G29" s="192" t="n">
        <f aca="false">G!$C46</f>
        <v>0</v>
      </c>
      <c r="H29" s="192" t="n">
        <f aca="false">H!$C46</f>
        <v>0</v>
      </c>
      <c r="I29" s="192" t="n">
        <f aca="false">I!$C46</f>
        <v>0</v>
      </c>
      <c r="J29" s="192" t="n">
        <f aca="false">J!$C46</f>
        <v>0</v>
      </c>
      <c r="K29" s="192" t="n">
        <f aca="false">K!$C46</f>
        <v>0</v>
      </c>
      <c r="L29" s="192" t="n">
        <f aca="false">L!$C46</f>
        <v>0</v>
      </c>
      <c r="M29" s="192" t="n">
        <f aca="false">M!$C46</f>
        <v>0</v>
      </c>
      <c r="N29" s="192" t="n">
        <f aca="false">N!$C46</f>
        <v>0</v>
      </c>
      <c r="O29" s="192" t="n">
        <f aca="false">O!$C46</f>
        <v>0</v>
      </c>
      <c r="P29" s="192" t="n">
        <f aca="false">P!$C46</f>
        <v>0</v>
      </c>
      <c r="Q29" s="192" t="n">
        <f aca="false">Q!$C46</f>
        <v>0</v>
      </c>
      <c r="R29" s="192" t="n">
        <f aca="false">R!$C46</f>
        <v>0</v>
      </c>
      <c r="S29" s="192" t="n">
        <f aca="false">S!$C46</f>
        <v>0</v>
      </c>
      <c r="T29" s="192" t="n">
        <f aca="false">T!$C46</f>
        <v>0</v>
      </c>
      <c r="U29" s="192" t="n">
        <f aca="false">U!$C46</f>
        <v>0</v>
      </c>
      <c r="V29" s="192" t="n">
        <f aca="false">V!$C46</f>
        <v>0</v>
      </c>
      <c r="W29" s="192" t="n">
        <f aca="false">W!$C46</f>
        <v>0</v>
      </c>
      <c r="X29" s="192" t="n">
        <f aca="false">X!$C46</f>
        <v>0</v>
      </c>
      <c r="Y29" s="193" t="n">
        <f aca="false">SUM(B29:X29)</f>
        <v>20</v>
      </c>
      <c r="Z29" s="193" t="n">
        <f aca="false">IF(B!B157="",0,B!$C$11+B!$C$8*B!C159)</f>
        <v>240</v>
      </c>
      <c r="AA29" s="193" t="n">
        <f aca="false">Y29-Z29</f>
        <v>-220</v>
      </c>
    </row>
    <row r="30" customFormat="false" ht="15" hidden="false" customHeight="false" outlineLevel="0" collapsed="false">
      <c r="A30" s="191" t="str">
        <f aca="false">C!A47</f>
        <v>CARA</v>
      </c>
      <c r="B30" s="192" t="n">
        <f aca="false">IF(B!C162=TRUE(),14,0)</f>
        <v>0</v>
      </c>
      <c r="C30" s="192" t="n">
        <f aca="false">C!$C47</f>
        <v>0</v>
      </c>
      <c r="D30" s="192" t="n">
        <f aca="false">D!$C47</f>
        <v>0</v>
      </c>
      <c r="E30" s="192" t="n">
        <f aca="false">E!$C47</f>
        <v>0</v>
      </c>
      <c r="F30" s="192" t="n">
        <f aca="false">F!$C47</f>
        <v>0</v>
      </c>
      <c r="G30" s="192" t="n">
        <f aca="false">G!$C47</f>
        <v>0</v>
      </c>
      <c r="H30" s="192" t="n">
        <f aca="false">H!$C47</f>
        <v>0</v>
      </c>
      <c r="I30" s="192" t="n">
        <f aca="false">I!$C47</f>
        <v>0</v>
      </c>
      <c r="J30" s="192" t="n">
        <f aca="false">J!$C47</f>
        <v>0</v>
      </c>
      <c r="K30" s="192" t="n">
        <f aca="false">K!$C47</f>
        <v>0</v>
      </c>
      <c r="L30" s="192" t="n">
        <f aca="false">L!$C47</f>
        <v>0</v>
      </c>
      <c r="M30" s="192" t="n">
        <f aca="false">M!$C47</f>
        <v>0</v>
      </c>
      <c r="N30" s="192" t="n">
        <f aca="false">N!$C47</f>
        <v>0</v>
      </c>
      <c r="O30" s="192" t="n">
        <f aca="false">O!$C47</f>
        <v>0</v>
      </c>
      <c r="P30" s="192" t="n">
        <f aca="false">P!$C47</f>
        <v>0</v>
      </c>
      <c r="Q30" s="192" t="n">
        <f aca="false">Q!$C47</f>
        <v>0</v>
      </c>
      <c r="R30" s="192" t="n">
        <f aca="false">R!$C47</f>
        <v>0</v>
      </c>
      <c r="S30" s="192" t="n">
        <f aca="false">S!$C47</f>
        <v>0</v>
      </c>
      <c r="T30" s="192" t="n">
        <f aca="false">T!$C47</f>
        <v>0</v>
      </c>
      <c r="U30" s="192" t="n">
        <f aca="false">U!$C47</f>
        <v>0</v>
      </c>
      <c r="V30" s="192" t="n">
        <f aca="false">V!$C47</f>
        <v>0</v>
      </c>
      <c r="W30" s="192" t="n">
        <f aca="false">W!$C47</f>
        <v>0</v>
      </c>
      <c r="X30" s="192" t="n">
        <f aca="false">X!$C47</f>
        <v>0</v>
      </c>
      <c r="Y30" s="193" t="n">
        <f aca="false">SUM(B30:X30)</f>
        <v>0</v>
      </c>
      <c r="Z30" s="193" t="n">
        <f aca="false">IF(B!B162="",0,B!$C$11+B!$C$8*B!C164)</f>
        <v>240</v>
      </c>
      <c r="AA30" s="193" t="n">
        <f aca="false">Y30-Z30</f>
        <v>-240</v>
      </c>
    </row>
    <row r="31" customFormat="false" ht="15" hidden="false" customHeight="false" outlineLevel="0" collapsed="false">
      <c r="A31" s="191" t="str">
        <f aca="false">C!A48</f>
        <v>MELISSA</v>
      </c>
      <c r="B31" s="192" t="n">
        <f aca="false">IF(B!C167=TRUE(),14,0)</f>
        <v>0</v>
      </c>
      <c r="C31" s="192" t="n">
        <f aca="false">C!$C48</f>
        <v>0</v>
      </c>
      <c r="D31" s="192" t="n">
        <f aca="false">D!$C48</f>
        <v>0</v>
      </c>
      <c r="E31" s="192" t="n">
        <f aca="false">E!$C48</f>
        <v>0</v>
      </c>
      <c r="F31" s="192" t="n">
        <f aca="false">F!$C48</f>
        <v>0</v>
      </c>
      <c r="G31" s="192" t="n">
        <f aca="false">G!$C48</f>
        <v>0</v>
      </c>
      <c r="H31" s="192" t="n">
        <f aca="false">H!$C48</f>
        <v>0</v>
      </c>
      <c r="I31" s="192" t="n">
        <f aca="false">I!$C48</f>
        <v>0</v>
      </c>
      <c r="J31" s="192" t="n">
        <f aca="false">J!$C48</f>
        <v>0</v>
      </c>
      <c r="K31" s="192" t="n">
        <f aca="false">K!$C48</f>
        <v>0</v>
      </c>
      <c r="L31" s="192" t="n">
        <f aca="false">L!$C48</f>
        <v>0</v>
      </c>
      <c r="M31" s="192" t="n">
        <f aca="false">M!$C48</f>
        <v>0</v>
      </c>
      <c r="N31" s="192" t="n">
        <f aca="false">N!$C48</f>
        <v>0</v>
      </c>
      <c r="O31" s="192" t="n">
        <f aca="false">O!$C48</f>
        <v>0</v>
      </c>
      <c r="P31" s="192" t="n">
        <f aca="false">P!$C48</f>
        <v>0</v>
      </c>
      <c r="Q31" s="192" t="n">
        <f aca="false">Q!$C48</f>
        <v>0</v>
      </c>
      <c r="R31" s="192" t="n">
        <f aca="false">R!$C48</f>
        <v>0</v>
      </c>
      <c r="S31" s="192" t="n">
        <f aca="false">S!$C48</f>
        <v>0</v>
      </c>
      <c r="T31" s="192" t="n">
        <f aca="false">T!$C48</f>
        <v>0</v>
      </c>
      <c r="U31" s="192" t="n">
        <f aca="false">U!$C48</f>
        <v>0</v>
      </c>
      <c r="V31" s="192" t="n">
        <f aca="false">V!$C48</f>
        <v>0</v>
      </c>
      <c r="W31" s="192" t="n">
        <f aca="false">W!$C48</f>
        <v>0</v>
      </c>
      <c r="X31" s="192" t="n">
        <f aca="false">X!$C48</f>
        <v>0</v>
      </c>
      <c r="Y31" s="193" t="n">
        <f aca="false">SUM(B31:X31)</f>
        <v>0</v>
      </c>
      <c r="Z31" s="193" t="n">
        <f aca="false">IF(B!B167="",0,B!$C$11+B!$C$8*B!C169)</f>
        <v>240</v>
      </c>
      <c r="AA31" s="193" t="n">
        <f aca="false">Y31-Z31</f>
        <v>-240</v>
      </c>
    </row>
    <row r="32" customFormat="false" ht="15" hidden="false" customHeight="false" outlineLevel="0" collapsed="false">
      <c r="A32" s="195" t="s">
        <v>320</v>
      </c>
      <c r="B32" s="196" t="n">
        <f aca="false">SUM(B27:B31)</f>
        <v>14</v>
      </c>
      <c r="C32" s="196" t="n">
        <f aca="false">SUM(C27:C31)</f>
        <v>0</v>
      </c>
      <c r="D32" s="196" t="n">
        <f aca="false">SUM(D27:D31)</f>
        <v>0</v>
      </c>
      <c r="E32" s="196" t="n">
        <f aca="false">SUM(E27:E31)</f>
        <v>0</v>
      </c>
      <c r="F32" s="196" t="n">
        <f aca="false">SUM(F27:F31)</f>
        <v>60</v>
      </c>
      <c r="G32" s="196" t="n">
        <f aca="false">SUM(G27:G31)</f>
        <v>20</v>
      </c>
      <c r="H32" s="196" t="n">
        <f aca="false">SUM(H27:H31)</f>
        <v>20</v>
      </c>
      <c r="I32" s="196" t="n">
        <f aca="false">SUM(I27:I31)</f>
        <v>0</v>
      </c>
      <c r="J32" s="196" t="n">
        <f aca="false">SUM(J27:J31)</f>
        <v>0</v>
      </c>
      <c r="K32" s="196" t="n">
        <f aca="false">SUM(K27:K31)</f>
        <v>0</v>
      </c>
      <c r="L32" s="196" t="n">
        <f aca="false">SUM(L27:L31)</f>
        <v>0</v>
      </c>
      <c r="M32" s="196" t="n">
        <f aca="false">SUM(M27:M31)</f>
        <v>0</v>
      </c>
      <c r="N32" s="196" t="n">
        <f aca="false">SUM(N27:N31)</f>
        <v>0</v>
      </c>
      <c r="O32" s="196" t="n">
        <f aca="false">SUM(O27:O31)</f>
        <v>0</v>
      </c>
      <c r="P32" s="196" t="n">
        <f aca="false">SUM(P27:P31)</f>
        <v>0</v>
      </c>
      <c r="Q32" s="196" t="n">
        <f aca="false">SUM(Q27:Q31)</f>
        <v>0</v>
      </c>
      <c r="R32" s="196" t="n">
        <f aca="false">SUM(R27:R31)</f>
        <v>0</v>
      </c>
      <c r="S32" s="196" t="n">
        <f aca="false">SUM(S27:S31)</f>
        <v>0</v>
      </c>
      <c r="T32" s="196" t="n">
        <f aca="false">SUM(T27:T31)</f>
        <v>0</v>
      </c>
      <c r="U32" s="196" t="n">
        <f aca="false">SUM(U27:U31)</f>
        <v>0</v>
      </c>
      <c r="V32" s="196" t="n">
        <f aca="false">SUM(V27:V31)</f>
        <v>0</v>
      </c>
      <c r="W32" s="196" t="n">
        <f aca="false">SUM(W27:W31)</f>
        <v>0</v>
      </c>
      <c r="X32" s="197" t="n">
        <f aca="false">SUM(X27:X31)</f>
        <v>0</v>
      </c>
      <c r="Y32" s="198" t="n">
        <f aca="false">SUM(Y27:Y31)</f>
        <v>114</v>
      </c>
      <c r="Z32" s="198" t="n">
        <f aca="false">SUM(Z27:Z31)</f>
        <v>1200</v>
      </c>
      <c r="AA32" s="198" t="n">
        <f aca="false">SUM(AA27:AA31)</f>
        <v>-1086</v>
      </c>
    </row>
    <row r="33" customFormat="false" ht="17.35" hidden="false" customHeight="false" outlineLevel="0" collapsed="false">
      <c r="A33" s="199"/>
      <c r="B33" s="199"/>
      <c r="Y33" s="186" t="s">
        <v>31</v>
      </c>
      <c r="Z33" s="186" t="s">
        <v>31</v>
      </c>
      <c r="AA33" s="186" t="s">
        <v>31</v>
      </c>
    </row>
    <row r="34" customFormat="false" ht="17.35" hidden="false" customHeight="false" outlineLevel="0" collapsed="false">
      <c r="A34" s="187" t="str">
        <f aca="false">C!A56</f>
        <v>HABOOBS</v>
      </c>
      <c r="B34" s="187" t="s">
        <v>295</v>
      </c>
      <c r="C34" s="188" t="s">
        <v>296</v>
      </c>
      <c r="D34" s="188" t="s">
        <v>297</v>
      </c>
      <c r="E34" s="188" t="s">
        <v>298</v>
      </c>
      <c r="F34" s="188" t="s">
        <v>299</v>
      </c>
      <c r="G34" s="188" t="s">
        <v>300</v>
      </c>
      <c r="H34" s="188" t="s">
        <v>301</v>
      </c>
      <c r="I34" s="188" t="s">
        <v>302</v>
      </c>
      <c r="J34" s="188" t="s">
        <v>303</v>
      </c>
      <c r="K34" s="188" t="s">
        <v>304</v>
      </c>
      <c r="L34" s="188" t="s">
        <v>305</v>
      </c>
      <c r="M34" s="188" t="s">
        <v>306</v>
      </c>
      <c r="N34" s="188" t="s">
        <v>307</v>
      </c>
      <c r="O34" s="188" t="s">
        <v>308</v>
      </c>
      <c r="P34" s="188" t="s">
        <v>309</v>
      </c>
      <c r="Q34" s="188" t="s">
        <v>310</v>
      </c>
      <c r="R34" s="188" t="s">
        <v>311</v>
      </c>
      <c r="S34" s="188" t="s">
        <v>312</v>
      </c>
      <c r="T34" s="188" t="s">
        <v>313</v>
      </c>
      <c r="U34" s="188" t="s">
        <v>314</v>
      </c>
      <c r="V34" s="188" t="s">
        <v>315</v>
      </c>
      <c r="W34" s="188" t="s">
        <v>316</v>
      </c>
      <c r="X34" s="189" t="s">
        <v>317</v>
      </c>
      <c r="Y34" s="190" t="s">
        <v>209</v>
      </c>
      <c r="Z34" s="190" t="s">
        <v>318</v>
      </c>
      <c r="AA34" s="190" t="s">
        <v>319</v>
      </c>
    </row>
    <row r="35" customFormat="false" ht="15" hidden="false" customHeight="false" outlineLevel="0" collapsed="false">
      <c r="A35" s="191" t="str">
        <f aca="false">C!A57</f>
        <v>MIKE</v>
      </c>
      <c r="B35" s="192" t="n">
        <f aca="false">IF(B!C190=TRUE(),14,0)</f>
        <v>0</v>
      </c>
      <c r="C35" s="192" t="n">
        <f aca="false">C!$C57</f>
        <v>10</v>
      </c>
      <c r="D35" s="192" t="n">
        <f aca="false">D!$C57</f>
        <v>10</v>
      </c>
      <c r="E35" s="192" t="n">
        <f aca="false">E!$C57</f>
        <v>10</v>
      </c>
      <c r="F35" s="192" t="n">
        <f aca="false">F!$C57</f>
        <v>5</v>
      </c>
      <c r="G35" s="192" t="n">
        <f aca="false">G!$C57</f>
        <v>10</v>
      </c>
      <c r="H35" s="192" t="n">
        <f aca="false">H!$C57</f>
        <v>10</v>
      </c>
      <c r="I35" s="192" t="n">
        <f aca="false">I!$C57</f>
        <v>0</v>
      </c>
      <c r="J35" s="192" t="n">
        <f aca="false">J!$C57</f>
        <v>0</v>
      </c>
      <c r="K35" s="192" t="n">
        <f aca="false">K!$C57</f>
        <v>0</v>
      </c>
      <c r="L35" s="192" t="n">
        <f aca="false">L!$C57</f>
        <v>0</v>
      </c>
      <c r="M35" s="192" t="n">
        <f aca="false">M!$C57</f>
        <v>0</v>
      </c>
      <c r="N35" s="192" t="n">
        <f aca="false">N!$C57</f>
        <v>0</v>
      </c>
      <c r="O35" s="192" t="n">
        <f aca="false">O!$C57</f>
        <v>0</v>
      </c>
      <c r="P35" s="192" t="n">
        <f aca="false">P!$C57</f>
        <v>0</v>
      </c>
      <c r="Q35" s="192" t="n">
        <f aca="false">Q!$C57</f>
        <v>0</v>
      </c>
      <c r="R35" s="192" t="n">
        <f aca="false">R!$C57</f>
        <v>0</v>
      </c>
      <c r="S35" s="192" t="n">
        <f aca="false">S!$C57</f>
        <v>0</v>
      </c>
      <c r="T35" s="192" t="n">
        <f aca="false">T!$C57</f>
        <v>0</v>
      </c>
      <c r="U35" s="192" t="n">
        <f aca="false">U!$C57</f>
        <v>0</v>
      </c>
      <c r="V35" s="192" t="n">
        <f aca="false">V!$C57</f>
        <v>0</v>
      </c>
      <c r="W35" s="192" t="n">
        <f aca="false">W!$C57</f>
        <v>0</v>
      </c>
      <c r="X35" s="192" t="n">
        <f aca="false">X!$C57</f>
        <v>0</v>
      </c>
      <c r="Y35" s="193" t="n">
        <f aca="false">SUM(B35:X35)</f>
        <v>55</v>
      </c>
      <c r="Z35" s="193" t="n">
        <f aca="false">IF(B!B190="",0,B!$C$11+B!$C$8*B!C192)</f>
        <v>240</v>
      </c>
      <c r="AA35" s="193" t="n">
        <f aca="false">Y35-Z35</f>
        <v>-185</v>
      </c>
    </row>
    <row r="36" customFormat="false" ht="15" hidden="false" customHeight="false" outlineLevel="0" collapsed="false">
      <c r="A36" s="191" t="str">
        <f aca="false">C!A58</f>
        <v>OLGA</v>
      </c>
      <c r="B36" s="192" t="n">
        <f aca="false">IF(B!C195=TRUE(),14,0)</f>
        <v>0</v>
      </c>
      <c r="C36" s="192" t="n">
        <f aca="false">C!$C58</f>
        <v>10</v>
      </c>
      <c r="D36" s="192" t="n">
        <f aca="false">D!$C58</f>
        <v>10</v>
      </c>
      <c r="E36" s="192" t="n">
        <f aca="false">E!$C58</f>
        <v>10</v>
      </c>
      <c r="F36" s="192" t="n">
        <f aca="false">F!$C58</f>
        <v>5</v>
      </c>
      <c r="G36" s="192" t="n">
        <f aca="false">G!$C58</f>
        <v>10</v>
      </c>
      <c r="H36" s="192" t="n">
        <f aca="false">H!$C58</f>
        <v>10</v>
      </c>
      <c r="I36" s="192" t="n">
        <f aca="false">I!$C58</f>
        <v>0</v>
      </c>
      <c r="J36" s="192" t="n">
        <f aca="false">J!$C58</f>
        <v>0</v>
      </c>
      <c r="K36" s="192" t="n">
        <f aca="false">K!$C58</f>
        <v>0</v>
      </c>
      <c r="L36" s="192" t="n">
        <f aca="false">L!$C58</f>
        <v>0</v>
      </c>
      <c r="M36" s="192" t="n">
        <f aca="false">M!$C58</f>
        <v>0</v>
      </c>
      <c r="N36" s="192" t="n">
        <f aca="false">N!$C58</f>
        <v>0</v>
      </c>
      <c r="O36" s="192" t="n">
        <f aca="false">O!$C58</f>
        <v>0</v>
      </c>
      <c r="P36" s="192" t="n">
        <f aca="false">P!$C58</f>
        <v>0</v>
      </c>
      <c r="Q36" s="192" t="n">
        <f aca="false">Q!$C58</f>
        <v>0</v>
      </c>
      <c r="R36" s="192" t="n">
        <f aca="false">R!$C58</f>
        <v>0</v>
      </c>
      <c r="S36" s="192" t="n">
        <f aca="false">S!$C58</f>
        <v>0</v>
      </c>
      <c r="T36" s="192" t="n">
        <f aca="false">T!$C58</f>
        <v>0</v>
      </c>
      <c r="U36" s="192" t="n">
        <f aca="false">U!$C58</f>
        <v>0</v>
      </c>
      <c r="V36" s="192" t="n">
        <f aca="false">V!$C58</f>
        <v>0</v>
      </c>
      <c r="W36" s="192" t="n">
        <f aca="false">W!$C58</f>
        <v>0</v>
      </c>
      <c r="X36" s="192" t="n">
        <f aca="false">X!$C58</f>
        <v>0</v>
      </c>
      <c r="Y36" s="193" t="n">
        <f aca="false">SUM(B36:X36)</f>
        <v>55</v>
      </c>
      <c r="Z36" s="193" t="n">
        <f aca="false">IF(B!B195="",0,B!$C$11+B!$C$8*B!C197)</f>
        <v>240</v>
      </c>
      <c r="AA36" s="193" t="n">
        <f aca="false">Y36-Z36</f>
        <v>-185</v>
      </c>
    </row>
    <row r="37" customFormat="false" ht="15" hidden="false" customHeight="false" outlineLevel="0" collapsed="false">
      <c r="A37" s="191" t="str">
        <f aca="false">C!A59</f>
        <v>DAN</v>
      </c>
      <c r="B37" s="192" t="n">
        <f aca="false">IF(B!C200=TRUE(),14,0)</f>
        <v>0</v>
      </c>
      <c r="C37" s="192" t="n">
        <f aca="false">C!$C59</f>
        <v>0</v>
      </c>
      <c r="D37" s="192" t="n">
        <f aca="false">D!$C59</f>
        <v>0</v>
      </c>
      <c r="E37" s="192" t="n">
        <f aca="false">E!$C59</f>
        <v>0</v>
      </c>
      <c r="F37" s="192" t="n">
        <f aca="false">F!$C59</f>
        <v>0</v>
      </c>
      <c r="G37" s="192" t="n">
        <f aca="false">G!$C59</f>
        <v>0</v>
      </c>
      <c r="H37" s="192" t="n">
        <f aca="false">H!$C59</f>
        <v>0</v>
      </c>
      <c r="I37" s="192" t="n">
        <f aca="false">I!$C59</f>
        <v>0</v>
      </c>
      <c r="J37" s="192" t="n">
        <f aca="false">J!$C59</f>
        <v>0</v>
      </c>
      <c r="K37" s="192" t="n">
        <f aca="false">K!$C59</f>
        <v>0</v>
      </c>
      <c r="L37" s="192" t="n">
        <f aca="false">L!$C59</f>
        <v>0</v>
      </c>
      <c r="M37" s="192" t="n">
        <f aca="false">M!$C59</f>
        <v>0</v>
      </c>
      <c r="N37" s="192" t="n">
        <f aca="false">N!$C59</f>
        <v>0</v>
      </c>
      <c r="O37" s="192" t="n">
        <f aca="false">O!$C59</f>
        <v>0</v>
      </c>
      <c r="P37" s="192" t="n">
        <f aca="false">P!$C59</f>
        <v>0</v>
      </c>
      <c r="Q37" s="192" t="n">
        <f aca="false">Q!$C59</f>
        <v>0</v>
      </c>
      <c r="R37" s="192" t="n">
        <f aca="false">R!$C59</f>
        <v>0</v>
      </c>
      <c r="S37" s="192" t="n">
        <f aca="false">S!$C59</f>
        <v>0</v>
      </c>
      <c r="T37" s="192" t="n">
        <f aca="false">T!$C59</f>
        <v>0</v>
      </c>
      <c r="U37" s="192" t="n">
        <f aca="false">U!$C59</f>
        <v>0</v>
      </c>
      <c r="V37" s="192" t="n">
        <f aca="false">V!$C59</f>
        <v>0</v>
      </c>
      <c r="W37" s="192" t="n">
        <f aca="false">W!$C59</f>
        <v>0</v>
      </c>
      <c r="X37" s="192" t="n">
        <f aca="false">X!$C59</f>
        <v>0</v>
      </c>
      <c r="Y37" s="193" t="n">
        <f aca="false">SUM(B37:X37)</f>
        <v>0</v>
      </c>
      <c r="Z37" s="193" t="n">
        <f aca="false">IF(B!B200="",0,B!$C$11+B!$C$8*B!C202)</f>
        <v>240</v>
      </c>
      <c r="AA37" s="193" t="n">
        <f aca="false">Y37-Z37</f>
        <v>-240</v>
      </c>
    </row>
    <row r="38" customFormat="false" ht="15" hidden="false" customHeight="false" outlineLevel="0" collapsed="false">
      <c r="A38" s="191" t="str">
        <f aca="false">C!A60</f>
        <v>MIKE MO</v>
      </c>
      <c r="B38" s="192" t="n">
        <f aca="false">IF(B!C205=TRUE(),14,0)</f>
        <v>0</v>
      </c>
      <c r="C38" s="192" t="n">
        <f aca="false">C!$C60</f>
        <v>0</v>
      </c>
      <c r="D38" s="192" t="n">
        <f aca="false">D!$C60</f>
        <v>0</v>
      </c>
      <c r="E38" s="192" t="n">
        <f aca="false">E!$C60</f>
        <v>10</v>
      </c>
      <c r="F38" s="192" t="n">
        <f aca="false">F!$C60</f>
        <v>10</v>
      </c>
      <c r="G38" s="192" t="n">
        <f aca="false">G!$C60</f>
        <v>10</v>
      </c>
      <c r="H38" s="192" t="n">
        <f aca="false">H!$C60</f>
        <v>0</v>
      </c>
      <c r="I38" s="192" t="n">
        <f aca="false">I!$C60</f>
        <v>0</v>
      </c>
      <c r="J38" s="192" t="n">
        <f aca="false">J!$C60</f>
        <v>0</v>
      </c>
      <c r="K38" s="192" t="n">
        <f aca="false">K!$C60</f>
        <v>0</v>
      </c>
      <c r="L38" s="192" t="n">
        <f aca="false">L!$C60</f>
        <v>0</v>
      </c>
      <c r="M38" s="192" t="n">
        <f aca="false">M!$C60</f>
        <v>0</v>
      </c>
      <c r="N38" s="192" t="n">
        <f aca="false">N!$C60</f>
        <v>0</v>
      </c>
      <c r="O38" s="192" t="n">
        <f aca="false">O!$C60</f>
        <v>0</v>
      </c>
      <c r="P38" s="192" t="n">
        <f aca="false">P!$C60</f>
        <v>0</v>
      </c>
      <c r="Q38" s="192" t="n">
        <f aca="false">Q!$C60</f>
        <v>0</v>
      </c>
      <c r="R38" s="192" t="n">
        <f aca="false">R!$C60</f>
        <v>0</v>
      </c>
      <c r="S38" s="192" t="n">
        <f aca="false">S!$C60</f>
        <v>0</v>
      </c>
      <c r="T38" s="192" t="n">
        <f aca="false">T!$C60</f>
        <v>0</v>
      </c>
      <c r="U38" s="192" t="n">
        <f aca="false">U!$C60</f>
        <v>0</v>
      </c>
      <c r="V38" s="192" t="n">
        <f aca="false">V!$C60</f>
        <v>0</v>
      </c>
      <c r="W38" s="192" t="n">
        <f aca="false">W!$C60</f>
        <v>0</v>
      </c>
      <c r="X38" s="192" t="n">
        <f aca="false">X!$C60</f>
        <v>0</v>
      </c>
      <c r="Y38" s="193" t="n">
        <f aca="false">SUM(B38:X38)</f>
        <v>30</v>
      </c>
      <c r="Z38" s="193" t="n">
        <f aca="false">IF(B!B205="",0,B!$C$11+B!$C$8*B!C207)</f>
        <v>240</v>
      </c>
      <c r="AA38" s="193" t="n">
        <f aca="false">Y38-Z38</f>
        <v>-210</v>
      </c>
    </row>
    <row r="39" customFormat="false" ht="15" hidden="false" customHeight="false" outlineLevel="0" collapsed="false">
      <c r="A39" s="191" t="str">
        <f aca="false">C!A61</f>
        <v>VICKIE</v>
      </c>
      <c r="B39" s="192" t="n">
        <f aca="false">IF(B!C210=TRUE(),14,0)</f>
        <v>0</v>
      </c>
      <c r="C39" s="192" t="n">
        <f aca="false">C!$C61</f>
        <v>0</v>
      </c>
      <c r="D39" s="192" t="n">
        <f aca="false">D!$C61</f>
        <v>0</v>
      </c>
      <c r="E39" s="192" t="n">
        <f aca="false">E!$C61</f>
        <v>10</v>
      </c>
      <c r="F39" s="192" t="n">
        <f aca="false">F!$C61</f>
        <v>10</v>
      </c>
      <c r="G39" s="192" t="n">
        <f aca="false">G!$C61</f>
        <v>0</v>
      </c>
      <c r="H39" s="192" t="n">
        <f aca="false">H!$C61</f>
        <v>0</v>
      </c>
      <c r="I39" s="192" t="n">
        <f aca="false">I!$C61</f>
        <v>0</v>
      </c>
      <c r="J39" s="192" t="n">
        <f aca="false">J!$C61</f>
        <v>0</v>
      </c>
      <c r="K39" s="192" t="n">
        <f aca="false">K!$C61</f>
        <v>0</v>
      </c>
      <c r="L39" s="192" t="n">
        <f aca="false">L!$C61</f>
        <v>0</v>
      </c>
      <c r="M39" s="192" t="n">
        <f aca="false">M!$C61</f>
        <v>0</v>
      </c>
      <c r="N39" s="192" t="n">
        <f aca="false">N!$C61</f>
        <v>0</v>
      </c>
      <c r="O39" s="192" t="n">
        <f aca="false">O!$C61</f>
        <v>0</v>
      </c>
      <c r="P39" s="192" t="n">
        <f aca="false">P!$C61</f>
        <v>0</v>
      </c>
      <c r="Q39" s="192" t="n">
        <f aca="false">Q!$C61</f>
        <v>0</v>
      </c>
      <c r="R39" s="192" t="n">
        <f aca="false">R!$C61</f>
        <v>0</v>
      </c>
      <c r="S39" s="192" t="n">
        <f aca="false">S!$C61</f>
        <v>0</v>
      </c>
      <c r="T39" s="192" t="n">
        <f aca="false">T!$C61</f>
        <v>0</v>
      </c>
      <c r="U39" s="192" t="n">
        <f aca="false">U!$C61</f>
        <v>0</v>
      </c>
      <c r="V39" s="192" t="n">
        <f aca="false">V!$C61</f>
        <v>0</v>
      </c>
      <c r="W39" s="192" t="n">
        <f aca="false">W!$C61</f>
        <v>0</v>
      </c>
      <c r="X39" s="192" t="n">
        <f aca="false">X!$C61</f>
        <v>0</v>
      </c>
      <c r="Y39" s="193" t="n">
        <f aca="false">SUM(B39:X39)</f>
        <v>20</v>
      </c>
      <c r="Z39" s="193" t="n">
        <f aca="false">IF(B!B210="",0,B!$C$11+B!$C$8*B!C212)</f>
        <v>240</v>
      </c>
      <c r="AA39" s="193" t="n">
        <f aca="false">Y39-Z39</f>
        <v>-220</v>
      </c>
    </row>
    <row r="40" customFormat="false" ht="15" hidden="false" customHeight="false" outlineLevel="0" collapsed="false">
      <c r="A40" s="195" t="s">
        <v>320</v>
      </c>
      <c r="B40" s="196" t="n">
        <f aca="false">SUM(B35:B39)</f>
        <v>0</v>
      </c>
      <c r="C40" s="196" t="n">
        <f aca="false">SUM(C35:C39)</f>
        <v>20</v>
      </c>
      <c r="D40" s="196" t="n">
        <f aca="false">SUM(D35:D39)</f>
        <v>20</v>
      </c>
      <c r="E40" s="196" t="n">
        <f aca="false">SUM(E35:E39)</f>
        <v>40</v>
      </c>
      <c r="F40" s="196" t="n">
        <f aca="false">SUM(F35:F39)</f>
        <v>30</v>
      </c>
      <c r="G40" s="196" t="n">
        <f aca="false">SUM(G35:G39)</f>
        <v>30</v>
      </c>
      <c r="H40" s="196" t="n">
        <f aca="false">SUM(H35:H39)</f>
        <v>20</v>
      </c>
      <c r="I40" s="196" t="n">
        <f aca="false">SUM(I35:I39)</f>
        <v>0</v>
      </c>
      <c r="J40" s="196" t="n">
        <f aca="false">SUM(J35:J39)</f>
        <v>0</v>
      </c>
      <c r="K40" s="196" t="n">
        <f aca="false">SUM(K35:K39)</f>
        <v>0</v>
      </c>
      <c r="L40" s="196" t="n">
        <f aca="false">SUM(L35:L39)</f>
        <v>0</v>
      </c>
      <c r="M40" s="196" t="n">
        <f aca="false">SUM(M35:M39)</f>
        <v>0</v>
      </c>
      <c r="N40" s="196" t="n">
        <f aca="false">SUM(N35:N39)</f>
        <v>0</v>
      </c>
      <c r="O40" s="196" t="n">
        <f aca="false">SUM(O35:O39)</f>
        <v>0</v>
      </c>
      <c r="P40" s="196" t="n">
        <f aca="false">SUM(P35:P39)</f>
        <v>0</v>
      </c>
      <c r="Q40" s="196" t="n">
        <f aca="false">SUM(Q35:Q39)</f>
        <v>0</v>
      </c>
      <c r="R40" s="196" t="n">
        <f aca="false">SUM(R35:R39)</f>
        <v>0</v>
      </c>
      <c r="S40" s="196" t="n">
        <f aca="false">SUM(S35:S39)</f>
        <v>0</v>
      </c>
      <c r="T40" s="196" t="n">
        <f aca="false">SUM(T35:T39)</f>
        <v>0</v>
      </c>
      <c r="U40" s="196" t="n">
        <f aca="false">SUM(U35:U39)</f>
        <v>0</v>
      </c>
      <c r="V40" s="196" t="n">
        <f aca="false">SUM(V35:V39)</f>
        <v>0</v>
      </c>
      <c r="W40" s="196" t="n">
        <f aca="false">SUM(W35:W39)</f>
        <v>0</v>
      </c>
      <c r="X40" s="197" t="n">
        <f aca="false">SUM(X35:X39)</f>
        <v>0</v>
      </c>
      <c r="Y40" s="198" t="n">
        <f aca="false">SUM(Y35:Y39)</f>
        <v>160</v>
      </c>
      <c r="Z40" s="198" t="n">
        <f aca="false">SUM(Z35:Z39)</f>
        <v>1200</v>
      </c>
      <c r="AA40" s="198" t="n">
        <f aca="false">SUM(AA35:AA39)</f>
        <v>-1040</v>
      </c>
    </row>
    <row r="41" customFormat="false" ht="17.35" hidden="false" customHeight="false" outlineLevel="0" collapsed="false">
      <c r="A41" s="199"/>
      <c r="B41" s="199"/>
      <c r="Y41" s="186" t="s">
        <v>31</v>
      </c>
      <c r="Z41" s="186" t="s">
        <v>31</v>
      </c>
      <c r="AA41" s="186" t="s">
        <v>31</v>
      </c>
    </row>
    <row r="42" customFormat="false" ht="17.35" hidden="false" customHeight="false" outlineLevel="0" collapsed="false">
      <c r="A42" s="187" t="str">
        <f aca="false">C!A69</f>
        <v>FFFFF&lt;sup&gt;10&lt;/sup&gt;</v>
      </c>
      <c r="B42" s="187" t="s">
        <v>295</v>
      </c>
      <c r="C42" s="188" t="s">
        <v>296</v>
      </c>
      <c r="D42" s="188" t="s">
        <v>297</v>
      </c>
      <c r="E42" s="188" t="s">
        <v>298</v>
      </c>
      <c r="F42" s="188" t="s">
        <v>299</v>
      </c>
      <c r="G42" s="188" t="s">
        <v>300</v>
      </c>
      <c r="H42" s="188" t="s">
        <v>301</v>
      </c>
      <c r="I42" s="188" t="s">
        <v>302</v>
      </c>
      <c r="J42" s="188" t="s">
        <v>303</v>
      </c>
      <c r="K42" s="188" t="s">
        <v>304</v>
      </c>
      <c r="L42" s="188" t="s">
        <v>305</v>
      </c>
      <c r="M42" s="188" t="s">
        <v>306</v>
      </c>
      <c r="N42" s="188" t="s">
        <v>307</v>
      </c>
      <c r="O42" s="188" t="s">
        <v>308</v>
      </c>
      <c r="P42" s="188" t="s">
        <v>309</v>
      </c>
      <c r="Q42" s="188" t="s">
        <v>310</v>
      </c>
      <c r="R42" s="188" t="s">
        <v>311</v>
      </c>
      <c r="S42" s="188" t="s">
        <v>312</v>
      </c>
      <c r="T42" s="188" t="s">
        <v>313</v>
      </c>
      <c r="U42" s="188" t="s">
        <v>314</v>
      </c>
      <c r="V42" s="188" t="s">
        <v>315</v>
      </c>
      <c r="W42" s="188" t="s">
        <v>316</v>
      </c>
      <c r="X42" s="189" t="s">
        <v>317</v>
      </c>
      <c r="Y42" s="190" t="s">
        <v>209</v>
      </c>
      <c r="Z42" s="190" t="s">
        <v>318</v>
      </c>
      <c r="AA42" s="190" t="s">
        <v>319</v>
      </c>
    </row>
    <row r="43" customFormat="false" ht="15" hidden="false" customHeight="false" outlineLevel="0" collapsed="false">
      <c r="A43" s="191" t="str">
        <f aca="false">C!A70</f>
        <v>RICHARD</v>
      </c>
      <c r="B43" s="192" t="n">
        <f aca="false">IF(B!C233=TRUE(),14,0)</f>
        <v>0</v>
      </c>
      <c r="C43" s="192" t="n">
        <f aca="false">C!$C70</f>
        <v>5</v>
      </c>
      <c r="D43" s="192" t="n">
        <f aca="false">D!$C70</f>
        <v>5</v>
      </c>
      <c r="E43" s="192" t="n">
        <f aca="false">E!$C70</f>
        <v>5</v>
      </c>
      <c r="F43" s="192" t="n">
        <f aca="false">F!$C70</f>
        <v>5</v>
      </c>
      <c r="G43" s="192" t="n">
        <f aca="false">G!$C70</f>
        <v>5</v>
      </c>
      <c r="H43" s="192" t="n">
        <f aca="false">H!$C70</f>
        <v>5</v>
      </c>
      <c r="I43" s="192" t="n">
        <f aca="false">I!$C70</f>
        <v>0</v>
      </c>
      <c r="J43" s="192" t="n">
        <f aca="false">J!$C70</f>
        <v>0</v>
      </c>
      <c r="K43" s="192" t="n">
        <f aca="false">K!$C70</f>
        <v>0</v>
      </c>
      <c r="L43" s="192" t="n">
        <f aca="false">L!$C70</f>
        <v>0</v>
      </c>
      <c r="M43" s="192" t="n">
        <f aca="false">M!$C70</f>
        <v>0</v>
      </c>
      <c r="N43" s="192" t="n">
        <f aca="false">N!$C70</f>
        <v>0</v>
      </c>
      <c r="O43" s="192" t="n">
        <f aca="false">O!$C70</f>
        <v>0</v>
      </c>
      <c r="P43" s="192" t="n">
        <f aca="false">P!$C70</f>
        <v>0</v>
      </c>
      <c r="Q43" s="192" t="n">
        <f aca="false">Q!$C70</f>
        <v>0</v>
      </c>
      <c r="R43" s="192" t="n">
        <f aca="false">R!$C70</f>
        <v>0</v>
      </c>
      <c r="S43" s="192" t="n">
        <f aca="false">S!$C70</f>
        <v>0</v>
      </c>
      <c r="T43" s="192" t="n">
        <f aca="false">T!$C70</f>
        <v>0</v>
      </c>
      <c r="U43" s="192" t="n">
        <f aca="false">U!$C70</f>
        <v>0</v>
      </c>
      <c r="V43" s="192" t="n">
        <f aca="false">V!$C70</f>
        <v>0</v>
      </c>
      <c r="W43" s="192" t="n">
        <f aca="false">W!$C70</f>
        <v>0</v>
      </c>
      <c r="X43" s="192" t="n">
        <f aca="false">X!$C70</f>
        <v>0</v>
      </c>
      <c r="Y43" s="193" t="n">
        <f aca="false">SUM(B43:X43)</f>
        <v>30</v>
      </c>
      <c r="Z43" s="193" t="n">
        <f aca="false">IF(B!B233="",0,B!$C$11+B!$C$8*B!C235)</f>
        <v>240</v>
      </c>
      <c r="AA43" s="193" t="n">
        <f aca="false">Y43-Z43</f>
        <v>-210</v>
      </c>
    </row>
    <row r="44" customFormat="false" ht="15" hidden="false" customHeight="false" outlineLevel="0" collapsed="false">
      <c r="A44" s="191" t="str">
        <f aca="false">C!A71</f>
        <v>JUSTIN</v>
      </c>
      <c r="B44" s="192" t="n">
        <f aca="false">IF(B!C238=TRUE(),14,0)</f>
        <v>0</v>
      </c>
      <c r="C44" s="192" t="n">
        <f aca="false">C!$C71</f>
        <v>0</v>
      </c>
      <c r="D44" s="192" t="n">
        <f aca="false">D!$C71</f>
        <v>5</v>
      </c>
      <c r="E44" s="192" t="n">
        <f aca="false">E!$C71</f>
        <v>0</v>
      </c>
      <c r="F44" s="192" t="n">
        <f aca="false">F!$C71</f>
        <v>0</v>
      </c>
      <c r="G44" s="192" t="n">
        <f aca="false">G!$C71</f>
        <v>5</v>
      </c>
      <c r="H44" s="192" t="n">
        <f aca="false">H!$C71</f>
        <v>0</v>
      </c>
      <c r="I44" s="192" t="n">
        <f aca="false">I!$C71</f>
        <v>0</v>
      </c>
      <c r="J44" s="192" t="n">
        <f aca="false">J!$C71</f>
        <v>0</v>
      </c>
      <c r="K44" s="192" t="n">
        <f aca="false">K!$C71</f>
        <v>0</v>
      </c>
      <c r="L44" s="192" t="n">
        <f aca="false">L!$C71</f>
        <v>0</v>
      </c>
      <c r="M44" s="192" t="n">
        <f aca="false">M!$C71</f>
        <v>0</v>
      </c>
      <c r="N44" s="192" t="n">
        <f aca="false">N!$C71</f>
        <v>0</v>
      </c>
      <c r="O44" s="192" t="n">
        <f aca="false">O!$C71</f>
        <v>0</v>
      </c>
      <c r="P44" s="192" t="n">
        <f aca="false">P!$C71</f>
        <v>0</v>
      </c>
      <c r="Q44" s="192" t="n">
        <f aca="false">Q!$C71</f>
        <v>0</v>
      </c>
      <c r="R44" s="192" t="n">
        <f aca="false">R!$C71</f>
        <v>0</v>
      </c>
      <c r="S44" s="192" t="n">
        <f aca="false">S!$C71</f>
        <v>0</v>
      </c>
      <c r="T44" s="192" t="n">
        <f aca="false">T!$C71</f>
        <v>0</v>
      </c>
      <c r="U44" s="192" t="n">
        <f aca="false">U!$C71</f>
        <v>0</v>
      </c>
      <c r="V44" s="192" t="n">
        <f aca="false">V!$C71</f>
        <v>0</v>
      </c>
      <c r="W44" s="192" t="n">
        <f aca="false">W!$C71</f>
        <v>0</v>
      </c>
      <c r="X44" s="192" t="n">
        <f aca="false">X!$C71</f>
        <v>0</v>
      </c>
      <c r="Y44" s="193" t="n">
        <f aca="false">SUM(B44:X44)</f>
        <v>10</v>
      </c>
      <c r="Z44" s="193" t="n">
        <f aca="false">IF(B!B238="",0,B!$C$11+B!$C$8*B!C240)</f>
        <v>240</v>
      </c>
      <c r="AA44" s="193" t="n">
        <f aca="false">Y44-Z44</f>
        <v>-230</v>
      </c>
    </row>
    <row r="45" customFormat="false" ht="15" hidden="false" customHeight="false" outlineLevel="0" collapsed="false">
      <c r="A45" s="191" t="str">
        <f aca="false">C!A72</f>
        <v>SANDY</v>
      </c>
      <c r="B45" s="192" t="n">
        <f aca="false">IF(B!C243=TRUE(),14,0)</f>
        <v>0</v>
      </c>
      <c r="C45" s="192" t="n">
        <f aca="false">C!$C72</f>
        <v>10</v>
      </c>
      <c r="D45" s="192" t="n">
        <f aca="false">D!$C72</f>
        <v>10</v>
      </c>
      <c r="E45" s="192" t="n">
        <f aca="false">E!$C72</f>
        <v>0</v>
      </c>
      <c r="F45" s="192" t="n">
        <f aca="false">F!$C72</f>
        <v>0</v>
      </c>
      <c r="G45" s="192" t="n">
        <f aca="false">G!$C72</f>
        <v>15</v>
      </c>
      <c r="H45" s="192" t="n">
        <f aca="false">H!$C72</f>
        <v>0</v>
      </c>
      <c r="I45" s="192" t="n">
        <f aca="false">I!$C72</f>
        <v>0</v>
      </c>
      <c r="J45" s="192" t="n">
        <f aca="false">J!$C72</f>
        <v>0</v>
      </c>
      <c r="K45" s="192" t="n">
        <f aca="false">K!$C72</f>
        <v>0</v>
      </c>
      <c r="L45" s="192" t="n">
        <f aca="false">L!$C72</f>
        <v>0</v>
      </c>
      <c r="M45" s="192" t="n">
        <f aca="false">M!$C72</f>
        <v>0</v>
      </c>
      <c r="N45" s="192" t="n">
        <f aca="false">N!$C72</f>
        <v>0</v>
      </c>
      <c r="O45" s="192" t="n">
        <f aca="false">O!$C72</f>
        <v>0</v>
      </c>
      <c r="P45" s="192" t="n">
        <f aca="false">P!$C72</f>
        <v>0</v>
      </c>
      <c r="Q45" s="192" t="n">
        <f aca="false">Q!$C72</f>
        <v>0</v>
      </c>
      <c r="R45" s="192" t="n">
        <f aca="false">R!$C72</f>
        <v>0</v>
      </c>
      <c r="S45" s="192" t="n">
        <f aca="false">S!$C72</f>
        <v>0</v>
      </c>
      <c r="T45" s="192" t="n">
        <f aca="false">T!$C72</f>
        <v>0</v>
      </c>
      <c r="U45" s="192" t="n">
        <f aca="false">U!$C72</f>
        <v>0</v>
      </c>
      <c r="V45" s="192" t="n">
        <f aca="false">V!$C72</f>
        <v>0</v>
      </c>
      <c r="W45" s="192" t="n">
        <f aca="false">W!$C72</f>
        <v>0</v>
      </c>
      <c r="X45" s="192" t="n">
        <f aca="false">X!$C72</f>
        <v>0</v>
      </c>
      <c r="Y45" s="193" t="n">
        <f aca="false">SUM(B45:X45)</f>
        <v>35</v>
      </c>
      <c r="Z45" s="193" t="n">
        <f aca="false">IF(B!B243="",0,B!$C$11+B!$C$8*B!C245)</f>
        <v>240</v>
      </c>
      <c r="AA45" s="193" t="n">
        <f aca="false">Y45-Z45</f>
        <v>-205</v>
      </c>
    </row>
    <row r="46" customFormat="false" ht="15" hidden="false" customHeight="false" outlineLevel="0" collapsed="false">
      <c r="A46" s="191" t="str">
        <f aca="false">C!A73</f>
        <v>DENNIS</v>
      </c>
      <c r="B46" s="192" t="n">
        <f aca="false">IF(B!C248=TRUE(),14,0)</f>
        <v>0</v>
      </c>
      <c r="C46" s="192" t="n">
        <f aca="false">C!$C73</f>
        <v>10</v>
      </c>
      <c r="D46" s="192" t="n">
        <f aca="false">D!$C73</f>
        <v>10</v>
      </c>
      <c r="E46" s="192" t="n">
        <f aca="false">E!$C73</f>
        <v>0</v>
      </c>
      <c r="F46" s="192" t="n">
        <f aca="false">F!$C73</f>
        <v>0</v>
      </c>
      <c r="G46" s="192" t="n">
        <f aca="false">G!$C73</f>
        <v>15</v>
      </c>
      <c r="H46" s="192" t="n">
        <f aca="false">H!$C73</f>
        <v>0</v>
      </c>
      <c r="I46" s="192" t="n">
        <f aca="false">I!$C73</f>
        <v>0</v>
      </c>
      <c r="J46" s="192" t="n">
        <f aca="false">J!$C73</f>
        <v>0</v>
      </c>
      <c r="K46" s="192" t="n">
        <f aca="false">K!$C73</f>
        <v>0</v>
      </c>
      <c r="L46" s="192" t="n">
        <f aca="false">L!$C73</f>
        <v>0</v>
      </c>
      <c r="M46" s="192" t="n">
        <f aca="false">M!$C73</f>
        <v>0</v>
      </c>
      <c r="N46" s="192" t="n">
        <f aca="false">N!$C73</f>
        <v>0</v>
      </c>
      <c r="O46" s="192" t="n">
        <f aca="false">O!$C73</f>
        <v>0</v>
      </c>
      <c r="P46" s="192" t="n">
        <f aca="false">P!$C73</f>
        <v>0</v>
      </c>
      <c r="Q46" s="192" t="n">
        <f aca="false">Q!$C73</f>
        <v>0</v>
      </c>
      <c r="R46" s="192" t="n">
        <f aca="false">R!$C73</f>
        <v>0</v>
      </c>
      <c r="S46" s="192" t="n">
        <f aca="false">S!$C73</f>
        <v>0</v>
      </c>
      <c r="T46" s="192" t="n">
        <f aca="false">T!$C73</f>
        <v>0</v>
      </c>
      <c r="U46" s="192" t="n">
        <f aca="false">U!$C73</f>
        <v>0</v>
      </c>
      <c r="V46" s="192" t="n">
        <f aca="false">V!$C73</f>
        <v>0</v>
      </c>
      <c r="W46" s="192" t="n">
        <f aca="false">W!$C73</f>
        <v>0</v>
      </c>
      <c r="X46" s="192" t="n">
        <f aca="false">X!$C73</f>
        <v>0</v>
      </c>
      <c r="Y46" s="193" t="n">
        <f aca="false">SUM(B46:X46)</f>
        <v>35</v>
      </c>
      <c r="Z46" s="193" t="n">
        <f aca="false">IF(B!B248="",0,B!$C$11+B!$C$8*B!C250)</f>
        <v>240</v>
      </c>
      <c r="AA46" s="193" t="n">
        <f aca="false">Y46-Z46</f>
        <v>-205</v>
      </c>
    </row>
    <row r="47" customFormat="false" ht="15" hidden="false" customHeight="false" outlineLevel="0" collapsed="false">
      <c r="A47" s="191" t="str">
        <f aca="false">C!A74</f>
        <v>VE</v>
      </c>
      <c r="B47" s="192" t="n">
        <f aca="false">IF(B!C253=TRUE(),14,0)</f>
        <v>0</v>
      </c>
      <c r="C47" s="192" t="n">
        <f aca="false">C!$C74</f>
        <v>0</v>
      </c>
      <c r="D47" s="192" t="n">
        <f aca="false">D!$C74</f>
        <v>0</v>
      </c>
      <c r="E47" s="192" t="n">
        <f aca="false">E!$C74</f>
        <v>0</v>
      </c>
      <c r="F47" s="192" t="n">
        <f aca="false">F!$C74</f>
        <v>0</v>
      </c>
      <c r="G47" s="192" t="n">
        <f aca="false">G!$C74</f>
        <v>5</v>
      </c>
      <c r="H47" s="192" t="n">
        <f aca="false">H!$C74</f>
        <v>0</v>
      </c>
      <c r="I47" s="192" t="n">
        <f aca="false">I!$C74</f>
        <v>0</v>
      </c>
      <c r="J47" s="192" t="n">
        <f aca="false">J!$C74</f>
        <v>0</v>
      </c>
      <c r="K47" s="192" t="n">
        <f aca="false">K!$C74</f>
        <v>0</v>
      </c>
      <c r="L47" s="192" t="n">
        <f aca="false">L!$C74</f>
        <v>0</v>
      </c>
      <c r="M47" s="192" t="n">
        <f aca="false">M!$C74</f>
        <v>0</v>
      </c>
      <c r="N47" s="192" t="n">
        <f aca="false">N!$C74</f>
        <v>0</v>
      </c>
      <c r="O47" s="192" t="n">
        <f aca="false">O!$C74</f>
        <v>0</v>
      </c>
      <c r="P47" s="192" t="n">
        <f aca="false">P!$C74</f>
        <v>0</v>
      </c>
      <c r="Q47" s="192" t="n">
        <f aca="false">Q!$C74</f>
        <v>0</v>
      </c>
      <c r="R47" s="192" t="n">
        <f aca="false">R!$C74</f>
        <v>0</v>
      </c>
      <c r="S47" s="192" t="n">
        <f aca="false">S!$C74</f>
        <v>0</v>
      </c>
      <c r="T47" s="192" t="n">
        <f aca="false">T!$C74</f>
        <v>0</v>
      </c>
      <c r="U47" s="192" t="n">
        <f aca="false">U!$C74</f>
        <v>0</v>
      </c>
      <c r="V47" s="192" t="n">
        <f aca="false">V!$C74</f>
        <v>0</v>
      </c>
      <c r="W47" s="192" t="n">
        <f aca="false">W!$C74</f>
        <v>0</v>
      </c>
      <c r="X47" s="192" t="n">
        <f aca="false">X!$C74</f>
        <v>0</v>
      </c>
      <c r="Y47" s="193" t="n">
        <f aca="false">SUM(B47:X47)</f>
        <v>5</v>
      </c>
      <c r="Z47" s="193" t="n">
        <f aca="false">IF(B!B253="",0,B!$C$11+B!$C$8*B!C255)</f>
        <v>240</v>
      </c>
      <c r="AA47" s="193" t="n">
        <f aca="false">Y47-Z47</f>
        <v>-235</v>
      </c>
    </row>
    <row r="48" customFormat="false" ht="15" hidden="false" customHeight="false" outlineLevel="0" collapsed="false">
      <c r="A48" s="195" t="s">
        <v>320</v>
      </c>
      <c r="B48" s="196" t="n">
        <f aca="false">SUM(B43:B47)</f>
        <v>0</v>
      </c>
      <c r="C48" s="196" t="n">
        <f aca="false">SUM(C43:C47)</f>
        <v>25</v>
      </c>
      <c r="D48" s="196" t="n">
        <f aca="false">SUM(D43:D47)</f>
        <v>30</v>
      </c>
      <c r="E48" s="196" t="n">
        <f aca="false">SUM(E43:E47)</f>
        <v>5</v>
      </c>
      <c r="F48" s="196" t="n">
        <f aca="false">SUM(F43:F47)</f>
        <v>5</v>
      </c>
      <c r="G48" s="196" t="n">
        <f aca="false">SUM(G43:G47)</f>
        <v>45</v>
      </c>
      <c r="H48" s="196" t="n">
        <f aca="false">SUM(H43:H47)</f>
        <v>5</v>
      </c>
      <c r="I48" s="196" t="n">
        <f aca="false">SUM(I43:I47)</f>
        <v>0</v>
      </c>
      <c r="J48" s="196" t="n">
        <f aca="false">SUM(J43:J47)</f>
        <v>0</v>
      </c>
      <c r="K48" s="196" t="n">
        <f aca="false">SUM(K43:K47)</f>
        <v>0</v>
      </c>
      <c r="L48" s="196" t="n">
        <f aca="false">SUM(L43:L47)</f>
        <v>0</v>
      </c>
      <c r="M48" s="196" t="n">
        <f aca="false">SUM(M43:M47)</f>
        <v>0</v>
      </c>
      <c r="N48" s="196" t="n">
        <f aca="false">SUM(N43:N47)</f>
        <v>0</v>
      </c>
      <c r="O48" s="196" t="n">
        <f aca="false">SUM(O43:O47)</f>
        <v>0</v>
      </c>
      <c r="P48" s="196" t="n">
        <f aca="false">SUM(P43:P47)</f>
        <v>0</v>
      </c>
      <c r="Q48" s="196" t="n">
        <f aca="false">SUM(Q43:Q47)</f>
        <v>0</v>
      </c>
      <c r="R48" s="196" t="n">
        <f aca="false">SUM(R43:R47)</f>
        <v>0</v>
      </c>
      <c r="S48" s="196" t="n">
        <f aca="false">SUM(S43:S47)</f>
        <v>0</v>
      </c>
      <c r="T48" s="196" t="n">
        <f aca="false">SUM(T43:T47)</f>
        <v>0</v>
      </c>
      <c r="U48" s="196" t="n">
        <f aca="false">SUM(U43:U47)</f>
        <v>0</v>
      </c>
      <c r="V48" s="196" t="n">
        <f aca="false">SUM(V43:V47)</f>
        <v>0</v>
      </c>
      <c r="W48" s="196" t="n">
        <f aca="false">SUM(W43:W47)</f>
        <v>0</v>
      </c>
      <c r="X48" s="197" t="n">
        <f aca="false">SUM(X43:X47)</f>
        <v>0</v>
      </c>
      <c r="Y48" s="198" t="n">
        <f aca="false">SUM(Y43:Y47)</f>
        <v>115</v>
      </c>
      <c r="Z48" s="198" t="n">
        <f aca="false">SUM(Z43:Z47)</f>
        <v>1200</v>
      </c>
      <c r="AA48" s="198" t="n">
        <f aca="false">SUM(AA43:AA47)</f>
        <v>-1085</v>
      </c>
    </row>
    <row r="49" customFormat="false" ht="17.35" hidden="false" customHeight="false" outlineLevel="0" collapsed="false">
      <c r="A49" s="199"/>
      <c r="B49" s="199"/>
      <c r="Y49" s="186" t="s">
        <v>31</v>
      </c>
      <c r="Z49" s="186" t="s">
        <v>31</v>
      </c>
      <c r="AA49" s="186" t="s">
        <v>31</v>
      </c>
    </row>
    <row r="50" customFormat="false" ht="17.35" hidden="false" customHeight="false" outlineLevel="0" collapsed="false">
      <c r="A50" s="187" t="str">
        <f aca="false">C!A82</f>
        <v>YOUNG BLOODS</v>
      </c>
      <c r="B50" s="187" t="s">
        <v>295</v>
      </c>
      <c r="C50" s="188" t="s">
        <v>296</v>
      </c>
      <c r="D50" s="188" t="s">
        <v>297</v>
      </c>
      <c r="E50" s="188" t="s">
        <v>298</v>
      </c>
      <c r="F50" s="188" t="s">
        <v>299</v>
      </c>
      <c r="G50" s="188" t="s">
        <v>300</v>
      </c>
      <c r="H50" s="188" t="s">
        <v>301</v>
      </c>
      <c r="I50" s="188" t="s">
        <v>302</v>
      </c>
      <c r="J50" s="188" t="s">
        <v>303</v>
      </c>
      <c r="K50" s="188" t="s">
        <v>304</v>
      </c>
      <c r="L50" s="188" t="s">
        <v>305</v>
      </c>
      <c r="M50" s="188" t="s">
        <v>306</v>
      </c>
      <c r="N50" s="188" t="s">
        <v>307</v>
      </c>
      <c r="O50" s="188" t="s">
        <v>308</v>
      </c>
      <c r="P50" s="188" t="s">
        <v>309</v>
      </c>
      <c r="Q50" s="188" t="s">
        <v>310</v>
      </c>
      <c r="R50" s="188" t="s">
        <v>311</v>
      </c>
      <c r="S50" s="188" t="s">
        <v>312</v>
      </c>
      <c r="T50" s="188" t="s">
        <v>313</v>
      </c>
      <c r="U50" s="188" t="s">
        <v>314</v>
      </c>
      <c r="V50" s="188" t="s">
        <v>315</v>
      </c>
      <c r="W50" s="188" t="s">
        <v>316</v>
      </c>
      <c r="X50" s="189" t="s">
        <v>317</v>
      </c>
      <c r="Y50" s="190" t="s">
        <v>209</v>
      </c>
      <c r="Z50" s="190" t="s">
        <v>318</v>
      </c>
      <c r="AA50" s="190" t="s">
        <v>319</v>
      </c>
    </row>
    <row r="51" customFormat="false" ht="15" hidden="false" customHeight="false" outlineLevel="0" collapsed="false">
      <c r="A51" s="191" t="str">
        <f aca="false">C!A83</f>
        <v>GARY</v>
      </c>
      <c r="B51" s="192" t="n">
        <f aca="false">IF(B!C276=TRUE(),14,0)</f>
        <v>0</v>
      </c>
      <c r="C51" s="192" t="n">
        <f aca="false">C!$C83</f>
        <v>0</v>
      </c>
      <c r="D51" s="192" t="n">
        <f aca="false">D!$C83</f>
        <v>40</v>
      </c>
      <c r="E51" s="192" t="n">
        <f aca="false">E!$C83</f>
        <v>5</v>
      </c>
      <c r="F51" s="192" t="n">
        <f aca="false">F!$C83</f>
        <v>5</v>
      </c>
      <c r="G51" s="192" t="n">
        <f aca="false">G!$C83</f>
        <v>5</v>
      </c>
      <c r="H51" s="192" t="n">
        <f aca="false">H!$C83</f>
        <v>0</v>
      </c>
      <c r="I51" s="192" t="n">
        <f aca="false">I!$C83</f>
        <v>0</v>
      </c>
      <c r="J51" s="192" t="n">
        <f aca="false">J!$C83</f>
        <v>0</v>
      </c>
      <c r="K51" s="192" t="n">
        <f aca="false">K!$C83</f>
        <v>0</v>
      </c>
      <c r="L51" s="192" t="n">
        <f aca="false">L!$C83</f>
        <v>0</v>
      </c>
      <c r="M51" s="192" t="n">
        <f aca="false">M!$C83</f>
        <v>0</v>
      </c>
      <c r="N51" s="192" t="n">
        <f aca="false">N!$C83</f>
        <v>0</v>
      </c>
      <c r="O51" s="192" t="n">
        <f aca="false">O!$C83</f>
        <v>0</v>
      </c>
      <c r="P51" s="192" t="n">
        <f aca="false">P!$C83</f>
        <v>0</v>
      </c>
      <c r="Q51" s="192" t="n">
        <f aca="false">Q!$C83</f>
        <v>0</v>
      </c>
      <c r="R51" s="192" t="n">
        <f aca="false">R!$C83</f>
        <v>0</v>
      </c>
      <c r="S51" s="192" t="n">
        <f aca="false">S!$C83</f>
        <v>0</v>
      </c>
      <c r="T51" s="192" t="n">
        <f aca="false">T!$C83</f>
        <v>0</v>
      </c>
      <c r="U51" s="192" t="n">
        <f aca="false">U!$C83</f>
        <v>0</v>
      </c>
      <c r="V51" s="192" t="n">
        <f aca="false">V!$C83</f>
        <v>0</v>
      </c>
      <c r="W51" s="192" t="n">
        <f aca="false">W!$C83</f>
        <v>0</v>
      </c>
      <c r="X51" s="192" t="n">
        <f aca="false">X!$C83</f>
        <v>0</v>
      </c>
      <c r="Y51" s="193" t="n">
        <f aca="false">SUM(B51:X51)</f>
        <v>55</v>
      </c>
      <c r="Z51" s="193" t="n">
        <f aca="false">IF(B!B276="",0,B!$C$11+B!$C$8*B!C278)</f>
        <v>240</v>
      </c>
      <c r="AA51" s="193" t="n">
        <f aca="false">Y51-Z51</f>
        <v>-185</v>
      </c>
    </row>
    <row r="52" customFormat="false" ht="15" hidden="false" customHeight="false" outlineLevel="0" collapsed="false">
      <c r="A52" s="191" t="str">
        <f aca="false">C!A84</f>
        <v>RICH</v>
      </c>
      <c r="B52" s="192" t="n">
        <f aca="false">IF(B!C281=TRUE(),14,0)</f>
        <v>0</v>
      </c>
      <c r="C52" s="192" t="n">
        <f aca="false">C!$C84</f>
        <v>0</v>
      </c>
      <c r="D52" s="192" t="n">
        <f aca="false">D!$C84</f>
        <v>30</v>
      </c>
      <c r="E52" s="192" t="n">
        <f aca="false">E!$C84</f>
        <v>5</v>
      </c>
      <c r="F52" s="192" t="n">
        <f aca="false">F!$C84</f>
        <v>5</v>
      </c>
      <c r="G52" s="192" t="n">
        <f aca="false">G!$C84</f>
        <v>5</v>
      </c>
      <c r="H52" s="192" t="n">
        <f aca="false">H!$C84</f>
        <v>0</v>
      </c>
      <c r="I52" s="192" t="n">
        <f aca="false">I!$C84</f>
        <v>0</v>
      </c>
      <c r="J52" s="192" t="n">
        <f aca="false">J!$C84</f>
        <v>0</v>
      </c>
      <c r="K52" s="192" t="n">
        <f aca="false">K!$C84</f>
        <v>0</v>
      </c>
      <c r="L52" s="192" t="n">
        <f aca="false">L!$C84</f>
        <v>0</v>
      </c>
      <c r="M52" s="192" t="n">
        <f aca="false">M!$C84</f>
        <v>0</v>
      </c>
      <c r="N52" s="192" t="n">
        <f aca="false">N!$C84</f>
        <v>0</v>
      </c>
      <c r="O52" s="192" t="n">
        <f aca="false">O!$C84</f>
        <v>0</v>
      </c>
      <c r="P52" s="192" t="n">
        <f aca="false">P!$C84</f>
        <v>0</v>
      </c>
      <c r="Q52" s="192" t="n">
        <f aca="false">Q!$C84</f>
        <v>0</v>
      </c>
      <c r="R52" s="192" t="n">
        <f aca="false">R!$C84</f>
        <v>0</v>
      </c>
      <c r="S52" s="192" t="n">
        <f aca="false">S!$C84</f>
        <v>0</v>
      </c>
      <c r="T52" s="192" t="n">
        <f aca="false">T!$C84</f>
        <v>0</v>
      </c>
      <c r="U52" s="192" t="n">
        <f aca="false">U!$C84</f>
        <v>0</v>
      </c>
      <c r="V52" s="192" t="n">
        <f aca="false">V!$C84</f>
        <v>0</v>
      </c>
      <c r="W52" s="192" t="n">
        <f aca="false">W!$C84</f>
        <v>0</v>
      </c>
      <c r="X52" s="192" t="n">
        <f aca="false">X!$C84</f>
        <v>0</v>
      </c>
      <c r="Y52" s="193" t="n">
        <f aca="false">SUM(B52:X52)</f>
        <v>45</v>
      </c>
      <c r="Z52" s="193" t="n">
        <f aca="false">IF(B!B281="",0,B!$C$11+B!$C$8*B!C283)</f>
        <v>240</v>
      </c>
      <c r="AA52" s="193" t="n">
        <f aca="false">Y52-Z52</f>
        <v>-195</v>
      </c>
    </row>
    <row r="53" customFormat="false" ht="15" hidden="false" customHeight="false" outlineLevel="0" collapsed="false">
      <c r="A53" s="191" t="str">
        <f aca="false">C!A85</f>
        <v>VIC</v>
      </c>
      <c r="B53" s="192" t="n">
        <f aca="false">IF(B!C286=TRUE(),14,0)</f>
        <v>0</v>
      </c>
      <c r="C53" s="192" t="n">
        <f aca="false">C!$C85</f>
        <v>0</v>
      </c>
      <c r="D53" s="192" t="n">
        <f aca="false">D!$C85</f>
        <v>0</v>
      </c>
      <c r="E53" s="192" t="n">
        <f aca="false">E!$C85</f>
        <v>5</v>
      </c>
      <c r="F53" s="192" t="n">
        <f aca="false">F!$C85</f>
        <v>5</v>
      </c>
      <c r="G53" s="192" t="n">
        <f aca="false">G!$C85</f>
        <v>5</v>
      </c>
      <c r="H53" s="192" t="n">
        <f aca="false">H!$C85</f>
        <v>0</v>
      </c>
      <c r="I53" s="192" t="n">
        <f aca="false">I!$C85</f>
        <v>0</v>
      </c>
      <c r="J53" s="192" t="n">
        <f aca="false">J!$C85</f>
        <v>0</v>
      </c>
      <c r="K53" s="192" t="n">
        <f aca="false">K!$C85</f>
        <v>0</v>
      </c>
      <c r="L53" s="192" t="n">
        <f aca="false">L!$C85</f>
        <v>0</v>
      </c>
      <c r="M53" s="192" t="n">
        <f aca="false">M!$C85</f>
        <v>0</v>
      </c>
      <c r="N53" s="192" t="n">
        <f aca="false">N!$C85</f>
        <v>0</v>
      </c>
      <c r="O53" s="192" t="n">
        <f aca="false">O!$C85</f>
        <v>0</v>
      </c>
      <c r="P53" s="192" t="n">
        <f aca="false">P!$C85</f>
        <v>0</v>
      </c>
      <c r="Q53" s="192" t="n">
        <f aca="false">Q!$C85</f>
        <v>0</v>
      </c>
      <c r="R53" s="192" t="n">
        <f aca="false">R!$C85</f>
        <v>0</v>
      </c>
      <c r="S53" s="192" t="n">
        <f aca="false">S!$C85</f>
        <v>0</v>
      </c>
      <c r="T53" s="192" t="n">
        <f aca="false">T!$C85</f>
        <v>0</v>
      </c>
      <c r="U53" s="192" t="n">
        <f aca="false">U!$C85</f>
        <v>0</v>
      </c>
      <c r="V53" s="192" t="n">
        <f aca="false">V!$C85</f>
        <v>0</v>
      </c>
      <c r="W53" s="192" t="n">
        <f aca="false">W!$C85</f>
        <v>0</v>
      </c>
      <c r="X53" s="192" t="n">
        <f aca="false">X!$C85</f>
        <v>0</v>
      </c>
      <c r="Y53" s="193" t="n">
        <f aca="false">SUM(B53:X53)</f>
        <v>15</v>
      </c>
      <c r="Z53" s="193" t="n">
        <f aca="false">IF(B!B286="",0,B!$C$11+B!$C$8*B!C288)</f>
        <v>240</v>
      </c>
      <c r="AA53" s="193" t="n">
        <f aca="false">Y53-Z53</f>
        <v>-225</v>
      </c>
    </row>
    <row r="54" customFormat="false" ht="15" hidden="false" customHeight="false" outlineLevel="0" collapsed="false">
      <c r="A54" s="191" t="str">
        <f aca="false">C!A86</f>
        <v>JIM</v>
      </c>
      <c r="B54" s="192" t="n">
        <f aca="false">IF(B!C291=TRUE(),14,0)</f>
        <v>0</v>
      </c>
      <c r="C54" s="192" t="n">
        <f aca="false">C!$C86</f>
        <v>10</v>
      </c>
      <c r="D54" s="192" t="n">
        <f aca="false">D!$C86</f>
        <v>20</v>
      </c>
      <c r="E54" s="192" t="n">
        <f aca="false">E!$C86</f>
        <v>5</v>
      </c>
      <c r="F54" s="192" t="n">
        <f aca="false">F!$C86</f>
        <v>10</v>
      </c>
      <c r="G54" s="192" t="n">
        <f aca="false">G!$C86</f>
        <v>5</v>
      </c>
      <c r="H54" s="192" t="n">
        <f aca="false">H!$C86</f>
        <v>0</v>
      </c>
      <c r="I54" s="192" t="n">
        <f aca="false">I!$C86</f>
        <v>0</v>
      </c>
      <c r="J54" s="192" t="n">
        <f aca="false">J!$C86</f>
        <v>0</v>
      </c>
      <c r="K54" s="192" t="n">
        <f aca="false">K!$C86</f>
        <v>0</v>
      </c>
      <c r="L54" s="192" t="n">
        <f aca="false">L!$C86</f>
        <v>0</v>
      </c>
      <c r="M54" s="192" t="n">
        <f aca="false">M!$C86</f>
        <v>0</v>
      </c>
      <c r="N54" s="192" t="n">
        <f aca="false">N!$C86</f>
        <v>0</v>
      </c>
      <c r="O54" s="192" t="n">
        <f aca="false">O!$C86</f>
        <v>0</v>
      </c>
      <c r="P54" s="192" t="n">
        <f aca="false">P!$C86</f>
        <v>0</v>
      </c>
      <c r="Q54" s="192" t="n">
        <f aca="false">Q!$C86</f>
        <v>0</v>
      </c>
      <c r="R54" s="192" t="n">
        <f aca="false">R!$C86</f>
        <v>0</v>
      </c>
      <c r="S54" s="192" t="n">
        <f aca="false">S!$C86</f>
        <v>0</v>
      </c>
      <c r="T54" s="192" t="n">
        <f aca="false">T!$C86</f>
        <v>0</v>
      </c>
      <c r="U54" s="192" t="n">
        <f aca="false">U!$C86</f>
        <v>0</v>
      </c>
      <c r="V54" s="192" t="n">
        <f aca="false">V!$C86</f>
        <v>0</v>
      </c>
      <c r="W54" s="192" t="n">
        <f aca="false">W!$C86</f>
        <v>0</v>
      </c>
      <c r="X54" s="192" t="n">
        <f aca="false">X!$C86</f>
        <v>0</v>
      </c>
      <c r="Y54" s="193" t="n">
        <f aca="false">SUM(B54:X54)</f>
        <v>50</v>
      </c>
      <c r="Z54" s="193" t="n">
        <f aca="false">IF(B!B291="",0,B!$C$11+B!$C$8*B!C293)</f>
        <v>240</v>
      </c>
      <c r="AA54" s="193" t="n">
        <f aca="false">Y54-Z54</f>
        <v>-190</v>
      </c>
    </row>
    <row r="55" customFormat="false" ht="15" hidden="false" customHeight="false" outlineLevel="0" collapsed="false">
      <c r="A55" s="191" t="str">
        <f aca="false">C!A87</f>
        <v>PAM</v>
      </c>
      <c r="B55" s="192" t="n">
        <f aca="false">IF(B!C296=TRUE(),14,0)</f>
        <v>0</v>
      </c>
      <c r="C55" s="192" t="n">
        <f aca="false">C!$C87</f>
        <v>10</v>
      </c>
      <c r="D55" s="192" t="n">
        <f aca="false">D!$C87</f>
        <v>20</v>
      </c>
      <c r="E55" s="192" t="n">
        <f aca="false">E!$C87</f>
        <v>5</v>
      </c>
      <c r="F55" s="192" t="n">
        <f aca="false">F!$C87</f>
        <v>10</v>
      </c>
      <c r="G55" s="192" t="n">
        <f aca="false">G!$C87</f>
        <v>5</v>
      </c>
      <c r="H55" s="192" t="n">
        <f aca="false">H!$C87</f>
        <v>0</v>
      </c>
      <c r="I55" s="192" t="n">
        <f aca="false">I!$C87</f>
        <v>0</v>
      </c>
      <c r="J55" s="192" t="n">
        <f aca="false">J!$C87</f>
        <v>0</v>
      </c>
      <c r="K55" s="192" t="n">
        <f aca="false">K!$C87</f>
        <v>0</v>
      </c>
      <c r="L55" s="192" t="n">
        <f aca="false">L!$C87</f>
        <v>0</v>
      </c>
      <c r="M55" s="192" t="n">
        <f aca="false">M!$C87</f>
        <v>0</v>
      </c>
      <c r="N55" s="192" t="n">
        <f aca="false">N!$C87</f>
        <v>0</v>
      </c>
      <c r="O55" s="192" t="n">
        <f aca="false">O!$C87</f>
        <v>0</v>
      </c>
      <c r="P55" s="192" t="n">
        <f aca="false">P!$C87</f>
        <v>0</v>
      </c>
      <c r="Q55" s="192" t="n">
        <f aca="false">Q!$C87</f>
        <v>0</v>
      </c>
      <c r="R55" s="192" t="n">
        <f aca="false">R!$C87</f>
        <v>0</v>
      </c>
      <c r="S55" s="192" t="n">
        <f aca="false">S!$C87</f>
        <v>0</v>
      </c>
      <c r="T55" s="192" t="n">
        <f aca="false">T!$C87</f>
        <v>0</v>
      </c>
      <c r="U55" s="192" t="n">
        <f aca="false">U!$C87</f>
        <v>0</v>
      </c>
      <c r="V55" s="192" t="n">
        <f aca="false">V!$C87</f>
        <v>0</v>
      </c>
      <c r="W55" s="192" t="n">
        <f aca="false">W!$C87</f>
        <v>0</v>
      </c>
      <c r="X55" s="192" t="n">
        <f aca="false">X!$C87</f>
        <v>0</v>
      </c>
      <c r="Y55" s="193" t="n">
        <f aca="false">SUM(B55:X55)</f>
        <v>50</v>
      </c>
      <c r="Z55" s="193" t="n">
        <f aca="false">IF(B!B296="",0,B!$C$11+B!$C$8*B!C298)</f>
        <v>240</v>
      </c>
      <c r="AA55" s="193" t="n">
        <f aca="false">Y55-Z55</f>
        <v>-190</v>
      </c>
    </row>
    <row r="56" customFormat="false" ht="15" hidden="false" customHeight="false" outlineLevel="0" collapsed="false">
      <c r="A56" s="195" t="s">
        <v>320</v>
      </c>
      <c r="B56" s="196" t="n">
        <f aca="false">SUM(B51:B55)</f>
        <v>0</v>
      </c>
      <c r="C56" s="196" t="n">
        <f aca="false">SUM(C51:C55)</f>
        <v>20</v>
      </c>
      <c r="D56" s="196" t="n">
        <f aca="false">SUM(D51:D55)</f>
        <v>110</v>
      </c>
      <c r="E56" s="196" t="n">
        <f aca="false">SUM(E51:E55)</f>
        <v>25</v>
      </c>
      <c r="F56" s="196" t="n">
        <f aca="false">SUM(F51:F55)</f>
        <v>35</v>
      </c>
      <c r="G56" s="196" t="n">
        <f aca="false">SUM(G51:G55)</f>
        <v>25</v>
      </c>
      <c r="H56" s="196" t="n">
        <f aca="false">SUM(H51:H55)</f>
        <v>0</v>
      </c>
      <c r="I56" s="196" t="n">
        <f aca="false">SUM(I51:I55)</f>
        <v>0</v>
      </c>
      <c r="J56" s="196" t="n">
        <f aca="false">SUM(J51:J55)</f>
        <v>0</v>
      </c>
      <c r="K56" s="196" t="n">
        <f aca="false">SUM(K51:K55)</f>
        <v>0</v>
      </c>
      <c r="L56" s="196" t="n">
        <f aca="false">SUM(L51:L55)</f>
        <v>0</v>
      </c>
      <c r="M56" s="196" t="n">
        <f aca="false">SUM(M51:M55)</f>
        <v>0</v>
      </c>
      <c r="N56" s="196" t="n">
        <f aca="false">SUM(N51:N55)</f>
        <v>0</v>
      </c>
      <c r="O56" s="196" t="n">
        <f aca="false">SUM(O51:O55)</f>
        <v>0</v>
      </c>
      <c r="P56" s="196" t="n">
        <f aca="false">SUM(P51:P55)</f>
        <v>0</v>
      </c>
      <c r="Q56" s="196" t="n">
        <f aca="false">SUM(Q51:Q55)</f>
        <v>0</v>
      </c>
      <c r="R56" s="196" t="n">
        <f aca="false">SUM(R51:R55)</f>
        <v>0</v>
      </c>
      <c r="S56" s="196" t="n">
        <f aca="false">SUM(S51:S55)</f>
        <v>0</v>
      </c>
      <c r="T56" s="196" t="n">
        <f aca="false">SUM(T51:T55)</f>
        <v>0</v>
      </c>
      <c r="U56" s="196" t="n">
        <f aca="false">SUM(U51:U55)</f>
        <v>0</v>
      </c>
      <c r="V56" s="196" t="n">
        <f aca="false">SUM(V51:V55)</f>
        <v>0</v>
      </c>
      <c r="W56" s="196" t="n">
        <f aca="false">SUM(W51:W55)</f>
        <v>0</v>
      </c>
      <c r="X56" s="197" t="n">
        <f aca="false">SUM(X51:X55)</f>
        <v>0</v>
      </c>
      <c r="Y56" s="198" t="n">
        <f aca="false">SUM(Y51:Y55)</f>
        <v>215</v>
      </c>
      <c r="Z56" s="198" t="n">
        <f aca="false">SUM(Z51:Z55)</f>
        <v>1200</v>
      </c>
      <c r="AA56" s="198" t="n">
        <f aca="false">SUM(AA51:AA55)</f>
        <v>-985</v>
      </c>
    </row>
    <row r="57" customFormat="false" ht="17.35" hidden="false" customHeight="false" outlineLevel="0" collapsed="false">
      <c r="A57" s="199"/>
      <c r="B57" s="199"/>
      <c r="Y57" s="186" t="s">
        <v>31</v>
      </c>
      <c r="Z57" s="186" t="s">
        <v>31</v>
      </c>
      <c r="AA57" s="186" t="s">
        <v>31</v>
      </c>
    </row>
    <row r="58" customFormat="false" ht="17.35" hidden="false" customHeight="false" outlineLevel="0" collapsed="false">
      <c r="A58" s="187" t="str">
        <f aca="false">C!A95</f>
        <v>THE BOYS</v>
      </c>
      <c r="B58" s="187" t="s">
        <v>295</v>
      </c>
      <c r="C58" s="188" t="s">
        <v>296</v>
      </c>
      <c r="D58" s="188" t="s">
        <v>297</v>
      </c>
      <c r="E58" s="188" t="s">
        <v>298</v>
      </c>
      <c r="F58" s="188" t="s">
        <v>299</v>
      </c>
      <c r="G58" s="188" t="s">
        <v>300</v>
      </c>
      <c r="H58" s="188" t="s">
        <v>301</v>
      </c>
      <c r="I58" s="188" t="s">
        <v>302</v>
      </c>
      <c r="J58" s="188" t="s">
        <v>303</v>
      </c>
      <c r="K58" s="188" t="s">
        <v>304</v>
      </c>
      <c r="L58" s="188" t="s">
        <v>305</v>
      </c>
      <c r="M58" s="188" t="s">
        <v>306</v>
      </c>
      <c r="N58" s="188" t="s">
        <v>307</v>
      </c>
      <c r="O58" s="188" t="s">
        <v>308</v>
      </c>
      <c r="P58" s="188" t="s">
        <v>309</v>
      </c>
      <c r="Q58" s="188" t="s">
        <v>310</v>
      </c>
      <c r="R58" s="188" t="s">
        <v>311</v>
      </c>
      <c r="S58" s="188" t="s">
        <v>312</v>
      </c>
      <c r="T58" s="188" t="s">
        <v>313</v>
      </c>
      <c r="U58" s="188" t="s">
        <v>314</v>
      </c>
      <c r="V58" s="188" t="s">
        <v>315</v>
      </c>
      <c r="W58" s="188" t="s">
        <v>316</v>
      </c>
      <c r="X58" s="189" t="s">
        <v>317</v>
      </c>
      <c r="Y58" s="190" t="s">
        <v>209</v>
      </c>
      <c r="Z58" s="190" t="s">
        <v>318</v>
      </c>
      <c r="AA58" s="190" t="s">
        <v>319</v>
      </c>
    </row>
    <row r="59" customFormat="false" ht="15" hidden="false" customHeight="false" outlineLevel="0" collapsed="false">
      <c r="A59" s="191" t="str">
        <f aca="false">C!A96</f>
        <v>JOHN A</v>
      </c>
      <c r="B59" s="192" t="n">
        <f aca="false">IF(B!C319=TRUE(),14,0)</f>
        <v>0</v>
      </c>
      <c r="C59" s="192" t="n">
        <f aca="false">C!$C96</f>
        <v>20</v>
      </c>
      <c r="D59" s="192" t="n">
        <f aca="false">D!$C96</f>
        <v>0</v>
      </c>
      <c r="E59" s="192" t="n">
        <f aca="false">E!$C96</f>
        <v>0</v>
      </c>
      <c r="F59" s="192" t="n">
        <f aca="false">F!$C96</f>
        <v>0</v>
      </c>
      <c r="G59" s="192" t="n">
        <f aca="false">G!$C96</f>
        <v>0</v>
      </c>
      <c r="H59" s="192" t="n">
        <f aca="false">H!$C96</f>
        <v>0</v>
      </c>
      <c r="I59" s="192" t="n">
        <f aca="false">I!$C96</f>
        <v>0</v>
      </c>
      <c r="J59" s="192" t="n">
        <f aca="false">J!$C96</f>
        <v>0</v>
      </c>
      <c r="K59" s="192" t="n">
        <f aca="false">K!$C96</f>
        <v>0</v>
      </c>
      <c r="L59" s="192" t="n">
        <f aca="false">L!$C96</f>
        <v>0</v>
      </c>
      <c r="M59" s="192" t="n">
        <f aca="false">M!$C96</f>
        <v>0</v>
      </c>
      <c r="N59" s="192" t="n">
        <f aca="false">N!$C96</f>
        <v>0</v>
      </c>
      <c r="O59" s="192" t="n">
        <f aca="false">O!$C96</f>
        <v>0</v>
      </c>
      <c r="P59" s="192" t="n">
        <f aca="false">P!$C96</f>
        <v>0</v>
      </c>
      <c r="Q59" s="192" t="n">
        <f aca="false">Q!$C96</f>
        <v>0</v>
      </c>
      <c r="R59" s="192" t="n">
        <f aca="false">R!$C96</f>
        <v>0</v>
      </c>
      <c r="S59" s="192" t="n">
        <f aca="false">S!$C96</f>
        <v>0</v>
      </c>
      <c r="T59" s="192" t="n">
        <f aca="false">T!$C96</f>
        <v>0</v>
      </c>
      <c r="U59" s="192" t="n">
        <f aca="false">U!$C96</f>
        <v>0</v>
      </c>
      <c r="V59" s="192" t="n">
        <f aca="false">V!$C96</f>
        <v>0</v>
      </c>
      <c r="W59" s="192" t="n">
        <f aca="false">W!$C96</f>
        <v>0</v>
      </c>
      <c r="X59" s="192" t="n">
        <f aca="false">X!$C96</f>
        <v>0</v>
      </c>
      <c r="Y59" s="193" t="n">
        <f aca="false">SUM(B59:X59)</f>
        <v>20</v>
      </c>
      <c r="Z59" s="193" t="n">
        <f aca="false">IF(B!B319="",0,B!$C$11+B!$C$8*B!C321)</f>
        <v>240</v>
      </c>
      <c r="AA59" s="193" t="n">
        <f aca="false">Y59-Z59</f>
        <v>-220</v>
      </c>
    </row>
    <row r="60" customFormat="false" ht="15" hidden="false" customHeight="false" outlineLevel="0" collapsed="false">
      <c r="A60" s="191" t="str">
        <f aca="false">C!A97</f>
        <v>BOBBY</v>
      </c>
      <c r="B60" s="192" t="n">
        <f aca="false">IF(B!C324=TRUE(),14,0)</f>
        <v>0</v>
      </c>
      <c r="C60" s="192" t="n">
        <f aca="false">C!$C97</f>
        <v>0</v>
      </c>
      <c r="D60" s="192" t="n">
        <f aca="false">D!$C97</f>
        <v>0</v>
      </c>
      <c r="E60" s="192" t="n">
        <f aca="false">E!$C97</f>
        <v>0</v>
      </c>
      <c r="F60" s="192" t="n">
        <f aca="false">F!$C97</f>
        <v>0</v>
      </c>
      <c r="G60" s="192" t="n">
        <f aca="false">G!$C97</f>
        <v>0</v>
      </c>
      <c r="H60" s="192" t="n">
        <f aca="false">H!$C97</f>
        <v>0</v>
      </c>
      <c r="I60" s="192" t="n">
        <f aca="false">I!$C97</f>
        <v>0</v>
      </c>
      <c r="J60" s="192" t="n">
        <f aca="false">J!$C97</f>
        <v>0</v>
      </c>
      <c r="K60" s="192" t="n">
        <f aca="false">K!$C97</f>
        <v>0</v>
      </c>
      <c r="L60" s="192" t="n">
        <f aca="false">L!$C97</f>
        <v>0</v>
      </c>
      <c r="M60" s="192" t="n">
        <f aca="false">M!$C97</f>
        <v>0</v>
      </c>
      <c r="N60" s="192" t="n">
        <f aca="false">N!$C97</f>
        <v>0</v>
      </c>
      <c r="O60" s="192" t="n">
        <f aca="false">O!$C97</f>
        <v>0</v>
      </c>
      <c r="P60" s="192" t="n">
        <f aca="false">P!$C97</f>
        <v>0</v>
      </c>
      <c r="Q60" s="192" t="n">
        <f aca="false">Q!$C97</f>
        <v>0</v>
      </c>
      <c r="R60" s="192" t="n">
        <f aca="false">R!$C97</f>
        <v>0</v>
      </c>
      <c r="S60" s="192" t="n">
        <f aca="false">S!$C97</f>
        <v>0</v>
      </c>
      <c r="T60" s="192" t="n">
        <f aca="false">T!$C97</f>
        <v>0</v>
      </c>
      <c r="U60" s="192" t="n">
        <f aca="false">U!$C97</f>
        <v>0</v>
      </c>
      <c r="V60" s="192" t="n">
        <f aca="false">V!$C97</f>
        <v>0</v>
      </c>
      <c r="W60" s="192" t="n">
        <f aca="false">W!$C97</f>
        <v>0</v>
      </c>
      <c r="X60" s="192" t="n">
        <f aca="false">X!$C97</f>
        <v>0</v>
      </c>
      <c r="Y60" s="193" t="n">
        <f aca="false">SUM(B60:X60)</f>
        <v>0</v>
      </c>
      <c r="Z60" s="193" t="n">
        <f aca="false">IF(B!B324="",0,B!$C$11+B!$C$8*B!C326)</f>
        <v>240</v>
      </c>
      <c r="AA60" s="193" t="n">
        <f aca="false">Y60-Z60</f>
        <v>-240</v>
      </c>
    </row>
    <row r="61" customFormat="false" ht="15" hidden="false" customHeight="false" outlineLevel="0" collapsed="false">
      <c r="A61" s="191" t="str">
        <f aca="false">C!A98</f>
        <v>MIKE</v>
      </c>
      <c r="B61" s="192" t="n">
        <f aca="false">IF(B!C329=TRUE(),14,0)</f>
        <v>0</v>
      </c>
      <c r="C61" s="192" t="n">
        <f aca="false">C!$C98</f>
        <v>0</v>
      </c>
      <c r="D61" s="192" t="n">
        <f aca="false">D!$C98</f>
        <v>0</v>
      </c>
      <c r="E61" s="192" t="n">
        <f aca="false">E!$C98</f>
        <v>0</v>
      </c>
      <c r="F61" s="192" t="n">
        <f aca="false">F!$C98</f>
        <v>0</v>
      </c>
      <c r="G61" s="192" t="n">
        <f aca="false">G!$C98</f>
        <v>0</v>
      </c>
      <c r="H61" s="192" t="n">
        <f aca="false">H!$C98</f>
        <v>0</v>
      </c>
      <c r="I61" s="192" t="n">
        <f aca="false">I!$C98</f>
        <v>0</v>
      </c>
      <c r="J61" s="192" t="n">
        <f aca="false">J!$C98</f>
        <v>0</v>
      </c>
      <c r="K61" s="192" t="n">
        <f aca="false">K!$C98</f>
        <v>0</v>
      </c>
      <c r="L61" s="192" t="n">
        <f aca="false">L!$C98</f>
        <v>0</v>
      </c>
      <c r="M61" s="192" t="n">
        <f aca="false">M!$C98</f>
        <v>0</v>
      </c>
      <c r="N61" s="192" t="n">
        <f aca="false">N!$C98</f>
        <v>0</v>
      </c>
      <c r="O61" s="192" t="n">
        <f aca="false">O!$C98</f>
        <v>0</v>
      </c>
      <c r="P61" s="192" t="n">
        <f aca="false">P!$C98</f>
        <v>0</v>
      </c>
      <c r="Q61" s="192" t="n">
        <f aca="false">Q!$C98</f>
        <v>0</v>
      </c>
      <c r="R61" s="192" t="n">
        <f aca="false">R!$C98</f>
        <v>0</v>
      </c>
      <c r="S61" s="192" t="n">
        <f aca="false">S!$C98</f>
        <v>0</v>
      </c>
      <c r="T61" s="192" t="n">
        <f aca="false">T!$C98</f>
        <v>0</v>
      </c>
      <c r="U61" s="192" t="n">
        <f aca="false">U!$C98</f>
        <v>0</v>
      </c>
      <c r="V61" s="192" t="n">
        <f aca="false">V!$C98</f>
        <v>0</v>
      </c>
      <c r="W61" s="192" t="n">
        <f aca="false">W!$C98</f>
        <v>0</v>
      </c>
      <c r="X61" s="192" t="n">
        <f aca="false">X!$C98</f>
        <v>0</v>
      </c>
      <c r="Y61" s="193" t="n">
        <f aca="false">SUM(B61:X61)</f>
        <v>0</v>
      </c>
      <c r="Z61" s="193" t="n">
        <f aca="false">IF(B!B329="",0,B!$C$11+B!$C$8*B!C331)</f>
        <v>240</v>
      </c>
      <c r="AA61" s="193" t="n">
        <f aca="false">Y61-Z61</f>
        <v>-240</v>
      </c>
    </row>
    <row r="62" customFormat="false" ht="15" hidden="false" customHeight="false" outlineLevel="0" collapsed="false">
      <c r="A62" s="191" t="str">
        <f aca="false">C!A99</f>
        <v>ROGER</v>
      </c>
      <c r="B62" s="192" t="n">
        <f aca="false">IF(B!C334=TRUE(),14,0)</f>
        <v>0</v>
      </c>
      <c r="C62" s="192" t="n">
        <f aca="false">C!$C99</f>
        <v>0</v>
      </c>
      <c r="D62" s="192" t="n">
        <f aca="false">D!$C99</f>
        <v>0</v>
      </c>
      <c r="E62" s="192" t="n">
        <f aca="false">E!$C99</f>
        <v>0</v>
      </c>
      <c r="F62" s="192" t="n">
        <f aca="false">F!$C99</f>
        <v>0</v>
      </c>
      <c r="G62" s="192" t="n">
        <f aca="false">G!$C99</f>
        <v>0</v>
      </c>
      <c r="H62" s="192" t="n">
        <f aca="false">H!$C99</f>
        <v>0</v>
      </c>
      <c r="I62" s="192" t="n">
        <f aca="false">I!$C99</f>
        <v>0</v>
      </c>
      <c r="J62" s="192" t="n">
        <f aca="false">J!$C99</f>
        <v>0</v>
      </c>
      <c r="K62" s="192" t="n">
        <f aca="false">K!$C99</f>
        <v>0</v>
      </c>
      <c r="L62" s="192" t="n">
        <f aca="false">L!$C99</f>
        <v>0</v>
      </c>
      <c r="M62" s="192" t="n">
        <f aca="false">M!$C99</f>
        <v>0</v>
      </c>
      <c r="N62" s="192" t="n">
        <f aca="false">N!$C99</f>
        <v>0</v>
      </c>
      <c r="O62" s="192" t="n">
        <f aca="false">O!$C99</f>
        <v>0</v>
      </c>
      <c r="P62" s="192" t="n">
        <f aca="false">P!$C99</f>
        <v>0</v>
      </c>
      <c r="Q62" s="192" t="n">
        <f aca="false">Q!$C99</f>
        <v>0</v>
      </c>
      <c r="R62" s="192" t="n">
        <f aca="false">R!$C99</f>
        <v>0</v>
      </c>
      <c r="S62" s="192" t="n">
        <f aca="false">S!$C99</f>
        <v>0</v>
      </c>
      <c r="T62" s="192" t="n">
        <f aca="false">T!$C99</f>
        <v>0</v>
      </c>
      <c r="U62" s="192" t="n">
        <f aca="false">U!$C99</f>
        <v>0</v>
      </c>
      <c r="V62" s="192" t="n">
        <f aca="false">V!$C99</f>
        <v>0</v>
      </c>
      <c r="W62" s="192" t="n">
        <f aca="false">W!$C99</f>
        <v>0</v>
      </c>
      <c r="X62" s="192" t="n">
        <f aca="false">X!$C99</f>
        <v>0</v>
      </c>
      <c r="Y62" s="193" t="n">
        <f aca="false">SUM(B62:X62)</f>
        <v>0</v>
      </c>
      <c r="Z62" s="193" t="n">
        <f aca="false">IF(B!B334="",0,B!$C$11+B!$C$8*B!C336)</f>
        <v>240</v>
      </c>
      <c r="AA62" s="193" t="n">
        <f aca="false">Y62-Z62</f>
        <v>-240</v>
      </c>
    </row>
    <row r="63" customFormat="false" ht="15" hidden="false" customHeight="false" outlineLevel="0" collapsed="false">
      <c r="A63" s="191" t="str">
        <f aca="false">C!A100</f>
        <v>JOHN B.</v>
      </c>
      <c r="B63" s="192" t="n">
        <f aca="false">IF(B!C339=TRUE(),14,0)</f>
        <v>0</v>
      </c>
      <c r="C63" s="192" t="n">
        <f aca="false">C!$C100</f>
        <v>0</v>
      </c>
      <c r="D63" s="192" t="n">
        <f aca="false">D!$C100</f>
        <v>0</v>
      </c>
      <c r="E63" s="192" t="n">
        <f aca="false">E!$C100</f>
        <v>0</v>
      </c>
      <c r="F63" s="192" t="n">
        <f aca="false">F!$C100</f>
        <v>0</v>
      </c>
      <c r="G63" s="192" t="n">
        <f aca="false">G!$C100</f>
        <v>0</v>
      </c>
      <c r="H63" s="192" t="n">
        <f aca="false">H!$C100</f>
        <v>0</v>
      </c>
      <c r="I63" s="192" t="n">
        <f aca="false">I!$C100</f>
        <v>0</v>
      </c>
      <c r="J63" s="192" t="n">
        <f aca="false">J!$C100</f>
        <v>0</v>
      </c>
      <c r="K63" s="192" t="n">
        <f aca="false">K!$C100</f>
        <v>0</v>
      </c>
      <c r="L63" s="192" t="n">
        <f aca="false">L!$C100</f>
        <v>0</v>
      </c>
      <c r="M63" s="192" t="n">
        <f aca="false">M!$C100</f>
        <v>0</v>
      </c>
      <c r="N63" s="192" t="n">
        <f aca="false">N!$C100</f>
        <v>0</v>
      </c>
      <c r="O63" s="192" t="n">
        <f aca="false">O!$C100</f>
        <v>0</v>
      </c>
      <c r="P63" s="192" t="n">
        <f aca="false">P!$C100</f>
        <v>0</v>
      </c>
      <c r="Q63" s="192" t="n">
        <f aca="false">Q!$C100</f>
        <v>0</v>
      </c>
      <c r="R63" s="192" t="n">
        <f aca="false">R!$C100</f>
        <v>0</v>
      </c>
      <c r="S63" s="192" t="n">
        <f aca="false">S!$C100</f>
        <v>0</v>
      </c>
      <c r="T63" s="192" t="n">
        <f aca="false">T!$C100</f>
        <v>0</v>
      </c>
      <c r="U63" s="192" t="n">
        <f aca="false">U!$C100</f>
        <v>0</v>
      </c>
      <c r="V63" s="192" t="n">
        <f aca="false">V!$C100</f>
        <v>0</v>
      </c>
      <c r="W63" s="192" t="n">
        <f aca="false">W!$C100</f>
        <v>0</v>
      </c>
      <c r="X63" s="192" t="n">
        <f aca="false">X!$C100</f>
        <v>0</v>
      </c>
      <c r="Y63" s="193" t="n">
        <f aca="false">SUM(B63:X63)</f>
        <v>0</v>
      </c>
      <c r="Z63" s="193" t="n">
        <f aca="false">IF(B!B339="",0,B!$C$11+B!$C$8*B!C341)</f>
        <v>240</v>
      </c>
      <c r="AA63" s="193" t="n">
        <f aca="false">Y63-Z63</f>
        <v>-240</v>
      </c>
    </row>
    <row r="64" customFormat="false" ht="15" hidden="false" customHeight="false" outlineLevel="0" collapsed="false">
      <c r="A64" s="195" t="s">
        <v>320</v>
      </c>
      <c r="B64" s="196" t="n">
        <f aca="false">SUM(B59:B63)</f>
        <v>0</v>
      </c>
      <c r="C64" s="196" t="n">
        <f aca="false">SUM(C59:C63)</f>
        <v>20</v>
      </c>
      <c r="D64" s="196" t="n">
        <f aca="false">SUM(D59:D63)</f>
        <v>0</v>
      </c>
      <c r="E64" s="196" t="n">
        <f aca="false">SUM(E59:E63)</f>
        <v>0</v>
      </c>
      <c r="F64" s="196" t="n">
        <f aca="false">SUM(F59:F63)</f>
        <v>0</v>
      </c>
      <c r="G64" s="196" t="n">
        <f aca="false">SUM(G59:G63)</f>
        <v>0</v>
      </c>
      <c r="H64" s="196" t="n">
        <f aca="false">SUM(H59:H63)</f>
        <v>0</v>
      </c>
      <c r="I64" s="196" t="n">
        <f aca="false">SUM(I59:I63)</f>
        <v>0</v>
      </c>
      <c r="J64" s="196" t="n">
        <f aca="false">SUM(J59:J63)</f>
        <v>0</v>
      </c>
      <c r="K64" s="196" t="n">
        <f aca="false">SUM(K59:K63)</f>
        <v>0</v>
      </c>
      <c r="L64" s="196" t="n">
        <f aca="false">SUM(L59:L63)</f>
        <v>0</v>
      </c>
      <c r="M64" s="196" t="n">
        <f aca="false">SUM(M59:M63)</f>
        <v>0</v>
      </c>
      <c r="N64" s="196" t="n">
        <f aca="false">SUM(N59:N63)</f>
        <v>0</v>
      </c>
      <c r="O64" s="196" t="n">
        <f aca="false">SUM(O59:O63)</f>
        <v>0</v>
      </c>
      <c r="P64" s="196" t="n">
        <f aca="false">SUM(P59:P63)</f>
        <v>0</v>
      </c>
      <c r="Q64" s="196" t="n">
        <f aca="false">SUM(Q59:Q63)</f>
        <v>0</v>
      </c>
      <c r="R64" s="196" t="n">
        <f aca="false">SUM(R59:R63)</f>
        <v>0</v>
      </c>
      <c r="S64" s="196" t="n">
        <f aca="false">SUM(S59:S63)</f>
        <v>0</v>
      </c>
      <c r="T64" s="196" t="n">
        <f aca="false">SUM(T59:T63)</f>
        <v>0</v>
      </c>
      <c r="U64" s="196" t="n">
        <f aca="false">SUM(U59:U63)</f>
        <v>0</v>
      </c>
      <c r="V64" s="196" t="n">
        <f aca="false">SUM(V59:V63)</f>
        <v>0</v>
      </c>
      <c r="W64" s="196" t="n">
        <f aca="false">SUM(W59:W63)</f>
        <v>0</v>
      </c>
      <c r="X64" s="197" t="n">
        <f aca="false">SUM(X59:X63)</f>
        <v>0</v>
      </c>
      <c r="Y64" s="198" t="n">
        <f aca="false">SUM(Y59:Y63)</f>
        <v>20</v>
      </c>
      <c r="Z64" s="198" t="n">
        <f aca="false">SUM(Z59:Z63)</f>
        <v>1200</v>
      </c>
      <c r="AA64" s="198" t="n">
        <f aca="false">SUM(AA59:AA63)</f>
        <v>-1180</v>
      </c>
    </row>
    <row r="65" customFormat="false" ht="17.35" hidden="false" customHeight="false" outlineLevel="0" collapsed="false">
      <c r="A65" s="199"/>
      <c r="B65" s="199"/>
      <c r="Y65" s="186" t="s">
        <v>31</v>
      </c>
      <c r="Z65" s="186" t="s">
        <v>31</v>
      </c>
      <c r="AA65" s="186" t="s">
        <v>31</v>
      </c>
    </row>
    <row r="66" customFormat="false" ht="17.35" hidden="false" customHeight="false" outlineLevel="0" collapsed="false">
      <c r="A66" s="187" t="str">
        <f aca="false">C!A108</f>
        <v>THE DOUGERNAUTS</v>
      </c>
      <c r="B66" s="187" t="s">
        <v>295</v>
      </c>
      <c r="C66" s="188" t="s">
        <v>296</v>
      </c>
      <c r="D66" s="188" t="s">
        <v>297</v>
      </c>
      <c r="E66" s="188" t="s">
        <v>298</v>
      </c>
      <c r="F66" s="188" t="s">
        <v>299</v>
      </c>
      <c r="G66" s="188" t="s">
        <v>300</v>
      </c>
      <c r="H66" s="188" t="s">
        <v>301</v>
      </c>
      <c r="I66" s="188" t="s">
        <v>302</v>
      </c>
      <c r="J66" s="188" t="s">
        <v>303</v>
      </c>
      <c r="K66" s="188" t="s">
        <v>304</v>
      </c>
      <c r="L66" s="188" t="s">
        <v>305</v>
      </c>
      <c r="M66" s="188" t="s">
        <v>306</v>
      </c>
      <c r="N66" s="188" t="s">
        <v>307</v>
      </c>
      <c r="O66" s="188" t="s">
        <v>308</v>
      </c>
      <c r="P66" s="188" t="s">
        <v>309</v>
      </c>
      <c r="Q66" s="188" t="s">
        <v>310</v>
      </c>
      <c r="R66" s="188" t="s">
        <v>311</v>
      </c>
      <c r="S66" s="188" t="s">
        <v>312</v>
      </c>
      <c r="T66" s="188" t="s">
        <v>313</v>
      </c>
      <c r="U66" s="188" t="s">
        <v>314</v>
      </c>
      <c r="V66" s="188" t="s">
        <v>315</v>
      </c>
      <c r="W66" s="188" t="s">
        <v>316</v>
      </c>
      <c r="X66" s="189" t="s">
        <v>317</v>
      </c>
      <c r="Y66" s="190" t="s">
        <v>209</v>
      </c>
      <c r="Z66" s="190" t="s">
        <v>318</v>
      </c>
      <c r="AA66" s="190" t="s">
        <v>319</v>
      </c>
    </row>
    <row r="67" customFormat="false" ht="15" hidden="false" customHeight="false" outlineLevel="0" collapsed="false">
      <c r="A67" s="191" t="str">
        <f aca="false">C!A109</f>
        <v>MICHAEL</v>
      </c>
      <c r="B67" s="192" t="n">
        <f aca="false">IF(B!C362=TRUE(),14,0)</f>
        <v>0</v>
      </c>
      <c r="C67" s="192" t="n">
        <f aca="false">C!$C109</f>
        <v>0</v>
      </c>
      <c r="D67" s="192" t="n">
        <f aca="false">D!$C109</f>
        <v>0</v>
      </c>
      <c r="E67" s="192" t="n">
        <f aca="false">E!$C109</f>
        <v>0</v>
      </c>
      <c r="F67" s="192" t="n">
        <f aca="false">F!$C109</f>
        <v>40</v>
      </c>
      <c r="G67" s="192" t="n">
        <f aca="false">G!$C109</f>
        <v>0</v>
      </c>
      <c r="H67" s="192" t="n">
        <f aca="false">H!$C109</f>
        <v>0</v>
      </c>
      <c r="I67" s="192" t="n">
        <f aca="false">I!$C109</f>
        <v>0</v>
      </c>
      <c r="J67" s="192" t="n">
        <f aca="false">J!$C109</f>
        <v>0</v>
      </c>
      <c r="K67" s="192" t="n">
        <f aca="false">K!$C109</f>
        <v>0</v>
      </c>
      <c r="L67" s="192" t="n">
        <f aca="false">L!$C109</f>
        <v>0</v>
      </c>
      <c r="M67" s="192" t="n">
        <f aca="false">M!$C109</f>
        <v>0</v>
      </c>
      <c r="N67" s="192" t="n">
        <f aca="false">N!$C109</f>
        <v>0</v>
      </c>
      <c r="O67" s="192" t="n">
        <f aca="false">O!$C109</f>
        <v>0</v>
      </c>
      <c r="P67" s="192" t="n">
        <f aca="false">P!$C109</f>
        <v>0</v>
      </c>
      <c r="Q67" s="192" t="n">
        <f aca="false">Q!$C109</f>
        <v>0</v>
      </c>
      <c r="R67" s="192" t="n">
        <f aca="false">R!$C109</f>
        <v>0</v>
      </c>
      <c r="S67" s="192" t="n">
        <f aca="false">S!$C109</f>
        <v>0</v>
      </c>
      <c r="T67" s="192" t="n">
        <f aca="false">T!$C109</f>
        <v>0</v>
      </c>
      <c r="U67" s="192" t="n">
        <f aca="false">U!$C109</f>
        <v>0</v>
      </c>
      <c r="V67" s="192" t="n">
        <f aca="false">V!$C109</f>
        <v>0</v>
      </c>
      <c r="W67" s="192" t="n">
        <f aca="false">W!$C109</f>
        <v>0</v>
      </c>
      <c r="X67" s="192" t="n">
        <f aca="false">X!$C109</f>
        <v>0</v>
      </c>
      <c r="Y67" s="193" t="n">
        <f aca="false">SUM(B67:X67)</f>
        <v>40</v>
      </c>
      <c r="Z67" s="193" t="n">
        <f aca="false">IF(B!B362="",0,B!$C$11+B!$C$8*B!C364)</f>
        <v>240</v>
      </c>
      <c r="AA67" s="193" t="n">
        <f aca="false">Y67-Z67</f>
        <v>-200</v>
      </c>
    </row>
    <row r="68" customFormat="false" ht="15" hidden="false" customHeight="false" outlineLevel="0" collapsed="false">
      <c r="A68" s="191" t="str">
        <f aca="false">C!A110</f>
        <v>JIM</v>
      </c>
      <c r="B68" s="192" t="n">
        <f aca="false">IF(B!C367=TRUE(),14,0)</f>
        <v>0</v>
      </c>
      <c r="C68" s="192" t="n">
        <f aca="false">C!$C110</f>
        <v>0</v>
      </c>
      <c r="D68" s="192" t="n">
        <f aca="false">D!$C110</f>
        <v>20</v>
      </c>
      <c r="E68" s="192" t="n">
        <f aca="false">E!$C110</f>
        <v>0</v>
      </c>
      <c r="F68" s="192" t="n">
        <f aca="false">F!$C110</f>
        <v>20</v>
      </c>
      <c r="G68" s="192" t="n">
        <f aca="false">G!$C110</f>
        <v>20</v>
      </c>
      <c r="H68" s="192" t="n">
        <f aca="false">H!$C110</f>
        <v>0</v>
      </c>
      <c r="I68" s="192" t="n">
        <f aca="false">I!$C110</f>
        <v>0</v>
      </c>
      <c r="J68" s="192" t="n">
        <f aca="false">J!$C110</f>
        <v>0</v>
      </c>
      <c r="K68" s="192" t="n">
        <f aca="false">K!$C110</f>
        <v>0</v>
      </c>
      <c r="L68" s="192" t="n">
        <f aca="false">L!$C110</f>
        <v>0</v>
      </c>
      <c r="M68" s="192" t="n">
        <f aca="false">M!$C110</f>
        <v>0</v>
      </c>
      <c r="N68" s="192" t="n">
        <f aca="false">N!$C110</f>
        <v>0</v>
      </c>
      <c r="O68" s="192" t="n">
        <f aca="false">O!$C110</f>
        <v>0</v>
      </c>
      <c r="P68" s="192" t="n">
        <f aca="false">P!$C110</f>
        <v>0</v>
      </c>
      <c r="Q68" s="192" t="n">
        <f aca="false">Q!$C110</f>
        <v>0</v>
      </c>
      <c r="R68" s="192" t="n">
        <f aca="false">R!$C110</f>
        <v>0</v>
      </c>
      <c r="S68" s="192" t="n">
        <f aca="false">S!$C110</f>
        <v>0</v>
      </c>
      <c r="T68" s="192" t="n">
        <f aca="false">T!$C110</f>
        <v>0</v>
      </c>
      <c r="U68" s="192" t="n">
        <f aca="false">U!$C110</f>
        <v>0</v>
      </c>
      <c r="V68" s="192" t="n">
        <f aca="false">V!$C110</f>
        <v>0</v>
      </c>
      <c r="W68" s="192" t="n">
        <f aca="false">W!$C110</f>
        <v>0</v>
      </c>
      <c r="X68" s="192" t="n">
        <f aca="false">X!$C110</f>
        <v>0</v>
      </c>
      <c r="Y68" s="193" t="n">
        <f aca="false">SUM(B68:X68)</f>
        <v>60</v>
      </c>
      <c r="Z68" s="193" t="n">
        <f aca="false">IF(B!B367="",0,B!$C$11+B!$C$8*B!C369)</f>
        <v>240</v>
      </c>
      <c r="AA68" s="193" t="n">
        <f aca="false">Y68-Z68</f>
        <v>-180</v>
      </c>
    </row>
    <row r="69" customFormat="false" ht="15" hidden="false" customHeight="false" outlineLevel="0" collapsed="false">
      <c r="A69" s="191" t="str">
        <f aca="false">C!A111</f>
        <v>DOUG</v>
      </c>
      <c r="B69" s="192" t="n">
        <f aca="false">IF(B!C372=TRUE(),14,0)</f>
        <v>0</v>
      </c>
      <c r="C69" s="192" t="n">
        <f aca="false">C!$C111</f>
        <v>25</v>
      </c>
      <c r="D69" s="192" t="n">
        <f aca="false">D!$C111</f>
        <v>0</v>
      </c>
      <c r="E69" s="192" t="n">
        <f aca="false">E!$C111</f>
        <v>0</v>
      </c>
      <c r="F69" s="192" t="n">
        <f aca="false">F!$C111</f>
        <v>10</v>
      </c>
      <c r="G69" s="192" t="n">
        <f aca="false">G!$C111</f>
        <v>5</v>
      </c>
      <c r="H69" s="192" t="n">
        <f aca="false">H!$C111</f>
        <v>0</v>
      </c>
      <c r="I69" s="192" t="n">
        <f aca="false">I!$C111</f>
        <v>0</v>
      </c>
      <c r="J69" s="192" t="n">
        <f aca="false">J!$C111</f>
        <v>0</v>
      </c>
      <c r="K69" s="192" t="n">
        <f aca="false">K!$C111</f>
        <v>0</v>
      </c>
      <c r="L69" s="192" t="n">
        <f aca="false">L!$C111</f>
        <v>0</v>
      </c>
      <c r="M69" s="192" t="n">
        <f aca="false">M!$C111</f>
        <v>0</v>
      </c>
      <c r="N69" s="192" t="n">
        <f aca="false">N!$C111</f>
        <v>0</v>
      </c>
      <c r="O69" s="192" t="n">
        <f aca="false">O!$C111</f>
        <v>0</v>
      </c>
      <c r="P69" s="192" t="n">
        <f aca="false">P!$C111</f>
        <v>0</v>
      </c>
      <c r="Q69" s="192" t="n">
        <f aca="false">Q!$C111</f>
        <v>0</v>
      </c>
      <c r="R69" s="192" t="n">
        <f aca="false">R!$C111</f>
        <v>0</v>
      </c>
      <c r="S69" s="192" t="n">
        <f aca="false">S!$C111</f>
        <v>0</v>
      </c>
      <c r="T69" s="192" t="n">
        <f aca="false">T!$C111</f>
        <v>0</v>
      </c>
      <c r="U69" s="192" t="n">
        <f aca="false">U!$C111</f>
        <v>0</v>
      </c>
      <c r="V69" s="192" t="n">
        <f aca="false">V!$C111</f>
        <v>0</v>
      </c>
      <c r="W69" s="192" t="n">
        <f aca="false">W!$C111</f>
        <v>0</v>
      </c>
      <c r="X69" s="192" t="n">
        <f aca="false">X!$C111</f>
        <v>0</v>
      </c>
      <c r="Y69" s="193" t="n">
        <f aca="false">SUM(B69:X69)</f>
        <v>40</v>
      </c>
      <c r="Z69" s="193" t="n">
        <f aca="false">IF(B!B372="",0,B!$C$11+B!$C$8*B!C374)</f>
        <v>240</v>
      </c>
      <c r="AA69" s="193" t="n">
        <f aca="false">Y69-Z69</f>
        <v>-200</v>
      </c>
    </row>
    <row r="70" customFormat="false" ht="15" hidden="false" customHeight="false" outlineLevel="0" collapsed="false">
      <c r="A70" s="191" t="str">
        <f aca="false">C!A112</f>
        <v>SARAH</v>
      </c>
      <c r="B70" s="192" t="n">
        <f aca="false">IF(B!C377=TRUE(),14,0)</f>
        <v>0</v>
      </c>
      <c r="C70" s="192" t="n">
        <f aca="false">C!$C112</f>
        <v>0</v>
      </c>
      <c r="D70" s="192" t="n">
        <f aca="false">D!$C112</f>
        <v>0</v>
      </c>
      <c r="E70" s="192" t="n">
        <f aca="false">E!$C112</f>
        <v>0</v>
      </c>
      <c r="F70" s="192" t="n">
        <f aca="false">F!$C112</f>
        <v>0</v>
      </c>
      <c r="G70" s="192" t="n">
        <f aca="false">G!$C112</f>
        <v>0</v>
      </c>
      <c r="H70" s="192" t="n">
        <f aca="false">H!$C112</f>
        <v>0</v>
      </c>
      <c r="I70" s="192" t="n">
        <f aca="false">I!$C112</f>
        <v>0</v>
      </c>
      <c r="J70" s="192" t="n">
        <f aca="false">J!$C112</f>
        <v>0</v>
      </c>
      <c r="K70" s="192" t="n">
        <f aca="false">K!$C112</f>
        <v>0</v>
      </c>
      <c r="L70" s="192" t="n">
        <f aca="false">L!$C112</f>
        <v>0</v>
      </c>
      <c r="M70" s="192" t="n">
        <f aca="false">M!$C112</f>
        <v>0</v>
      </c>
      <c r="N70" s="192" t="n">
        <f aca="false">N!$C112</f>
        <v>0</v>
      </c>
      <c r="O70" s="192" t="n">
        <f aca="false">O!$C112</f>
        <v>0</v>
      </c>
      <c r="P70" s="192" t="n">
        <f aca="false">P!$C112</f>
        <v>0</v>
      </c>
      <c r="Q70" s="192" t="n">
        <f aca="false">Q!$C112</f>
        <v>0</v>
      </c>
      <c r="R70" s="192" t="n">
        <f aca="false">R!$C112</f>
        <v>0</v>
      </c>
      <c r="S70" s="192" t="n">
        <f aca="false">S!$C112</f>
        <v>0</v>
      </c>
      <c r="T70" s="192" t="n">
        <f aca="false">T!$C112</f>
        <v>0</v>
      </c>
      <c r="U70" s="192" t="n">
        <f aca="false">U!$C112</f>
        <v>0</v>
      </c>
      <c r="V70" s="192" t="n">
        <f aca="false">V!$C112</f>
        <v>0</v>
      </c>
      <c r="W70" s="192" t="n">
        <f aca="false">W!$C112</f>
        <v>0</v>
      </c>
      <c r="X70" s="192" t="n">
        <f aca="false">X!$C112</f>
        <v>0</v>
      </c>
      <c r="Y70" s="193" t="n">
        <f aca="false">SUM(B70:X70)</f>
        <v>0</v>
      </c>
      <c r="Z70" s="193" t="n">
        <f aca="false">IF(B!B377="",0,B!$C$11+B!$C$8*B!C379)</f>
        <v>240</v>
      </c>
      <c r="AA70" s="193" t="n">
        <f aca="false">Y70-Z70</f>
        <v>-240</v>
      </c>
    </row>
    <row r="71" customFormat="false" ht="15" hidden="false" customHeight="false" outlineLevel="0" collapsed="false">
      <c r="A71" s="191" t="str">
        <f aca="false">C!A113</f>
        <v>KASH</v>
      </c>
      <c r="B71" s="192" t="n">
        <f aca="false">IF(B!C382=TRUE(),14,0)</f>
        <v>0</v>
      </c>
      <c r="C71" s="192" t="n">
        <f aca="false">C!$C113</f>
        <v>0</v>
      </c>
      <c r="D71" s="192" t="n">
        <f aca="false">D!$C113</f>
        <v>0</v>
      </c>
      <c r="E71" s="192" t="n">
        <f aca="false">E!$C113</f>
        <v>0</v>
      </c>
      <c r="F71" s="192" t="n">
        <f aca="false">F!$C113</f>
        <v>0</v>
      </c>
      <c r="G71" s="192" t="n">
        <f aca="false">G!$C113</f>
        <v>0</v>
      </c>
      <c r="H71" s="192" t="n">
        <f aca="false">H!$C113</f>
        <v>0</v>
      </c>
      <c r="I71" s="192" t="n">
        <f aca="false">I!$C113</f>
        <v>0</v>
      </c>
      <c r="J71" s="192" t="n">
        <f aca="false">J!$C113</f>
        <v>0</v>
      </c>
      <c r="K71" s="192" t="n">
        <f aca="false">K!$C113</f>
        <v>0</v>
      </c>
      <c r="L71" s="192" t="n">
        <f aca="false">L!$C113</f>
        <v>0</v>
      </c>
      <c r="M71" s="192" t="n">
        <f aca="false">M!$C113</f>
        <v>0</v>
      </c>
      <c r="N71" s="192" t="n">
        <f aca="false">N!$C113</f>
        <v>0</v>
      </c>
      <c r="O71" s="192" t="n">
        <f aca="false">O!$C113</f>
        <v>0</v>
      </c>
      <c r="P71" s="192" t="n">
        <f aca="false">P!$C113</f>
        <v>0</v>
      </c>
      <c r="Q71" s="192" t="n">
        <f aca="false">Q!$C113</f>
        <v>0</v>
      </c>
      <c r="R71" s="192" t="n">
        <f aca="false">R!$C113</f>
        <v>0</v>
      </c>
      <c r="S71" s="192" t="n">
        <f aca="false">S!$C113</f>
        <v>0</v>
      </c>
      <c r="T71" s="192" t="n">
        <f aca="false">T!$C113</f>
        <v>0</v>
      </c>
      <c r="U71" s="192" t="n">
        <f aca="false">U!$C113</f>
        <v>0</v>
      </c>
      <c r="V71" s="192" t="n">
        <f aca="false">V!$C113</f>
        <v>0</v>
      </c>
      <c r="W71" s="192" t="n">
        <f aca="false">W!$C113</f>
        <v>0</v>
      </c>
      <c r="X71" s="192" t="n">
        <f aca="false">X!$C113</f>
        <v>0</v>
      </c>
      <c r="Y71" s="193" t="n">
        <f aca="false">SUM(B71:X71)</f>
        <v>0</v>
      </c>
      <c r="Z71" s="193" t="n">
        <f aca="false">IF(B!B382="",0,B!$C$11+B!$C$8*B!C384)</f>
        <v>240</v>
      </c>
      <c r="AA71" s="193" t="n">
        <f aca="false">Y71-Z71</f>
        <v>-240</v>
      </c>
    </row>
    <row r="72" customFormat="false" ht="15" hidden="false" customHeight="false" outlineLevel="0" collapsed="false">
      <c r="A72" s="195" t="s">
        <v>320</v>
      </c>
      <c r="B72" s="196" t="n">
        <f aca="false">SUM(B67:B71)</f>
        <v>0</v>
      </c>
      <c r="C72" s="196" t="n">
        <f aca="false">SUM(C67:C71)</f>
        <v>25</v>
      </c>
      <c r="D72" s="196" t="n">
        <f aca="false">SUM(D67:D71)</f>
        <v>20</v>
      </c>
      <c r="E72" s="196" t="n">
        <f aca="false">SUM(E67:E71)</f>
        <v>0</v>
      </c>
      <c r="F72" s="196" t="n">
        <f aca="false">SUM(F67:F71)</f>
        <v>70</v>
      </c>
      <c r="G72" s="196" t="n">
        <f aca="false">SUM(G67:G71)</f>
        <v>25</v>
      </c>
      <c r="H72" s="196" t="n">
        <f aca="false">SUM(H67:H71)</f>
        <v>0</v>
      </c>
      <c r="I72" s="196" t="n">
        <f aca="false">SUM(I67:I71)</f>
        <v>0</v>
      </c>
      <c r="J72" s="196" t="n">
        <f aca="false">SUM(J67:J71)</f>
        <v>0</v>
      </c>
      <c r="K72" s="196" t="n">
        <f aca="false">SUM(K67:K71)</f>
        <v>0</v>
      </c>
      <c r="L72" s="196" t="n">
        <f aca="false">SUM(L67:L71)</f>
        <v>0</v>
      </c>
      <c r="M72" s="196" t="n">
        <f aca="false">SUM(M67:M71)</f>
        <v>0</v>
      </c>
      <c r="N72" s="196" t="n">
        <f aca="false">SUM(N67:N71)</f>
        <v>0</v>
      </c>
      <c r="O72" s="196" t="n">
        <f aca="false">SUM(O67:O71)</f>
        <v>0</v>
      </c>
      <c r="P72" s="196" t="n">
        <f aca="false">SUM(P67:P71)</f>
        <v>0</v>
      </c>
      <c r="Q72" s="196" t="n">
        <f aca="false">SUM(Q67:Q71)</f>
        <v>0</v>
      </c>
      <c r="R72" s="196" t="n">
        <f aca="false">SUM(R67:R71)</f>
        <v>0</v>
      </c>
      <c r="S72" s="196" t="n">
        <f aca="false">SUM(S67:S71)</f>
        <v>0</v>
      </c>
      <c r="T72" s="196" t="n">
        <f aca="false">SUM(T67:T71)</f>
        <v>0</v>
      </c>
      <c r="U72" s="196" t="n">
        <f aca="false">SUM(U67:U71)</f>
        <v>0</v>
      </c>
      <c r="V72" s="196" t="n">
        <f aca="false">SUM(V67:V71)</f>
        <v>0</v>
      </c>
      <c r="W72" s="196" t="n">
        <f aca="false">SUM(W67:W71)</f>
        <v>0</v>
      </c>
      <c r="X72" s="197" t="n">
        <f aca="false">SUM(X67:X71)</f>
        <v>0</v>
      </c>
      <c r="Y72" s="198" t="n">
        <f aca="false">SUM(Y67:Y71)</f>
        <v>140</v>
      </c>
      <c r="Z72" s="198" t="n">
        <f aca="false">SUM(Z67:Z71)</f>
        <v>1200</v>
      </c>
      <c r="AA72" s="198" t="n">
        <f aca="false">SUM(AA67:AA71)</f>
        <v>-1060</v>
      </c>
    </row>
    <row r="73" customFormat="false" ht="17.35" hidden="false" customHeight="false" outlineLevel="0" collapsed="false">
      <c r="A73" s="199"/>
      <c r="B73" s="199"/>
      <c r="Y73" s="186" t="s">
        <v>31</v>
      </c>
      <c r="Z73" s="186" t="s">
        <v>31</v>
      </c>
      <c r="AA73" s="186" t="s">
        <v>31</v>
      </c>
    </row>
    <row r="74" customFormat="false" ht="17.35" hidden="false" customHeight="false" outlineLevel="0" collapsed="false">
      <c r="A74" s="187" t="str">
        <f aca="false">C!A121</f>
        <v>CRAZY TRAIN</v>
      </c>
      <c r="B74" s="187" t="s">
        <v>295</v>
      </c>
      <c r="C74" s="188" t="s">
        <v>296</v>
      </c>
      <c r="D74" s="188" t="s">
        <v>297</v>
      </c>
      <c r="E74" s="188" t="s">
        <v>298</v>
      </c>
      <c r="F74" s="188" t="s">
        <v>299</v>
      </c>
      <c r="G74" s="188" t="s">
        <v>300</v>
      </c>
      <c r="H74" s="188" t="s">
        <v>301</v>
      </c>
      <c r="I74" s="188" t="s">
        <v>302</v>
      </c>
      <c r="J74" s="188" t="s">
        <v>303</v>
      </c>
      <c r="K74" s="188" t="s">
        <v>304</v>
      </c>
      <c r="L74" s="188" t="s">
        <v>305</v>
      </c>
      <c r="M74" s="188" t="s">
        <v>306</v>
      </c>
      <c r="N74" s="188" t="s">
        <v>307</v>
      </c>
      <c r="O74" s="188" t="s">
        <v>308</v>
      </c>
      <c r="P74" s="188" t="s">
        <v>309</v>
      </c>
      <c r="Q74" s="188" t="s">
        <v>310</v>
      </c>
      <c r="R74" s="188" t="s">
        <v>311</v>
      </c>
      <c r="S74" s="188" t="s">
        <v>312</v>
      </c>
      <c r="T74" s="188" t="s">
        <v>313</v>
      </c>
      <c r="U74" s="188" t="s">
        <v>314</v>
      </c>
      <c r="V74" s="188" t="s">
        <v>315</v>
      </c>
      <c r="W74" s="188" t="s">
        <v>316</v>
      </c>
      <c r="X74" s="189" t="s">
        <v>317</v>
      </c>
      <c r="Y74" s="190" t="s">
        <v>209</v>
      </c>
      <c r="Z74" s="190" t="s">
        <v>318</v>
      </c>
      <c r="AA74" s="190" t="s">
        <v>319</v>
      </c>
    </row>
    <row r="75" customFormat="false" ht="15" hidden="false" customHeight="false" outlineLevel="0" collapsed="false">
      <c r="A75" s="191" t="str">
        <f aca="false">C!A122</f>
        <v>DARRIC</v>
      </c>
      <c r="B75" s="192" t="n">
        <f aca="false">IF(B!C405=TRUE(),14,0)</f>
        <v>0</v>
      </c>
      <c r="C75" s="192" t="n">
        <f aca="false">C!$C122</f>
        <v>0</v>
      </c>
      <c r="D75" s="192" t="n">
        <f aca="false">D!$C122</f>
        <v>0</v>
      </c>
      <c r="E75" s="192" t="n">
        <f aca="false">E!$C122</f>
        <v>50</v>
      </c>
      <c r="F75" s="192" t="n">
        <f aca="false">F!$C122</f>
        <v>0</v>
      </c>
      <c r="G75" s="192" t="n">
        <f aca="false">G!$C122</f>
        <v>80</v>
      </c>
      <c r="H75" s="192" t="n">
        <f aca="false">H!$C122</f>
        <v>0</v>
      </c>
      <c r="I75" s="192" t="n">
        <f aca="false">I!$C122</f>
        <v>0</v>
      </c>
      <c r="J75" s="192" t="n">
        <f aca="false">J!$C122</f>
        <v>0</v>
      </c>
      <c r="K75" s="192" t="n">
        <f aca="false">K!$C122</f>
        <v>0</v>
      </c>
      <c r="L75" s="192" t="n">
        <f aca="false">L!$C122</f>
        <v>0</v>
      </c>
      <c r="M75" s="192" t="n">
        <f aca="false">M!$C122</f>
        <v>0</v>
      </c>
      <c r="N75" s="192" t="n">
        <f aca="false">N!$C122</f>
        <v>0</v>
      </c>
      <c r="O75" s="192" t="n">
        <f aca="false">O!$C122</f>
        <v>0</v>
      </c>
      <c r="P75" s="192" t="n">
        <f aca="false">P!$C122</f>
        <v>0</v>
      </c>
      <c r="Q75" s="192" t="n">
        <f aca="false">Q!$C122</f>
        <v>0</v>
      </c>
      <c r="R75" s="192" t="n">
        <f aca="false">R!$C122</f>
        <v>0</v>
      </c>
      <c r="S75" s="192" t="n">
        <f aca="false">S!$C122</f>
        <v>0</v>
      </c>
      <c r="T75" s="192" t="n">
        <f aca="false">T!$C122</f>
        <v>0</v>
      </c>
      <c r="U75" s="192" t="n">
        <f aca="false">U!$C122</f>
        <v>0</v>
      </c>
      <c r="V75" s="192" t="n">
        <f aca="false">V!$C122</f>
        <v>0</v>
      </c>
      <c r="W75" s="192" t="n">
        <f aca="false">W!$C122</f>
        <v>0</v>
      </c>
      <c r="X75" s="192" t="n">
        <f aca="false">X!$C122</f>
        <v>0</v>
      </c>
      <c r="Y75" s="193" t="n">
        <f aca="false">SUM(B75:X75)</f>
        <v>130</v>
      </c>
      <c r="Z75" s="193" t="n">
        <f aca="false">IF(B!B405="",0,B!$C$11+B!$C$8*B!C407)</f>
        <v>240</v>
      </c>
      <c r="AA75" s="193" t="n">
        <f aca="false">Y75-Z75</f>
        <v>-110</v>
      </c>
    </row>
    <row r="76" customFormat="false" ht="15" hidden="false" customHeight="false" outlineLevel="0" collapsed="false">
      <c r="A76" s="191" t="str">
        <f aca="false">C!A123</f>
        <v>CHRIS</v>
      </c>
      <c r="B76" s="192" t="n">
        <f aca="false">IF(B!C410=TRUE(),14,0)</f>
        <v>0</v>
      </c>
      <c r="C76" s="192" t="n">
        <f aca="false">C!$C123</f>
        <v>25</v>
      </c>
      <c r="D76" s="192" t="n">
        <f aca="false">D!$C123</f>
        <v>5</v>
      </c>
      <c r="E76" s="192" t="n">
        <f aca="false">E!$C123</f>
        <v>10</v>
      </c>
      <c r="F76" s="192" t="n">
        <f aca="false">F!$C123</f>
        <v>0</v>
      </c>
      <c r="G76" s="192" t="n">
        <f aca="false">G!$C123</f>
        <v>5</v>
      </c>
      <c r="H76" s="192" t="n">
        <f aca="false">H!$C123</f>
        <v>10</v>
      </c>
      <c r="I76" s="192" t="n">
        <f aca="false">I!$C123</f>
        <v>0</v>
      </c>
      <c r="J76" s="192" t="n">
        <f aca="false">J!$C123</f>
        <v>0</v>
      </c>
      <c r="K76" s="192" t="n">
        <f aca="false">K!$C123</f>
        <v>0</v>
      </c>
      <c r="L76" s="192" t="n">
        <f aca="false">L!$C123</f>
        <v>0</v>
      </c>
      <c r="M76" s="192" t="n">
        <f aca="false">M!$C123</f>
        <v>0</v>
      </c>
      <c r="N76" s="192" t="n">
        <f aca="false">N!$C123</f>
        <v>0</v>
      </c>
      <c r="O76" s="192" t="n">
        <f aca="false">O!$C123</f>
        <v>0</v>
      </c>
      <c r="P76" s="192" t="n">
        <f aca="false">P!$C123</f>
        <v>0</v>
      </c>
      <c r="Q76" s="192" t="n">
        <f aca="false">Q!$C123</f>
        <v>0</v>
      </c>
      <c r="R76" s="192" t="n">
        <f aca="false">R!$C123</f>
        <v>0</v>
      </c>
      <c r="S76" s="192" t="n">
        <f aca="false">S!$C123</f>
        <v>0</v>
      </c>
      <c r="T76" s="192" t="n">
        <f aca="false">T!$C123</f>
        <v>0</v>
      </c>
      <c r="U76" s="192" t="n">
        <f aca="false">U!$C123</f>
        <v>0</v>
      </c>
      <c r="V76" s="192" t="n">
        <f aca="false">V!$C123</f>
        <v>0</v>
      </c>
      <c r="W76" s="192" t="n">
        <f aca="false">W!$C123</f>
        <v>0</v>
      </c>
      <c r="X76" s="192" t="n">
        <f aca="false">X!$C123</f>
        <v>0</v>
      </c>
      <c r="Y76" s="193" t="n">
        <f aca="false">SUM(B76:X76)</f>
        <v>55</v>
      </c>
      <c r="Z76" s="193" t="n">
        <f aca="false">IF(B!B410="",0,B!$C$11+B!$C$8*B!C412)</f>
        <v>240</v>
      </c>
      <c r="AA76" s="193" t="n">
        <f aca="false">Y76-Z76</f>
        <v>-185</v>
      </c>
    </row>
    <row r="77" customFormat="false" ht="15" hidden="false" customHeight="false" outlineLevel="0" collapsed="false">
      <c r="A77" s="191" t="str">
        <f aca="false">C!A124</f>
        <v>MIKE R.</v>
      </c>
      <c r="B77" s="192" t="n">
        <f aca="false">IF(B!C415=TRUE(),14,0)</f>
        <v>0</v>
      </c>
      <c r="C77" s="192" t="n">
        <f aca="false">C!$C124</f>
        <v>0</v>
      </c>
      <c r="D77" s="192" t="n">
        <f aca="false">D!$C124</f>
        <v>0</v>
      </c>
      <c r="E77" s="192" t="n">
        <f aca="false">E!$C124</f>
        <v>0</v>
      </c>
      <c r="F77" s="192" t="n">
        <f aca="false">F!$C124</f>
        <v>0</v>
      </c>
      <c r="G77" s="192" t="n">
        <f aca="false">G!$C124</f>
        <v>0</v>
      </c>
      <c r="H77" s="192" t="n">
        <f aca="false">H!$C124</f>
        <v>0</v>
      </c>
      <c r="I77" s="192" t="n">
        <f aca="false">I!$C124</f>
        <v>0</v>
      </c>
      <c r="J77" s="192" t="n">
        <f aca="false">J!$C124</f>
        <v>0</v>
      </c>
      <c r="K77" s="192" t="n">
        <f aca="false">K!$C124</f>
        <v>0</v>
      </c>
      <c r="L77" s="192" t="n">
        <f aca="false">L!$C124</f>
        <v>0</v>
      </c>
      <c r="M77" s="192" t="n">
        <f aca="false">M!$C124</f>
        <v>0</v>
      </c>
      <c r="N77" s="192" t="n">
        <f aca="false">N!$C124</f>
        <v>0</v>
      </c>
      <c r="O77" s="192" t="n">
        <f aca="false">O!$C124</f>
        <v>0</v>
      </c>
      <c r="P77" s="192" t="n">
        <f aca="false">P!$C124</f>
        <v>0</v>
      </c>
      <c r="Q77" s="192" t="n">
        <f aca="false">Q!$C124</f>
        <v>0</v>
      </c>
      <c r="R77" s="192" t="n">
        <f aca="false">R!$C124</f>
        <v>0</v>
      </c>
      <c r="S77" s="192" t="n">
        <f aca="false">S!$C124</f>
        <v>0</v>
      </c>
      <c r="T77" s="192" t="n">
        <f aca="false">T!$C124</f>
        <v>0</v>
      </c>
      <c r="U77" s="192" t="n">
        <f aca="false">U!$C124</f>
        <v>0</v>
      </c>
      <c r="V77" s="192" t="n">
        <f aca="false">V!$C124</f>
        <v>0</v>
      </c>
      <c r="W77" s="192" t="n">
        <f aca="false">W!$C124</f>
        <v>0</v>
      </c>
      <c r="X77" s="192" t="n">
        <f aca="false">X!$C124</f>
        <v>0</v>
      </c>
      <c r="Y77" s="193" t="n">
        <f aca="false">SUM(B77:X77)</f>
        <v>0</v>
      </c>
      <c r="Z77" s="193" t="n">
        <f aca="false">IF(B!B415="",0,B!$C$11+B!$C$8*B!C417)</f>
        <v>240</v>
      </c>
      <c r="AA77" s="193" t="n">
        <f aca="false">Y77-Z77</f>
        <v>-240</v>
      </c>
    </row>
    <row r="78" customFormat="false" ht="15" hidden="false" customHeight="false" outlineLevel="0" collapsed="false">
      <c r="A78" s="191" t="str">
        <f aca="false">C!A125</f>
        <v>SERGEI</v>
      </c>
      <c r="B78" s="192" t="n">
        <f aca="false">IF(B!C420=TRUE(),14,0)</f>
        <v>0</v>
      </c>
      <c r="C78" s="192" t="n">
        <f aca="false">C!$C125</f>
        <v>0</v>
      </c>
      <c r="D78" s="192" t="n">
        <f aca="false">D!$C125</f>
        <v>0</v>
      </c>
      <c r="E78" s="192" t="n">
        <f aca="false">E!$C125</f>
        <v>0</v>
      </c>
      <c r="F78" s="192" t="n">
        <f aca="false">F!$C125</f>
        <v>0</v>
      </c>
      <c r="G78" s="192" t="n">
        <f aca="false">G!$C125</f>
        <v>0</v>
      </c>
      <c r="H78" s="192" t="n">
        <f aca="false">H!$C125</f>
        <v>0</v>
      </c>
      <c r="I78" s="192" t="n">
        <f aca="false">I!$C125</f>
        <v>0</v>
      </c>
      <c r="J78" s="192" t="n">
        <f aca="false">J!$C125</f>
        <v>0</v>
      </c>
      <c r="K78" s="192" t="n">
        <f aca="false">K!$C125</f>
        <v>0</v>
      </c>
      <c r="L78" s="192" t="n">
        <f aca="false">L!$C125</f>
        <v>0</v>
      </c>
      <c r="M78" s="192" t="n">
        <f aca="false">M!$C125</f>
        <v>0</v>
      </c>
      <c r="N78" s="192" t="n">
        <f aca="false">N!$C125</f>
        <v>0</v>
      </c>
      <c r="O78" s="192" t="n">
        <f aca="false">O!$C125</f>
        <v>0</v>
      </c>
      <c r="P78" s="192" t="n">
        <f aca="false">P!$C125</f>
        <v>0</v>
      </c>
      <c r="Q78" s="192" t="n">
        <f aca="false">Q!$C125</f>
        <v>0</v>
      </c>
      <c r="R78" s="192" t="n">
        <f aca="false">R!$C125</f>
        <v>0</v>
      </c>
      <c r="S78" s="192" t="n">
        <f aca="false">S!$C125</f>
        <v>0</v>
      </c>
      <c r="T78" s="192" t="n">
        <f aca="false">T!$C125</f>
        <v>0</v>
      </c>
      <c r="U78" s="192" t="n">
        <f aca="false">U!$C125</f>
        <v>0</v>
      </c>
      <c r="V78" s="192" t="n">
        <f aca="false">V!$C125</f>
        <v>0</v>
      </c>
      <c r="W78" s="192" t="n">
        <f aca="false">W!$C125</f>
        <v>0</v>
      </c>
      <c r="X78" s="192" t="n">
        <f aca="false">X!$C125</f>
        <v>0</v>
      </c>
      <c r="Y78" s="193" t="n">
        <f aca="false">SUM(B78:X78)</f>
        <v>0</v>
      </c>
      <c r="Z78" s="193" t="n">
        <f aca="false">IF(B!B420="",0,B!$C$11+B!$C$8*B!C422)</f>
        <v>240</v>
      </c>
      <c r="AA78" s="193" t="n">
        <f aca="false">Y78-Z78</f>
        <v>-240</v>
      </c>
    </row>
    <row r="79" customFormat="false" ht="15" hidden="false" customHeight="false" outlineLevel="0" collapsed="false">
      <c r="A79" s="191" t="str">
        <f aca="false">C!A126</f>
        <v>JORDAN</v>
      </c>
      <c r="B79" s="192" t="n">
        <f aca="false">IF(B!C425=TRUE(),14,0)</f>
        <v>0</v>
      </c>
      <c r="C79" s="192" t="n">
        <f aca="false">C!$C126</f>
        <v>20</v>
      </c>
      <c r="D79" s="192" t="n">
        <f aca="false">D!$C126</f>
        <v>5</v>
      </c>
      <c r="E79" s="192" t="n">
        <f aca="false">E!$C126</f>
        <v>20</v>
      </c>
      <c r="F79" s="192" t="n">
        <f aca="false">F!$C126</f>
        <v>0</v>
      </c>
      <c r="G79" s="192" t="n">
        <f aca="false">G!$C126</f>
        <v>20</v>
      </c>
      <c r="H79" s="192" t="n">
        <f aca="false">H!$C126</f>
        <v>10</v>
      </c>
      <c r="I79" s="192" t="n">
        <f aca="false">I!$C126</f>
        <v>0</v>
      </c>
      <c r="J79" s="192" t="n">
        <f aca="false">J!$C126</f>
        <v>0</v>
      </c>
      <c r="K79" s="192" t="n">
        <f aca="false">K!$C126</f>
        <v>0</v>
      </c>
      <c r="L79" s="192" t="n">
        <f aca="false">L!$C126</f>
        <v>0</v>
      </c>
      <c r="M79" s="192" t="n">
        <f aca="false">M!$C126</f>
        <v>0</v>
      </c>
      <c r="N79" s="192" t="n">
        <f aca="false">N!$C126</f>
        <v>0</v>
      </c>
      <c r="O79" s="192" t="n">
        <f aca="false">O!$C126</f>
        <v>0</v>
      </c>
      <c r="P79" s="192" t="n">
        <f aca="false">P!$C126</f>
        <v>0</v>
      </c>
      <c r="Q79" s="192" t="n">
        <f aca="false">Q!$C126</f>
        <v>0</v>
      </c>
      <c r="R79" s="192" t="n">
        <f aca="false">R!$C126</f>
        <v>0</v>
      </c>
      <c r="S79" s="192" t="n">
        <f aca="false">S!$C126</f>
        <v>0</v>
      </c>
      <c r="T79" s="192" t="n">
        <f aca="false">T!$C126</f>
        <v>0</v>
      </c>
      <c r="U79" s="192" t="n">
        <f aca="false">U!$C126</f>
        <v>0</v>
      </c>
      <c r="V79" s="192" t="n">
        <f aca="false">V!$C126</f>
        <v>0</v>
      </c>
      <c r="W79" s="192" t="n">
        <f aca="false">W!$C126</f>
        <v>0</v>
      </c>
      <c r="X79" s="192" t="n">
        <f aca="false">X!$C126</f>
        <v>0</v>
      </c>
      <c r="Y79" s="193" t="n">
        <f aca="false">SUM(B79:X79)</f>
        <v>75</v>
      </c>
      <c r="Z79" s="193" t="n">
        <f aca="false">IF(B!B425="",0,B!$C$11+B!$C$8*B!C427)</f>
        <v>240</v>
      </c>
      <c r="AA79" s="193" t="n">
        <f aca="false">Y79-Z79</f>
        <v>-165</v>
      </c>
    </row>
    <row r="80" customFormat="false" ht="15" hidden="false" customHeight="false" outlineLevel="0" collapsed="false">
      <c r="A80" s="195" t="s">
        <v>320</v>
      </c>
      <c r="B80" s="196" t="n">
        <f aca="false">SUM(B75:B79)</f>
        <v>0</v>
      </c>
      <c r="C80" s="196" t="n">
        <f aca="false">SUM(C75:C79)</f>
        <v>45</v>
      </c>
      <c r="D80" s="196" t="n">
        <f aca="false">SUM(D75:D79)</f>
        <v>10</v>
      </c>
      <c r="E80" s="196" t="n">
        <f aca="false">SUM(E75:E79)</f>
        <v>80</v>
      </c>
      <c r="F80" s="196" t="n">
        <f aca="false">SUM(F75:F79)</f>
        <v>0</v>
      </c>
      <c r="G80" s="196" t="n">
        <f aca="false">SUM(G75:G79)</f>
        <v>105</v>
      </c>
      <c r="H80" s="196" t="n">
        <f aca="false">SUM(H75:H79)</f>
        <v>20</v>
      </c>
      <c r="I80" s="196" t="n">
        <f aca="false">SUM(I75:I79)</f>
        <v>0</v>
      </c>
      <c r="J80" s="196" t="n">
        <f aca="false">SUM(J75:J79)</f>
        <v>0</v>
      </c>
      <c r="K80" s="196" t="n">
        <f aca="false">SUM(K75:K79)</f>
        <v>0</v>
      </c>
      <c r="L80" s="196" t="n">
        <f aca="false">SUM(L75:L79)</f>
        <v>0</v>
      </c>
      <c r="M80" s="196" t="n">
        <f aca="false">SUM(M75:M79)</f>
        <v>0</v>
      </c>
      <c r="N80" s="196" t="n">
        <f aca="false">SUM(N75:N79)</f>
        <v>0</v>
      </c>
      <c r="O80" s="196" t="n">
        <f aca="false">SUM(O75:O79)</f>
        <v>0</v>
      </c>
      <c r="P80" s="196" t="n">
        <f aca="false">SUM(P75:P79)</f>
        <v>0</v>
      </c>
      <c r="Q80" s="196" t="n">
        <f aca="false">SUM(Q75:Q79)</f>
        <v>0</v>
      </c>
      <c r="R80" s="196" t="n">
        <f aca="false">SUM(R75:R79)</f>
        <v>0</v>
      </c>
      <c r="S80" s="196" t="n">
        <f aca="false">SUM(S75:S79)</f>
        <v>0</v>
      </c>
      <c r="T80" s="196" t="n">
        <f aca="false">SUM(T75:T79)</f>
        <v>0</v>
      </c>
      <c r="U80" s="196" t="n">
        <f aca="false">SUM(U75:U79)</f>
        <v>0</v>
      </c>
      <c r="V80" s="196" t="n">
        <f aca="false">SUM(V75:V79)</f>
        <v>0</v>
      </c>
      <c r="W80" s="196" t="n">
        <f aca="false">SUM(W75:W79)</f>
        <v>0</v>
      </c>
      <c r="X80" s="197" t="n">
        <f aca="false">SUM(X75:X79)</f>
        <v>0</v>
      </c>
      <c r="Y80" s="198" t="n">
        <f aca="false">SUM(Y75:Y79)</f>
        <v>260</v>
      </c>
      <c r="Z80" s="198" t="n">
        <f aca="false">SUM(Z75:Z79)</f>
        <v>1200</v>
      </c>
      <c r="AA80" s="198" t="n">
        <f aca="false">SUM(AA75:AA79)</f>
        <v>-940</v>
      </c>
    </row>
    <row r="81" customFormat="false" ht="17.35" hidden="false" customHeight="false" outlineLevel="0" collapsed="false">
      <c r="A81" s="199"/>
      <c r="B81" s="199"/>
      <c r="Y81" s="186" t="s">
        <v>31</v>
      </c>
      <c r="Z81" s="186" t="s">
        <v>31</v>
      </c>
      <c r="AA81" s="186" t="s">
        <v>31</v>
      </c>
    </row>
    <row r="82" customFormat="false" ht="17.35" hidden="false" customHeight="false" outlineLevel="0" collapsed="false">
      <c r="A82" s="187" t="str">
        <f aca="false">C!F4</f>
        <v>SPAM FO LUNCH</v>
      </c>
      <c r="B82" s="187" t="s">
        <v>295</v>
      </c>
      <c r="C82" s="188" t="s">
        <v>296</v>
      </c>
      <c r="D82" s="188" t="s">
        <v>297</v>
      </c>
      <c r="E82" s="188" t="s">
        <v>298</v>
      </c>
      <c r="F82" s="188" t="s">
        <v>299</v>
      </c>
      <c r="G82" s="188" t="s">
        <v>300</v>
      </c>
      <c r="H82" s="188" t="s">
        <v>301</v>
      </c>
      <c r="I82" s="188" t="s">
        <v>302</v>
      </c>
      <c r="J82" s="188" t="s">
        <v>303</v>
      </c>
      <c r="K82" s="188" t="s">
        <v>304</v>
      </c>
      <c r="L82" s="188" t="s">
        <v>305</v>
      </c>
      <c r="M82" s="188" t="s">
        <v>306</v>
      </c>
      <c r="N82" s="188" t="s">
        <v>307</v>
      </c>
      <c r="O82" s="188" t="s">
        <v>308</v>
      </c>
      <c r="P82" s="188" t="s">
        <v>309</v>
      </c>
      <c r="Q82" s="188" t="s">
        <v>310</v>
      </c>
      <c r="R82" s="188" t="s">
        <v>311</v>
      </c>
      <c r="S82" s="188" t="s">
        <v>312</v>
      </c>
      <c r="T82" s="188" t="s">
        <v>313</v>
      </c>
      <c r="U82" s="188" t="s">
        <v>314</v>
      </c>
      <c r="V82" s="188" t="s">
        <v>315</v>
      </c>
      <c r="W82" s="188" t="s">
        <v>316</v>
      </c>
      <c r="X82" s="189" t="s">
        <v>317</v>
      </c>
      <c r="Y82" s="190" t="s">
        <v>209</v>
      </c>
      <c r="Z82" s="190" t="s">
        <v>318</v>
      </c>
      <c r="AA82" s="190" t="s">
        <v>319</v>
      </c>
    </row>
    <row r="83" customFormat="false" ht="15" hidden="false" customHeight="false" outlineLevel="0" collapsed="false">
      <c r="A83" s="191" t="str">
        <f aca="false">C!F5</f>
        <v>PABLO</v>
      </c>
      <c r="B83" s="192" t="n">
        <f aca="false">IF(B!F18=TRUE(),14,0)</f>
        <v>0</v>
      </c>
      <c r="C83" s="192" t="n">
        <f aca="false">C!$H5</f>
        <v>0</v>
      </c>
      <c r="D83" s="192" t="n">
        <f aca="false">D!$H5</f>
        <v>0</v>
      </c>
      <c r="E83" s="192" t="n">
        <f aca="false">E!$H5</f>
        <v>0</v>
      </c>
      <c r="F83" s="192" t="n">
        <f aca="false">F!$H5</f>
        <v>0</v>
      </c>
      <c r="G83" s="192" t="n">
        <f aca="false">G!$H5</f>
        <v>0</v>
      </c>
      <c r="H83" s="192" t="n">
        <f aca="false">H!$H5</f>
        <v>0</v>
      </c>
      <c r="I83" s="192" t="n">
        <f aca="false">I!$H5</f>
        <v>0</v>
      </c>
      <c r="J83" s="192" t="n">
        <f aca="false">J!$H5</f>
        <v>0</v>
      </c>
      <c r="K83" s="192" t="n">
        <f aca="false">K!$H5</f>
        <v>0</v>
      </c>
      <c r="L83" s="192" t="n">
        <f aca="false">L!$H5</f>
        <v>0</v>
      </c>
      <c r="M83" s="192" t="n">
        <f aca="false">M!$H5</f>
        <v>0</v>
      </c>
      <c r="N83" s="192" t="n">
        <f aca="false">N!$H5</f>
        <v>0</v>
      </c>
      <c r="O83" s="192" t="n">
        <f aca="false">O!$H5</f>
        <v>0</v>
      </c>
      <c r="P83" s="192" t="n">
        <f aca="false">P!$H5</f>
        <v>0</v>
      </c>
      <c r="Q83" s="192" t="n">
        <f aca="false">Q!$H5</f>
        <v>0</v>
      </c>
      <c r="R83" s="192" t="n">
        <f aca="false">R!$H5</f>
        <v>0</v>
      </c>
      <c r="S83" s="192" t="n">
        <f aca="false">S!$H5</f>
        <v>0</v>
      </c>
      <c r="T83" s="192" t="n">
        <f aca="false">T!$H5</f>
        <v>0</v>
      </c>
      <c r="U83" s="192" t="n">
        <f aca="false">U!$H5</f>
        <v>0</v>
      </c>
      <c r="V83" s="192" t="n">
        <f aca="false">V!$H5</f>
        <v>0</v>
      </c>
      <c r="W83" s="192" t="n">
        <f aca="false">W!$H5</f>
        <v>0</v>
      </c>
      <c r="X83" s="192" t="n">
        <f aca="false">X!$H5</f>
        <v>0</v>
      </c>
      <c r="Y83" s="193" t="n">
        <f aca="false">SUM(B83:X83)</f>
        <v>0</v>
      </c>
      <c r="Z83" s="193" t="n">
        <f aca="false">IF(B!E18="",0,B!$C$11+B!$C$8*B!F20)</f>
        <v>240</v>
      </c>
      <c r="AA83" s="193" t="n">
        <f aca="false">Y83-Z83</f>
        <v>-240</v>
      </c>
    </row>
    <row r="84" customFormat="false" ht="15" hidden="false" customHeight="false" outlineLevel="0" collapsed="false">
      <c r="A84" s="191" t="str">
        <f aca="false">C!F6</f>
        <v>ERIC</v>
      </c>
      <c r="B84" s="192" t="n">
        <f aca="false">IF(B!F23=TRUE(),14,0)</f>
        <v>0</v>
      </c>
      <c r="C84" s="192" t="n">
        <f aca="false">C!$H6</f>
        <v>0</v>
      </c>
      <c r="D84" s="192" t="n">
        <f aca="false">D!$H6</f>
        <v>0</v>
      </c>
      <c r="E84" s="192" t="n">
        <f aca="false">E!$H6</f>
        <v>0</v>
      </c>
      <c r="F84" s="192" t="n">
        <f aca="false">F!$H6</f>
        <v>0</v>
      </c>
      <c r="G84" s="192" t="n">
        <f aca="false">G!$H6</f>
        <v>0</v>
      </c>
      <c r="H84" s="192" t="n">
        <f aca="false">H!$H6</f>
        <v>0</v>
      </c>
      <c r="I84" s="192" t="n">
        <f aca="false">I!$H6</f>
        <v>0</v>
      </c>
      <c r="J84" s="192" t="n">
        <f aca="false">J!$H6</f>
        <v>0</v>
      </c>
      <c r="K84" s="192" t="n">
        <f aca="false">K!$H6</f>
        <v>0</v>
      </c>
      <c r="L84" s="192" t="n">
        <f aca="false">L!$H6</f>
        <v>0</v>
      </c>
      <c r="M84" s="192" t="n">
        <f aca="false">M!$H6</f>
        <v>0</v>
      </c>
      <c r="N84" s="192" t="n">
        <f aca="false">N!$H6</f>
        <v>0</v>
      </c>
      <c r="O84" s="192" t="n">
        <f aca="false">O!$H6</f>
        <v>0</v>
      </c>
      <c r="P84" s="192" t="n">
        <f aca="false">P!$H6</f>
        <v>0</v>
      </c>
      <c r="Q84" s="192" t="n">
        <f aca="false">Q!$H6</f>
        <v>0</v>
      </c>
      <c r="R84" s="192" t="n">
        <f aca="false">R!$H6</f>
        <v>0</v>
      </c>
      <c r="S84" s="192" t="n">
        <f aca="false">S!$H6</f>
        <v>0</v>
      </c>
      <c r="T84" s="192" t="n">
        <f aca="false">T!$H6</f>
        <v>0</v>
      </c>
      <c r="U84" s="192" t="n">
        <f aca="false">U!$H6</f>
        <v>0</v>
      </c>
      <c r="V84" s="192" t="n">
        <f aca="false">V!$H6</f>
        <v>0</v>
      </c>
      <c r="W84" s="192" t="n">
        <f aca="false">W!$H6</f>
        <v>0</v>
      </c>
      <c r="X84" s="192" t="n">
        <f aca="false">X!$H6</f>
        <v>0</v>
      </c>
      <c r="Y84" s="193" t="n">
        <f aca="false">SUM(B84:X84)</f>
        <v>0</v>
      </c>
      <c r="Z84" s="193" t="n">
        <f aca="false">IF(B!E23="",0,B!$C$11+B!$C$8*B!F25)</f>
        <v>240</v>
      </c>
      <c r="AA84" s="193" t="n">
        <f aca="false">Y84-Z84</f>
        <v>-240</v>
      </c>
    </row>
    <row r="85" customFormat="false" ht="15" hidden="false" customHeight="false" outlineLevel="0" collapsed="false">
      <c r="A85" s="191" t="str">
        <f aca="false">C!F7</f>
        <v>SABRINA</v>
      </c>
      <c r="B85" s="192" t="n">
        <f aca="false">IF(B!F28=TRUE(),14,0)</f>
        <v>0</v>
      </c>
      <c r="C85" s="192" t="n">
        <f aca="false">C!$H7</f>
        <v>5</v>
      </c>
      <c r="D85" s="192" t="n">
        <f aca="false">D!$H7</f>
        <v>0</v>
      </c>
      <c r="E85" s="192" t="n">
        <f aca="false">E!$H7</f>
        <v>0</v>
      </c>
      <c r="F85" s="192" t="n">
        <f aca="false">F!$H7</f>
        <v>0</v>
      </c>
      <c r="G85" s="192" t="n">
        <f aca="false">G!$H7</f>
        <v>0</v>
      </c>
      <c r="H85" s="192" t="n">
        <f aca="false">H!$H7</f>
        <v>0</v>
      </c>
      <c r="I85" s="192" t="n">
        <f aca="false">I!$H7</f>
        <v>0</v>
      </c>
      <c r="J85" s="192" t="n">
        <f aca="false">J!$H7</f>
        <v>0</v>
      </c>
      <c r="K85" s="192" t="n">
        <f aca="false">K!$H7</f>
        <v>0</v>
      </c>
      <c r="L85" s="192" t="n">
        <f aca="false">L!$H7</f>
        <v>0</v>
      </c>
      <c r="M85" s="192" t="n">
        <f aca="false">M!$H7</f>
        <v>0</v>
      </c>
      <c r="N85" s="192" t="n">
        <f aca="false">N!$H7</f>
        <v>0</v>
      </c>
      <c r="O85" s="192" t="n">
        <f aca="false">O!$H7</f>
        <v>0</v>
      </c>
      <c r="P85" s="192" t="n">
        <f aca="false">P!$H7</f>
        <v>0</v>
      </c>
      <c r="Q85" s="192" t="n">
        <f aca="false">Q!$H7</f>
        <v>0</v>
      </c>
      <c r="R85" s="192" t="n">
        <f aca="false">R!$H7</f>
        <v>0</v>
      </c>
      <c r="S85" s="192" t="n">
        <f aca="false">S!$H7</f>
        <v>0</v>
      </c>
      <c r="T85" s="192" t="n">
        <f aca="false">T!$H7</f>
        <v>0</v>
      </c>
      <c r="U85" s="192" t="n">
        <f aca="false">U!$H7</f>
        <v>0</v>
      </c>
      <c r="V85" s="192" t="n">
        <f aca="false">V!$H7</f>
        <v>0</v>
      </c>
      <c r="W85" s="192" t="n">
        <f aca="false">W!$H7</f>
        <v>0</v>
      </c>
      <c r="X85" s="192" t="n">
        <f aca="false">X!$H7</f>
        <v>0</v>
      </c>
      <c r="Y85" s="193" t="n">
        <f aca="false">SUM(B85:X85)</f>
        <v>5</v>
      </c>
      <c r="Z85" s="193" t="n">
        <f aca="false">IF(B!E28="",0,B!$C$11+B!$C$8*B!F30)</f>
        <v>240</v>
      </c>
      <c r="AA85" s="193" t="n">
        <f aca="false">Y85-Z85</f>
        <v>-235</v>
      </c>
    </row>
    <row r="86" customFormat="false" ht="15" hidden="false" customHeight="false" outlineLevel="0" collapsed="false">
      <c r="A86" s="191" t="str">
        <f aca="false">C!F8</f>
        <v>NICK</v>
      </c>
      <c r="B86" s="192" t="n">
        <f aca="false">IF(B!F33=TRUE(),14,0)</f>
        <v>0</v>
      </c>
      <c r="C86" s="192" t="n">
        <f aca="false">C!$H8</f>
        <v>5</v>
      </c>
      <c r="D86" s="192" t="n">
        <f aca="false">D!$H8</f>
        <v>0</v>
      </c>
      <c r="E86" s="192" t="n">
        <f aca="false">E!$H8</f>
        <v>0</v>
      </c>
      <c r="F86" s="192" t="n">
        <f aca="false">F!$H8</f>
        <v>0</v>
      </c>
      <c r="G86" s="192" t="n">
        <f aca="false">G!$H8</f>
        <v>0</v>
      </c>
      <c r="H86" s="192" t="n">
        <f aca="false">H!$H8</f>
        <v>0</v>
      </c>
      <c r="I86" s="192" t="n">
        <f aca="false">I!$H8</f>
        <v>0</v>
      </c>
      <c r="J86" s="192" t="n">
        <f aca="false">J!$H8</f>
        <v>0</v>
      </c>
      <c r="K86" s="192" t="n">
        <f aca="false">K!$H8</f>
        <v>0</v>
      </c>
      <c r="L86" s="192" t="n">
        <f aca="false">L!$H8</f>
        <v>0</v>
      </c>
      <c r="M86" s="192" t="n">
        <f aca="false">M!$H8</f>
        <v>0</v>
      </c>
      <c r="N86" s="192" t="n">
        <f aca="false">N!$H8</f>
        <v>0</v>
      </c>
      <c r="O86" s="192" t="n">
        <f aca="false">O!$H8</f>
        <v>0</v>
      </c>
      <c r="P86" s="192" t="n">
        <f aca="false">P!$H8</f>
        <v>0</v>
      </c>
      <c r="Q86" s="192" t="n">
        <f aca="false">Q!$H8</f>
        <v>0</v>
      </c>
      <c r="R86" s="192" t="n">
        <f aca="false">R!$H8</f>
        <v>0</v>
      </c>
      <c r="S86" s="192" t="n">
        <f aca="false">S!$H8</f>
        <v>0</v>
      </c>
      <c r="T86" s="192" t="n">
        <f aca="false">T!$H8</f>
        <v>0</v>
      </c>
      <c r="U86" s="192" t="n">
        <f aca="false">U!$H8</f>
        <v>0</v>
      </c>
      <c r="V86" s="192" t="n">
        <f aca="false">V!$H8</f>
        <v>0</v>
      </c>
      <c r="W86" s="192" t="n">
        <f aca="false">W!$H8</f>
        <v>0</v>
      </c>
      <c r="X86" s="192" t="n">
        <f aca="false">X!$H8</f>
        <v>0</v>
      </c>
      <c r="Y86" s="193" t="n">
        <f aca="false">SUM(B86:X86)</f>
        <v>5</v>
      </c>
      <c r="Z86" s="193" t="n">
        <f aca="false">IF(B!E33="",0,B!$C$11+B!$C$8*B!F35)</f>
        <v>240</v>
      </c>
      <c r="AA86" s="193" t="n">
        <f aca="false">Y86-Z86</f>
        <v>-235</v>
      </c>
    </row>
    <row r="87" customFormat="false" ht="15" hidden="false" customHeight="false" outlineLevel="0" collapsed="false">
      <c r="A87" s="191" t="str">
        <f aca="false">C!F9</f>
        <v>LON</v>
      </c>
      <c r="B87" s="192" t="n">
        <f aca="false">IF(B!F38=TRUE(),14,0)</f>
        <v>0</v>
      </c>
      <c r="C87" s="192" t="n">
        <f aca="false">C!$H9</f>
        <v>0</v>
      </c>
      <c r="D87" s="192" t="n">
        <f aca="false">D!$H9</f>
        <v>0</v>
      </c>
      <c r="E87" s="192" t="n">
        <f aca="false">E!$H9</f>
        <v>0</v>
      </c>
      <c r="F87" s="192" t="n">
        <f aca="false">F!$H9</f>
        <v>130</v>
      </c>
      <c r="G87" s="192" t="n">
        <f aca="false">G!$H9</f>
        <v>0</v>
      </c>
      <c r="H87" s="192" t="n">
        <f aca="false">H!$H9</f>
        <v>0</v>
      </c>
      <c r="I87" s="192" t="n">
        <f aca="false">I!$H9</f>
        <v>0</v>
      </c>
      <c r="J87" s="192" t="n">
        <f aca="false">J!$H9</f>
        <v>0</v>
      </c>
      <c r="K87" s="192" t="n">
        <f aca="false">K!$H9</f>
        <v>0</v>
      </c>
      <c r="L87" s="192" t="n">
        <f aca="false">L!$H9</f>
        <v>0</v>
      </c>
      <c r="M87" s="192" t="n">
        <f aca="false">M!$H9</f>
        <v>0</v>
      </c>
      <c r="N87" s="192" t="n">
        <f aca="false">N!$H9</f>
        <v>0</v>
      </c>
      <c r="O87" s="192" t="n">
        <f aca="false">O!$H9</f>
        <v>0</v>
      </c>
      <c r="P87" s="192" t="n">
        <f aca="false">P!$H9</f>
        <v>0</v>
      </c>
      <c r="Q87" s="192" t="n">
        <f aca="false">Q!$H9</f>
        <v>0</v>
      </c>
      <c r="R87" s="192" t="n">
        <f aca="false">R!$H9</f>
        <v>0</v>
      </c>
      <c r="S87" s="192" t="n">
        <f aca="false">S!$H9</f>
        <v>0</v>
      </c>
      <c r="T87" s="192" t="n">
        <f aca="false">T!$H9</f>
        <v>0</v>
      </c>
      <c r="U87" s="192" t="n">
        <f aca="false">U!$H9</f>
        <v>0</v>
      </c>
      <c r="V87" s="192" t="n">
        <f aca="false">V!$H9</f>
        <v>0</v>
      </c>
      <c r="W87" s="192" t="n">
        <f aca="false">W!$H9</f>
        <v>0</v>
      </c>
      <c r="X87" s="192" t="n">
        <f aca="false">X!$H9</f>
        <v>0</v>
      </c>
      <c r="Y87" s="193" t="n">
        <f aca="false">SUM(B87:X87)</f>
        <v>130</v>
      </c>
      <c r="Z87" s="193" t="n">
        <f aca="false">IF(B!E38="",0,B!$C$11+B!$C$8*B!F40)</f>
        <v>240</v>
      </c>
      <c r="AA87" s="193" t="n">
        <f aca="false">Y87-Z87</f>
        <v>-110</v>
      </c>
    </row>
    <row r="88" customFormat="false" ht="15" hidden="false" customHeight="false" outlineLevel="0" collapsed="false">
      <c r="A88" s="195" t="s">
        <v>320</v>
      </c>
      <c r="B88" s="196" t="n">
        <f aca="false">SUM(B83:B87)</f>
        <v>0</v>
      </c>
      <c r="C88" s="196" t="n">
        <f aca="false">SUM(C83:C87)</f>
        <v>10</v>
      </c>
      <c r="D88" s="196" t="n">
        <f aca="false">SUM(D83:D87)</f>
        <v>0</v>
      </c>
      <c r="E88" s="196" t="n">
        <f aca="false">SUM(E83:E87)</f>
        <v>0</v>
      </c>
      <c r="F88" s="196" t="n">
        <f aca="false">SUM(F83:F87)</f>
        <v>130</v>
      </c>
      <c r="G88" s="196" t="n">
        <f aca="false">SUM(G83:G87)</f>
        <v>0</v>
      </c>
      <c r="H88" s="196" t="n">
        <f aca="false">SUM(H83:H87)</f>
        <v>0</v>
      </c>
      <c r="I88" s="196" t="n">
        <f aca="false">SUM(I83:I87)</f>
        <v>0</v>
      </c>
      <c r="J88" s="196" t="n">
        <f aca="false">SUM(J83:J87)</f>
        <v>0</v>
      </c>
      <c r="K88" s="196" t="n">
        <f aca="false">SUM(K83:K87)</f>
        <v>0</v>
      </c>
      <c r="L88" s="196" t="n">
        <f aca="false">SUM(L83:L87)</f>
        <v>0</v>
      </c>
      <c r="M88" s="196" t="n">
        <f aca="false">SUM(M83:M87)</f>
        <v>0</v>
      </c>
      <c r="N88" s="196" t="n">
        <f aca="false">SUM(N83:N87)</f>
        <v>0</v>
      </c>
      <c r="O88" s="196" t="n">
        <f aca="false">SUM(O83:O87)</f>
        <v>0</v>
      </c>
      <c r="P88" s="196" t="n">
        <f aca="false">SUM(P83:P87)</f>
        <v>0</v>
      </c>
      <c r="Q88" s="196" t="n">
        <f aca="false">SUM(Q83:Q87)</f>
        <v>0</v>
      </c>
      <c r="R88" s="196" t="n">
        <f aca="false">SUM(R83:R87)</f>
        <v>0</v>
      </c>
      <c r="S88" s="196" t="n">
        <f aca="false">SUM(S83:S87)</f>
        <v>0</v>
      </c>
      <c r="T88" s="196" t="n">
        <f aca="false">SUM(T83:T87)</f>
        <v>0</v>
      </c>
      <c r="U88" s="196" t="n">
        <f aca="false">SUM(U83:U87)</f>
        <v>0</v>
      </c>
      <c r="V88" s="196" t="n">
        <f aca="false">SUM(V83:V87)</f>
        <v>0</v>
      </c>
      <c r="W88" s="196" t="n">
        <f aca="false">SUM(W83:W87)</f>
        <v>0</v>
      </c>
      <c r="X88" s="197" t="n">
        <f aca="false">SUM(X83:X87)</f>
        <v>0</v>
      </c>
      <c r="Y88" s="198" t="n">
        <f aca="false">SUM(Y83:Y87)</f>
        <v>140</v>
      </c>
      <c r="Z88" s="198" t="n">
        <f aca="false">SUM(Z83:Z87)</f>
        <v>1200</v>
      </c>
      <c r="AA88" s="198" t="n">
        <f aca="false">SUM(AA83:AA87)</f>
        <v>-1060</v>
      </c>
    </row>
    <row r="89" customFormat="false" ht="17.35" hidden="false" customHeight="false" outlineLevel="0" collapsed="false">
      <c r="A89" s="199"/>
      <c r="B89" s="199"/>
      <c r="Y89" s="186" t="s">
        <v>31</v>
      </c>
      <c r="Z89" s="186" t="s">
        <v>31</v>
      </c>
      <c r="AA89" s="186" t="s">
        <v>31</v>
      </c>
    </row>
    <row r="90" customFormat="false" ht="17.35" hidden="false" customHeight="false" outlineLevel="0" collapsed="false">
      <c r="A90" s="187" t="str">
        <f aca="false">C!F17</f>
        <v>BYE</v>
      </c>
      <c r="B90" s="187" t="s">
        <v>295</v>
      </c>
      <c r="C90" s="188" t="s">
        <v>296</v>
      </c>
      <c r="D90" s="188" t="s">
        <v>297</v>
      </c>
      <c r="E90" s="188" t="s">
        <v>298</v>
      </c>
      <c r="F90" s="188" t="s">
        <v>299</v>
      </c>
      <c r="G90" s="188" t="s">
        <v>300</v>
      </c>
      <c r="H90" s="188" t="s">
        <v>301</v>
      </c>
      <c r="I90" s="188" t="s">
        <v>302</v>
      </c>
      <c r="J90" s="188" t="s">
        <v>303</v>
      </c>
      <c r="K90" s="188" t="s">
        <v>304</v>
      </c>
      <c r="L90" s="188" t="s">
        <v>305</v>
      </c>
      <c r="M90" s="188" t="s">
        <v>306</v>
      </c>
      <c r="N90" s="188" t="s">
        <v>307</v>
      </c>
      <c r="O90" s="188" t="s">
        <v>308</v>
      </c>
      <c r="P90" s="188" t="s">
        <v>309</v>
      </c>
      <c r="Q90" s="188" t="s">
        <v>310</v>
      </c>
      <c r="R90" s="188" t="s">
        <v>311</v>
      </c>
      <c r="S90" s="188" t="s">
        <v>312</v>
      </c>
      <c r="T90" s="188" t="s">
        <v>313</v>
      </c>
      <c r="U90" s="188" t="s">
        <v>314</v>
      </c>
      <c r="V90" s="188" t="s">
        <v>315</v>
      </c>
      <c r="W90" s="188" t="s">
        <v>316</v>
      </c>
      <c r="X90" s="189" t="s">
        <v>317</v>
      </c>
      <c r="Y90" s="190" t="s">
        <v>209</v>
      </c>
      <c r="Z90" s="190" t="s">
        <v>318</v>
      </c>
      <c r="AA90" s="190" t="s">
        <v>319</v>
      </c>
    </row>
    <row r="91" customFormat="false" ht="15" hidden="false" customHeight="false" outlineLevel="0" collapsed="false">
      <c r="A91" s="191" t="n">
        <f aca="false">C!F18</f>
        <v>1</v>
      </c>
      <c r="B91" s="192" t="n">
        <f aca="false">IF(B!F61=TRUE(),14,0)</f>
        <v>0</v>
      </c>
      <c r="C91" s="192" t="n">
        <f aca="false">C!$H18</f>
        <v>0</v>
      </c>
      <c r="D91" s="192" t="n">
        <f aca="false">D!$H18</f>
        <v>0</v>
      </c>
      <c r="E91" s="192" t="n">
        <f aca="false">E!$H18</f>
        <v>0</v>
      </c>
      <c r="F91" s="192" t="n">
        <f aca="false">F!$H18</f>
        <v>0</v>
      </c>
      <c r="G91" s="192" t="n">
        <f aca="false">G!$H18</f>
        <v>0</v>
      </c>
      <c r="H91" s="192" t="n">
        <f aca="false">H!$H18</f>
        <v>0</v>
      </c>
      <c r="I91" s="192" t="n">
        <f aca="false">I!$H18</f>
        <v>0</v>
      </c>
      <c r="J91" s="192" t="n">
        <f aca="false">J!$H18</f>
        <v>0</v>
      </c>
      <c r="K91" s="192" t="n">
        <f aca="false">K!$H18</f>
        <v>0</v>
      </c>
      <c r="L91" s="192" t="n">
        <f aca="false">L!$H18</f>
        <v>0</v>
      </c>
      <c r="M91" s="192" t="n">
        <f aca="false">M!$H18</f>
        <v>0</v>
      </c>
      <c r="N91" s="192" t="n">
        <f aca="false">N!$H18</f>
        <v>0</v>
      </c>
      <c r="O91" s="192" t="n">
        <f aca="false">O!$H18</f>
        <v>0</v>
      </c>
      <c r="P91" s="192" t="n">
        <f aca="false">P!$H18</f>
        <v>0</v>
      </c>
      <c r="Q91" s="192" t="n">
        <f aca="false">Q!$H18</f>
        <v>0</v>
      </c>
      <c r="R91" s="192" t="n">
        <f aca="false">R!$H18</f>
        <v>0</v>
      </c>
      <c r="S91" s="192" t="n">
        <f aca="false">S!$H18</f>
        <v>0</v>
      </c>
      <c r="T91" s="192" t="n">
        <f aca="false">T!$H18</f>
        <v>0</v>
      </c>
      <c r="U91" s="192" t="n">
        <f aca="false">U!$H18</f>
        <v>0</v>
      </c>
      <c r="V91" s="192" t="n">
        <f aca="false">V!$H18</f>
        <v>0</v>
      </c>
      <c r="W91" s="192" t="n">
        <f aca="false">W!$H18</f>
        <v>0</v>
      </c>
      <c r="X91" s="192" t="n">
        <f aca="false">X!$H18</f>
        <v>0</v>
      </c>
      <c r="Y91" s="193" t="n">
        <f aca="false">SUM(B91:X91)</f>
        <v>0</v>
      </c>
      <c r="Z91" s="193" t="n">
        <f aca="false">IF(B!E61="",0,B!$C$11+B!$C$8*B!F63)</f>
        <v>240</v>
      </c>
      <c r="AA91" s="193" t="n">
        <f aca="false">Y91-Z91</f>
        <v>-240</v>
      </c>
    </row>
    <row r="92" customFormat="false" ht="15" hidden="false" customHeight="false" outlineLevel="0" collapsed="false">
      <c r="A92" s="191" t="n">
        <f aca="false">C!F19</f>
        <v>2</v>
      </c>
      <c r="B92" s="192" t="n">
        <f aca="false">IF(B!F66=TRUE(),14,0)</f>
        <v>0</v>
      </c>
      <c r="C92" s="192" t="n">
        <f aca="false">C!$H19</f>
        <v>0</v>
      </c>
      <c r="D92" s="192" t="n">
        <f aca="false">D!$H19</f>
        <v>0</v>
      </c>
      <c r="E92" s="192" t="n">
        <f aca="false">E!$H19</f>
        <v>0</v>
      </c>
      <c r="F92" s="192" t="n">
        <f aca="false">F!$H19</f>
        <v>0</v>
      </c>
      <c r="G92" s="192" t="n">
        <f aca="false">G!$H19</f>
        <v>0</v>
      </c>
      <c r="H92" s="192" t="n">
        <f aca="false">H!$H19</f>
        <v>0</v>
      </c>
      <c r="I92" s="192" t="n">
        <f aca="false">I!$H19</f>
        <v>0</v>
      </c>
      <c r="J92" s="192" t="n">
        <f aca="false">J!$H19</f>
        <v>0</v>
      </c>
      <c r="K92" s="192" t="n">
        <f aca="false">K!$H19</f>
        <v>0</v>
      </c>
      <c r="L92" s="192" t="n">
        <f aca="false">L!$H19</f>
        <v>0</v>
      </c>
      <c r="M92" s="192" t="n">
        <f aca="false">M!$H19</f>
        <v>0</v>
      </c>
      <c r="N92" s="192" t="n">
        <f aca="false">N!$H19</f>
        <v>0</v>
      </c>
      <c r="O92" s="192" t="n">
        <f aca="false">O!$H19</f>
        <v>0</v>
      </c>
      <c r="P92" s="192" t="n">
        <f aca="false">P!$H19</f>
        <v>0</v>
      </c>
      <c r="Q92" s="192" t="n">
        <f aca="false">Q!$H19</f>
        <v>0</v>
      </c>
      <c r="R92" s="192" t="n">
        <f aca="false">R!$H19</f>
        <v>0</v>
      </c>
      <c r="S92" s="192" t="n">
        <f aca="false">S!$H19</f>
        <v>0</v>
      </c>
      <c r="T92" s="192" t="n">
        <f aca="false">T!$H19</f>
        <v>0</v>
      </c>
      <c r="U92" s="192" t="n">
        <f aca="false">U!$H19</f>
        <v>0</v>
      </c>
      <c r="V92" s="192" t="n">
        <f aca="false">V!$H19</f>
        <v>0</v>
      </c>
      <c r="W92" s="192" t="n">
        <f aca="false">W!$H19</f>
        <v>0</v>
      </c>
      <c r="X92" s="192" t="n">
        <f aca="false">X!$H19</f>
        <v>0</v>
      </c>
      <c r="Y92" s="193" t="n">
        <f aca="false">SUM(B92:X92)</f>
        <v>0</v>
      </c>
      <c r="Z92" s="193" t="n">
        <f aca="false">IF(B!E66="",0,B!$C$11+B!$C$8*B!F68)</f>
        <v>240</v>
      </c>
      <c r="AA92" s="193" t="n">
        <f aca="false">Y92-Z92</f>
        <v>-240</v>
      </c>
    </row>
    <row r="93" customFormat="false" ht="15" hidden="false" customHeight="false" outlineLevel="0" collapsed="false">
      <c r="A93" s="191" t="n">
        <f aca="false">C!F20</f>
        <v>3</v>
      </c>
      <c r="B93" s="192" t="n">
        <f aca="false">IF(B!F71=TRUE(),14,0)</f>
        <v>0</v>
      </c>
      <c r="C93" s="192" t="n">
        <f aca="false">C!$H20</f>
        <v>0</v>
      </c>
      <c r="D93" s="192" t="n">
        <f aca="false">D!$H20</f>
        <v>0</v>
      </c>
      <c r="E93" s="192" t="n">
        <f aca="false">E!$H20</f>
        <v>0</v>
      </c>
      <c r="F93" s="192" t="n">
        <f aca="false">F!$H20</f>
        <v>0</v>
      </c>
      <c r="G93" s="192" t="n">
        <f aca="false">G!$H20</f>
        <v>0</v>
      </c>
      <c r="H93" s="192" t="n">
        <f aca="false">H!$H20</f>
        <v>0</v>
      </c>
      <c r="I93" s="192" t="n">
        <f aca="false">I!$H20</f>
        <v>0</v>
      </c>
      <c r="J93" s="192" t="n">
        <f aca="false">J!$H20</f>
        <v>0</v>
      </c>
      <c r="K93" s="192" t="n">
        <f aca="false">K!$H20</f>
        <v>0</v>
      </c>
      <c r="L93" s="192" t="n">
        <f aca="false">L!$H20</f>
        <v>0</v>
      </c>
      <c r="M93" s="192" t="n">
        <f aca="false">M!$H20</f>
        <v>0</v>
      </c>
      <c r="N93" s="192" t="n">
        <f aca="false">N!$H20</f>
        <v>0</v>
      </c>
      <c r="O93" s="192" t="n">
        <f aca="false">O!$H20</f>
        <v>0</v>
      </c>
      <c r="P93" s="192" t="n">
        <f aca="false">P!$H20</f>
        <v>0</v>
      </c>
      <c r="Q93" s="192" t="n">
        <f aca="false">Q!$H20</f>
        <v>0</v>
      </c>
      <c r="R93" s="192" t="n">
        <f aca="false">R!$H20</f>
        <v>0</v>
      </c>
      <c r="S93" s="192" t="n">
        <f aca="false">S!$H20</f>
        <v>0</v>
      </c>
      <c r="T93" s="192" t="n">
        <f aca="false">T!$H20</f>
        <v>0</v>
      </c>
      <c r="U93" s="192" t="n">
        <f aca="false">U!$H20</f>
        <v>0</v>
      </c>
      <c r="V93" s="192" t="n">
        <f aca="false">V!$H20</f>
        <v>0</v>
      </c>
      <c r="W93" s="192" t="n">
        <f aca="false">W!$H20</f>
        <v>0</v>
      </c>
      <c r="X93" s="192" t="n">
        <f aca="false">X!$H20</f>
        <v>0</v>
      </c>
      <c r="Y93" s="193" t="n">
        <f aca="false">SUM(B93:X93)</f>
        <v>0</v>
      </c>
      <c r="Z93" s="193" t="n">
        <f aca="false">IF(B!E71="",0,B!$C$11+B!$C$8*B!F73)</f>
        <v>240</v>
      </c>
      <c r="AA93" s="193" t="n">
        <f aca="false">Y93-Z93</f>
        <v>-240</v>
      </c>
    </row>
    <row r="94" customFormat="false" ht="15" hidden="false" customHeight="false" outlineLevel="0" collapsed="false">
      <c r="A94" s="191" t="n">
        <f aca="false">C!F21</f>
        <v>4</v>
      </c>
      <c r="B94" s="192" t="n">
        <f aca="false">IF(B!F76=TRUE(),14,0)</f>
        <v>0</v>
      </c>
      <c r="C94" s="192" t="n">
        <f aca="false">C!$H21</f>
        <v>0</v>
      </c>
      <c r="D94" s="192" t="n">
        <f aca="false">D!$H21</f>
        <v>0</v>
      </c>
      <c r="E94" s="192" t="n">
        <f aca="false">E!$H21</f>
        <v>0</v>
      </c>
      <c r="F94" s="192" t="n">
        <f aca="false">F!$H21</f>
        <v>0</v>
      </c>
      <c r="G94" s="192" t="n">
        <f aca="false">G!$H21</f>
        <v>0</v>
      </c>
      <c r="H94" s="192" t="n">
        <f aca="false">H!$H21</f>
        <v>0</v>
      </c>
      <c r="I94" s="192" t="n">
        <f aca="false">I!$H21</f>
        <v>0</v>
      </c>
      <c r="J94" s="192" t="n">
        <f aca="false">J!$H21</f>
        <v>0</v>
      </c>
      <c r="K94" s="192" t="n">
        <f aca="false">K!$H21</f>
        <v>0</v>
      </c>
      <c r="L94" s="192" t="n">
        <f aca="false">L!$H21</f>
        <v>0</v>
      </c>
      <c r="M94" s="192" t="n">
        <f aca="false">M!$H21</f>
        <v>0</v>
      </c>
      <c r="N94" s="192" t="n">
        <f aca="false">N!$H21</f>
        <v>0</v>
      </c>
      <c r="O94" s="192" t="n">
        <f aca="false">O!$H21</f>
        <v>0</v>
      </c>
      <c r="P94" s="192" t="n">
        <f aca="false">P!$H21</f>
        <v>0</v>
      </c>
      <c r="Q94" s="192" t="n">
        <f aca="false">Q!$H21</f>
        <v>0</v>
      </c>
      <c r="R94" s="192" t="n">
        <f aca="false">R!$H21</f>
        <v>0</v>
      </c>
      <c r="S94" s="192" t="n">
        <f aca="false">S!$H21</f>
        <v>0</v>
      </c>
      <c r="T94" s="192" t="n">
        <f aca="false">T!$H21</f>
        <v>0</v>
      </c>
      <c r="U94" s="192" t="n">
        <f aca="false">U!$H21</f>
        <v>0</v>
      </c>
      <c r="V94" s="192" t="n">
        <f aca="false">V!$H21</f>
        <v>0</v>
      </c>
      <c r="W94" s="192" t="n">
        <f aca="false">W!$H21</f>
        <v>0</v>
      </c>
      <c r="X94" s="192" t="n">
        <f aca="false">X!$H21</f>
        <v>0</v>
      </c>
      <c r="Y94" s="193" t="n">
        <f aca="false">SUM(B94:X94)</f>
        <v>0</v>
      </c>
      <c r="Z94" s="193" t="n">
        <f aca="false">IF(B!E76="",0,B!$C$11+B!$C$8*B!F78)</f>
        <v>240</v>
      </c>
      <c r="AA94" s="193" t="n">
        <f aca="false">Y94-Z94</f>
        <v>-240</v>
      </c>
    </row>
    <row r="95" customFormat="false" ht="15" hidden="false" customHeight="false" outlineLevel="0" collapsed="false">
      <c r="A95" s="191" t="n">
        <f aca="false">C!F22</f>
        <v>5</v>
      </c>
      <c r="B95" s="192" t="n">
        <f aca="false">IF(B!F81=TRUE(),14,0)</f>
        <v>0</v>
      </c>
      <c r="C95" s="192" t="n">
        <f aca="false">C!$H22</f>
        <v>0</v>
      </c>
      <c r="D95" s="192" t="n">
        <f aca="false">D!$H22</f>
        <v>0</v>
      </c>
      <c r="E95" s="192" t="n">
        <f aca="false">E!$H22</f>
        <v>0</v>
      </c>
      <c r="F95" s="192" t="n">
        <f aca="false">F!$H22</f>
        <v>0</v>
      </c>
      <c r="G95" s="192" t="n">
        <f aca="false">G!$H22</f>
        <v>0</v>
      </c>
      <c r="H95" s="192" t="n">
        <f aca="false">H!$H22</f>
        <v>0</v>
      </c>
      <c r="I95" s="192" t="n">
        <f aca="false">I!$H22</f>
        <v>0</v>
      </c>
      <c r="J95" s="192" t="n">
        <f aca="false">J!$H22</f>
        <v>0</v>
      </c>
      <c r="K95" s="192" t="n">
        <f aca="false">K!$H22</f>
        <v>0</v>
      </c>
      <c r="L95" s="192" t="n">
        <f aca="false">L!$H22</f>
        <v>0</v>
      </c>
      <c r="M95" s="192" t="n">
        <f aca="false">M!$H22</f>
        <v>0</v>
      </c>
      <c r="N95" s="192" t="n">
        <f aca="false">N!$H22</f>
        <v>0</v>
      </c>
      <c r="O95" s="192" t="n">
        <f aca="false">O!$H22</f>
        <v>0</v>
      </c>
      <c r="P95" s="192" t="n">
        <f aca="false">P!$H22</f>
        <v>0</v>
      </c>
      <c r="Q95" s="192" t="n">
        <f aca="false">Q!$H22</f>
        <v>0</v>
      </c>
      <c r="R95" s="192" t="n">
        <f aca="false">R!$H22</f>
        <v>0</v>
      </c>
      <c r="S95" s="192" t="n">
        <f aca="false">S!$H22</f>
        <v>0</v>
      </c>
      <c r="T95" s="192" t="n">
        <f aca="false">T!$H22</f>
        <v>0</v>
      </c>
      <c r="U95" s="192" t="n">
        <f aca="false">U!$H22</f>
        <v>0</v>
      </c>
      <c r="V95" s="192" t="n">
        <f aca="false">V!$H22</f>
        <v>0</v>
      </c>
      <c r="W95" s="192" t="n">
        <f aca="false">W!$H22</f>
        <v>0</v>
      </c>
      <c r="X95" s="192" t="n">
        <f aca="false">X!$H22</f>
        <v>0</v>
      </c>
      <c r="Y95" s="193" t="n">
        <f aca="false">SUM(B95:X95)</f>
        <v>0</v>
      </c>
      <c r="Z95" s="193" t="n">
        <f aca="false">IF(B!E81="",0,B!$C$11+B!$C$8*B!F83)</f>
        <v>240</v>
      </c>
      <c r="AA95" s="193" t="n">
        <f aca="false">Y95-Z95</f>
        <v>-240</v>
      </c>
    </row>
    <row r="96" customFormat="false" ht="15" hidden="false" customHeight="false" outlineLevel="0" collapsed="false">
      <c r="A96" s="195" t="s">
        <v>320</v>
      </c>
      <c r="B96" s="196" t="n">
        <f aca="false">SUM(B91:B95)</f>
        <v>0</v>
      </c>
      <c r="C96" s="196" t="n">
        <f aca="false">SUM(C91:C95)</f>
        <v>0</v>
      </c>
      <c r="D96" s="196" t="n">
        <f aca="false">SUM(D91:D95)</f>
        <v>0</v>
      </c>
      <c r="E96" s="196" t="n">
        <f aca="false">SUM(E91:E95)</f>
        <v>0</v>
      </c>
      <c r="F96" s="196" t="n">
        <f aca="false">SUM(F91:F95)</f>
        <v>0</v>
      </c>
      <c r="G96" s="196" t="n">
        <f aca="false">SUM(G91:G95)</f>
        <v>0</v>
      </c>
      <c r="H96" s="196" t="n">
        <f aca="false">SUM(H91:H95)</f>
        <v>0</v>
      </c>
      <c r="I96" s="196" t="n">
        <f aca="false">SUM(I91:I95)</f>
        <v>0</v>
      </c>
      <c r="J96" s="196" t="n">
        <f aca="false">SUM(J91:J95)</f>
        <v>0</v>
      </c>
      <c r="K96" s="196" t="n">
        <f aca="false">SUM(K91:K95)</f>
        <v>0</v>
      </c>
      <c r="L96" s="196" t="n">
        <f aca="false">SUM(L91:L95)</f>
        <v>0</v>
      </c>
      <c r="M96" s="196" t="n">
        <f aca="false">SUM(M91:M95)</f>
        <v>0</v>
      </c>
      <c r="N96" s="196" t="n">
        <f aca="false">SUM(N91:N95)</f>
        <v>0</v>
      </c>
      <c r="O96" s="196" t="n">
        <f aca="false">SUM(O91:O95)</f>
        <v>0</v>
      </c>
      <c r="P96" s="196" t="n">
        <f aca="false">SUM(P91:P95)</f>
        <v>0</v>
      </c>
      <c r="Q96" s="196" t="n">
        <f aca="false">SUM(Q91:Q95)</f>
        <v>0</v>
      </c>
      <c r="R96" s="196" t="n">
        <f aca="false">SUM(R91:R95)</f>
        <v>0</v>
      </c>
      <c r="S96" s="196" t="n">
        <f aca="false">SUM(S91:S95)</f>
        <v>0</v>
      </c>
      <c r="T96" s="196" t="n">
        <f aca="false">SUM(T91:T95)</f>
        <v>0</v>
      </c>
      <c r="U96" s="196" t="n">
        <f aca="false">SUM(U91:U95)</f>
        <v>0</v>
      </c>
      <c r="V96" s="196" t="n">
        <f aca="false">SUM(V91:V95)</f>
        <v>0</v>
      </c>
      <c r="W96" s="196" t="n">
        <f aca="false">SUM(W91:W95)</f>
        <v>0</v>
      </c>
      <c r="X96" s="197" t="n">
        <f aca="false">SUM(X91:X95)</f>
        <v>0</v>
      </c>
      <c r="Y96" s="198" t="n">
        <f aca="false">SUM(Y91:Y95)</f>
        <v>0</v>
      </c>
      <c r="Z96" s="198" t="n">
        <f aca="false">SUM(Z91:Z95)</f>
        <v>1200</v>
      </c>
      <c r="AA96" s="198" t="n">
        <f aca="false">SUM(AA91:AA95)</f>
        <v>-1200</v>
      </c>
    </row>
    <row r="97" customFormat="false" ht="17.35" hidden="false" customHeight="false" outlineLevel="0" collapsed="false">
      <c r="A97" s="199"/>
      <c r="B97" s="199"/>
      <c r="Y97" s="186" t="s">
        <v>31</v>
      </c>
      <c r="Z97" s="186" t="s">
        <v>31</v>
      </c>
      <c r="AA97" s="186" t="s">
        <v>31</v>
      </c>
    </row>
    <row r="98" customFormat="false" ht="17.35" hidden="false" customHeight="false" outlineLevel="0" collapsed="false">
      <c r="A98" s="187" t="n">
        <f aca="false">C!F30</f>
        <v>0</v>
      </c>
      <c r="B98" s="187" t="s">
        <v>295</v>
      </c>
      <c r="C98" s="188" t="s">
        <v>296</v>
      </c>
      <c r="D98" s="188" t="s">
        <v>297</v>
      </c>
      <c r="E98" s="188" t="s">
        <v>298</v>
      </c>
      <c r="F98" s="188" t="s">
        <v>299</v>
      </c>
      <c r="G98" s="188" t="s">
        <v>300</v>
      </c>
      <c r="H98" s="188" t="s">
        <v>301</v>
      </c>
      <c r="I98" s="188" t="s">
        <v>302</v>
      </c>
      <c r="J98" s="188" t="s">
        <v>303</v>
      </c>
      <c r="K98" s="188" t="s">
        <v>304</v>
      </c>
      <c r="L98" s="188" t="s">
        <v>305</v>
      </c>
      <c r="M98" s="188" t="s">
        <v>306</v>
      </c>
      <c r="N98" s="188" t="s">
        <v>307</v>
      </c>
      <c r="O98" s="188" t="s">
        <v>308</v>
      </c>
      <c r="P98" s="188" t="s">
        <v>309</v>
      </c>
      <c r="Q98" s="188" t="s">
        <v>310</v>
      </c>
      <c r="R98" s="188" t="s">
        <v>311</v>
      </c>
      <c r="S98" s="188" t="s">
        <v>312</v>
      </c>
      <c r="T98" s="188" t="s">
        <v>313</v>
      </c>
      <c r="U98" s="188" t="s">
        <v>314</v>
      </c>
      <c r="V98" s="188" t="s">
        <v>315</v>
      </c>
      <c r="W98" s="188" t="s">
        <v>316</v>
      </c>
      <c r="X98" s="189" t="s">
        <v>317</v>
      </c>
      <c r="Y98" s="190" t="s">
        <v>209</v>
      </c>
      <c r="Z98" s="190" t="s">
        <v>318</v>
      </c>
      <c r="AA98" s="190" t="s">
        <v>319</v>
      </c>
    </row>
    <row r="99" customFormat="false" ht="15" hidden="false" customHeight="false" outlineLevel="0" collapsed="false">
      <c r="A99" s="191" t="n">
        <f aca="false">C!F31</f>
        <v>0</v>
      </c>
      <c r="B99" s="192" t="n">
        <f aca="false">IF(B!F104=TRUE(),14,0)</f>
        <v>0</v>
      </c>
      <c r="C99" s="192" t="n">
        <f aca="false">C!$H31</f>
        <v>0</v>
      </c>
      <c r="D99" s="192" t="n">
        <f aca="false">D!$H31</f>
        <v>0</v>
      </c>
      <c r="E99" s="192" t="n">
        <f aca="false">E!$H31</f>
        <v>0</v>
      </c>
      <c r="F99" s="192" t="n">
        <f aca="false">F!$H31</f>
        <v>0</v>
      </c>
      <c r="G99" s="192" t="n">
        <f aca="false">G!$H31</f>
        <v>0</v>
      </c>
      <c r="H99" s="192" t="n">
        <f aca="false">H!$H31</f>
        <v>0</v>
      </c>
      <c r="I99" s="192" t="n">
        <f aca="false">I!$H31</f>
        <v>0</v>
      </c>
      <c r="J99" s="192" t="n">
        <f aca="false">J!$H31</f>
        <v>0</v>
      </c>
      <c r="K99" s="192" t="n">
        <f aca="false">K!$H31</f>
        <v>0</v>
      </c>
      <c r="L99" s="192" t="n">
        <f aca="false">L!$H31</f>
        <v>0</v>
      </c>
      <c r="M99" s="192" t="n">
        <f aca="false">M!$H31</f>
        <v>0</v>
      </c>
      <c r="N99" s="192" t="n">
        <f aca="false">N!$H31</f>
        <v>0</v>
      </c>
      <c r="O99" s="192" t="n">
        <f aca="false">O!$H31</f>
        <v>0</v>
      </c>
      <c r="P99" s="192" t="n">
        <f aca="false">P!$H31</f>
        <v>0</v>
      </c>
      <c r="Q99" s="192" t="n">
        <f aca="false">Q!$H31</f>
        <v>0</v>
      </c>
      <c r="R99" s="192" t="n">
        <f aca="false">R!$H31</f>
        <v>0</v>
      </c>
      <c r="S99" s="192" t="n">
        <f aca="false">S!$H31</f>
        <v>0</v>
      </c>
      <c r="T99" s="192" t="n">
        <f aca="false">T!$H31</f>
        <v>0</v>
      </c>
      <c r="U99" s="192" t="n">
        <f aca="false">U!$H31</f>
        <v>0</v>
      </c>
      <c r="V99" s="192" t="n">
        <f aca="false">V!$H31</f>
        <v>0</v>
      </c>
      <c r="W99" s="192" t="n">
        <f aca="false">W!$H31</f>
        <v>0</v>
      </c>
      <c r="X99" s="192" t="n">
        <f aca="false">X!$H31</f>
        <v>0</v>
      </c>
      <c r="Y99" s="193" t="n">
        <f aca="false">SUM(B99:X99)</f>
        <v>0</v>
      </c>
      <c r="Z99" s="193" t="n">
        <f aca="false">IF(B!E104="",0,B!$C$11+B!$C$8*B!F106)</f>
        <v>0</v>
      </c>
      <c r="AA99" s="193" t="n">
        <f aca="false">Y99-Z99</f>
        <v>0</v>
      </c>
    </row>
    <row r="100" customFormat="false" ht="15" hidden="false" customHeight="false" outlineLevel="0" collapsed="false">
      <c r="A100" s="191" t="n">
        <f aca="false">C!F32</f>
        <v>0</v>
      </c>
      <c r="B100" s="192" t="n">
        <f aca="false">IF(B!F109=TRUE(),14,0)</f>
        <v>0</v>
      </c>
      <c r="C100" s="192" t="n">
        <f aca="false">C!$H32</f>
        <v>0</v>
      </c>
      <c r="D100" s="192" t="n">
        <f aca="false">D!$H32</f>
        <v>0</v>
      </c>
      <c r="E100" s="192" t="n">
        <f aca="false">E!$H32</f>
        <v>0</v>
      </c>
      <c r="F100" s="192" t="n">
        <f aca="false">F!$H32</f>
        <v>0</v>
      </c>
      <c r="G100" s="192" t="n">
        <f aca="false">G!$H32</f>
        <v>0</v>
      </c>
      <c r="H100" s="192" t="n">
        <f aca="false">H!$H32</f>
        <v>0</v>
      </c>
      <c r="I100" s="192" t="n">
        <f aca="false">I!$H32</f>
        <v>0</v>
      </c>
      <c r="J100" s="192" t="n">
        <f aca="false">J!$H32</f>
        <v>0</v>
      </c>
      <c r="K100" s="192" t="n">
        <f aca="false">K!$H32</f>
        <v>0</v>
      </c>
      <c r="L100" s="192" t="n">
        <f aca="false">L!$H32</f>
        <v>0</v>
      </c>
      <c r="M100" s="192" t="n">
        <f aca="false">M!$H32</f>
        <v>0</v>
      </c>
      <c r="N100" s="192" t="n">
        <f aca="false">N!$H32</f>
        <v>0</v>
      </c>
      <c r="O100" s="192" t="n">
        <f aca="false">O!$H32</f>
        <v>0</v>
      </c>
      <c r="P100" s="192" t="n">
        <f aca="false">P!$H32</f>
        <v>0</v>
      </c>
      <c r="Q100" s="192" t="n">
        <f aca="false">Q!$H32</f>
        <v>0</v>
      </c>
      <c r="R100" s="192" t="n">
        <f aca="false">R!$H32</f>
        <v>0</v>
      </c>
      <c r="S100" s="192" t="n">
        <f aca="false">S!$H32</f>
        <v>0</v>
      </c>
      <c r="T100" s="192" t="n">
        <f aca="false">T!$H32</f>
        <v>0</v>
      </c>
      <c r="U100" s="192" t="n">
        <f aca="false">U!$H32</f>
        <v>0</v>
      </c>
      <c r="V100" s="192" t="n">
        <f aca="false">V!$H32</f>
        <v>0</v>
      </c>
      <c r="W100" s="192" t="n">
        <f aca="false">W!$H32</f>
        <v>0</v>
      </c>
      <c r="X100" s="192" t="n">
        <f aca="false">X!$H32</f>
        <v>0</v>
      </c>
      <c r="Y100" s="193" t="n">
        <f aca="false">SUM(B100:X100)</f>
        <v>0</v>
      </c>
      <c r="Z100" s="193" t="n">
        <f aca="false">IF(B!E109="",0,B!$C$11+B!$C$8*B!F111)</f>
        <v>0</v>
      </c>
      <c r="AA100" s="193" t="n">
        <f aca="false">Y100-Z100</f>
        <v>0</v>
      </c>
    </row>
    <row r="101" customFormat="false" ht="15" hidden="false" customHeight="false" outlineLevel="0" collapsed="false">
      <c r="A101" s="191" t="n">
        <f aca="false">C!F33</f>
        <v>0</v>
      </c>
      <c r="B101" s="192" t="n">
        <f aca="false">IF(B!F114=TRUE(),14,0)</f>
        <v>0</v>
      </c>
      <c r="C101" s="192" t="n">
        <f aca="false">C!$H33</f>
        <v>0</v>
      </c>
      <c r="D101" s="192" t="n">
        <f aca="false">D!$H33</f>
        <v>0</v>
      </c>
      <c r="E101" s="192" t="n">
        <f aca="false">E!$H33</f>
        <v>0</v>
      </c>
      <c r="F101" s="192" t="n">
        <f aca="false">F!$H33</f>
        <v>0</v>
      </c>
      <c r="G101" s="192" t="n">
        <f aca="false">G!$H33</f>
        <v>0</v>
      </c>
      <c r="H101" s="192" t="n">
        <f aca="false">H!$H33</f>
        <v>0</v>
      </c>
      <c r="I101" s="192" t="n">
        <f aca="false">I!$H33</f>
        <v>0</v>
      </c>
      <c r="J101" s="192" t="n">
        <f aca="false">J!$H33</f>
        <v>0</v>
      </c>
      <c r="K101" s="192" t="n">
        <f aca="false">K!$H33</f>
        <v>0</v>
      </c>
      <c r="L101" s="192" t="n">
        <f aca="false">L!$H33</f>
        <v>0</v>
      </c>
      <c r="M101" s="192" t="n">
        <f aca="false">M!$H33</f>
        <v>0</v>
      </c>
      <c r="N101" s="192" t="n">
        <f aca="false">N!$H33</f>
        <v>0</v>
      </c>
      <c r="O101" s="192" t="n">
        <f aca="false">O!$H33</f>
        <v>0</v>
      </c>
      <c r="P101" s="192" t="n">
        <f aca="false">P!$H33</f>
        <v>0</v>
      </c>
      <c r="Q101" s="192" t="n">
        <f aca="false">Q!$H33</f>
        <v>0</v>
      </c>
      <c r="R101" s="192" t="n">
        <f aca="false">R!$H33</f>
        <v>0</v>
      </c>
      <c r="S101" s="192" t="n">
        <f aca="false">S!$H33</f>
        <v>0</v>
      </c>
      <c r="T101" s="192" t="n">
        <f aca="false">T!$H33</f>
        <v>0</v>
      </c>
      <c r="U101" s="192" t="n">
        <f aca="false">U!$H33</f>
        <v>0</v>
      </c>
      <c r="V101" s="192" t="n">
        <f aca="false">V!$H33</f>
        <v>0</v>
      </c>
      <c r="W101" s="192" t="n">
        <f aca="false">W!$H33</f>
        <v>0</v>
      </c>
      <c r="X101" s="192" t="n">
        <f aca="false">X!$H33</f>
        <v>0</v>
      </c>
      <c r="Y101" s="193" t="n">
        <f aca="false">SUM(B101:X101)</f>
        <v>0</v>
      </c>
      <c r="Z101" s="193" t="n">
        <f aca="false">IF(B!E114="",0,B!$C$11+B!$C$8*B!F116)</f>
        <v>0</v>
      </c>
      <c r="AA101" s="193" t="n">
        <f aca="false">Y101-Z101</f>
        <v>0</v>
      </c>
    </row>
    <row r="102" customFormat="false" ht="15" hidden="false" customHeight="false" outlineLevel="0" collapsed="false">
      <c r="A102" s="191" t="n">
        <f aca="false">C!F34</f>
        <v>0</v>
      </c>
      <c r="B102" s="192" t="n">
        <f aca="false">IF(B!F119=TRUE(),14,0)</f>
        <v>0</v>
      </c>
      <c r="C102" s="192" t="n">
        <f aca="false">C!$H34</f>
        <v>0</v>
      </c>
      <c r="D102" s="192" t="n">
        <f aca="false">D!$H34</f>
        <v>0</v>
      </c>
      <c r="E102" s="192" t="n">
        <f aca="false">E!$H34</f>
        <v>0</v>
      </c>
      <c r="F102" s="192" t="n">
        <f aca="false">F!$H34</f>
        <v>0</v>
      </c>
      <c r="G102" s="192" t="n">
        <f aca="false">G!$H34</f>
        <v>0</v>
      </c>
      <c r="H102" s="192" t="n">
        <f aca="false">H!$H34</f>
        <v>0</v>
      </c>
      <c r="I102" s="192" t="n">
        <f aca="false">I!$H34</f>
        <v>0</v>
      </c>
      <c r="J102" s="192" t="n">
        <f aca="false">J!$H34</f>
        <v>0</v>
      </c>
      <c r="K102" s="192" t="n">
        <f aca="false">K!$H34</f>
        <v>0</v>
      </c>
      <c r="L102" s="192" t="n">
        <f aca="false">L!$H34</f>
        <v>0</v>
      </c>
      <c r="M102" s="192" t="n">
        <f aca="false">M!$H34</f>
        <v>0</v>
      </c>
      <c r="N102" s="192" t="n">
        <f aca="false">N!$H34</f>
        <v>0</v>
      </c>
      <c r="O102" s="192" t="n">
        <f aca="false">O!$H34</f>
        <v>0</v>
      </c>
      <c r="P102" s="192" t="n">
        <f aca="false">P!$H34</f>
        <v>0</v>
      </c>
      <c r="Q102" s="192" t="n">
        <f aca="false">Q!$H34</f>
        <v>0</v>
      </c>
      <c r="R102" s="192" t="n">
        <f aca="false">R!$H34</f>
        <v>0</v>
      </c>
      <c r="S102" s="192" t="n">
        <f aca="false">S!$H34</f>
        <v>0</v>
      </c>
      <c r="T102" s="192" t="n">
        <f aca="false">T!$H34</f>
        <v>0</v>
      </c>
      <c r="U102" s="192" t="n">
        <f aca="false">U!$H34</f>
        <v>0</v>
      </c>
      <c r="V102" s="192" t="n">
        <f aca="false">V!$H34</f>
        <v>0</v>
      </c>
      <c r="W102" s="192" t="n">
        <f aca="false">W!$H34</f>
        <v>0</v>
      </c>
      <c r="X102" s="192" t="n">
        <f aca="false">X!$H34</f>
        <v>0</v>
      </c>
      <c r="Y102" s="193" t="n">
        <f aca="false">SUM(B102:X102)</f>
        <v>0</v>
      </c>
      <c r="Z102" s="193" t="n">
        <f aca="false">IF(B!E119="",0,B!$C$11+B!$C$8*B!F121)</f>
        <v>0</v>
      </c>
      <c r="AA102" s="193" t="n">
        <f aca="false">Y102-Z102</f>
        <v>0</v>
      </c>
    </row>
    <row r="103" customFormat="false" ht="15" hidden="false" customHeight="false" outlineLevel="0" collapsed="false">
      <c r="A103" s="191" t="n">
        <f aca="false">C!F35</f>
        <v>0</v>
      </c>
      <c r="B103" s="192" t="n">
        <f aca="false">IF(B!F124=TRUE(),14,0)</f>
        <v>0</v>
      </c>
      <c r="C103" s="192" t="n">
        <f aca="false">C!$H35</f>
        <v>0</v>
      </c>
      <c r="D103" s="192" t="n">
        <f aca="false">D!$H35</f>
        <v>0</v>
      </c>
      <c r="E103" s="192" t="n">
        <f aca="false">E!$H35</f>
        <v>0</v>
      </c>
      <c r="F103" s="192" t="n">
        <f aca="false">F!$H35</f>
        <v>0</v>
      </c>
      <c r="G103" s="192" t="n">
        <f aca="false">G!$H35</f>
        <v>0</v>
      </c>
      <c r="H103" s="192" t="n">
        <f aca="false">H!$H35</f>
        <v>0</v>
      </c>
      <c r="I103" s="192" t="n">
        <f aca="false">I!$H35</f>
        <v>0</v>
      </c>
      <c r="J103" s="192" t="n">
        <f aca="false">J!$H35</f>
        <v>0</v>
      </c>
      <c r="K103" s="192" t="n">
        <f aca="false">K!$H35</f>
        <v>0</v>
      </c>
      <c r="L103" s="192" t="n">
        <f aca="false">L!$H35</f>
        <v>0</v>
      </c>
      <c r="M103" s="192" t="n">
        <f aca="false">M!$H35</f>
        <v>0</v>
      </c>
      <c r="N103" s="192" t="n">
        <f aca="false">N!$H35</f>
        <v>0</v>
      </c>
      <c r="O103" s="192" t="n">
        <f aca="false">O!$H35</f>
        <v>0</v>
      </c>
      <c r="P103" s="192" t="n">
        <f aca="false">P!$H35</f>
        <v>0</v>
      </c>
      <c r="Q103" s="192" t="n">
        <f aca="false">Q!$H35</f>
        <v>0</v>
      </c>
      <c r="R103" s="192" t="n">
        <f aca="false">R!$H35</f>
        <v>0</v>
      </c>
      <c r="S103" s="192" t="n">
        <f aca="false">S!$H35</f>
        <v>0</v>
      </c>
      <c r="T103" s="192" t="n">
        <f aca="false">T!$H35</f>
        <v>0</v>
      </c>
      <c r="U103" s="192" t="n">
        <f aca="false">U!$H35</f>
        <v>0</v>
      </c>
      <c r="V103" s="192" t="n">
        <f aca="false">V!$H35</f>
        <v>0</v>
      </c>
      <c r="W103" s="192" t="n">
        <f aca="false">W!$H35</f>
        <v>0</v>
      </c>
      <c r="X103" s="192" t="n">
        <f aca="false">X!$H35</f>
        <v>0</v>
      </c>
      <c r="Y103" s="193" t="n">
        <f aca="false">SUM(B103:X103)</f>
        <v>0</v>
      </c>
      <c r="Z103" s="193" t="n">
        <f aca="false">IF(B!E124="",0,B!$C$11+B!$C$8*B!F126)</f>
        <v>0</v>
      </c>
      <c r="AA103" s="193" t="n">
        <f aca="false">Y103-Z103</f>
        <v>0</v>
      </c>
    </row>
    <row r="104" customFormat="false" ht="15" hidden="false" customHeight="false" outlineLevel="0" collapsed="false">
      <c r="A104" s="195" t="s">
        <v>320</v>
      </c>
      <c r="B104" s="196" t="n">
        <f aca="false">SUM(B99:B103)</f>
        <v>0</v>
      </c>
      <c r="C104" s="196" t="n">
        <f aca="false">SUM(C99:C103)</f>
        <v>0</v>
      </c>
      <c r="D104" s="196" t="n">
        <f aca="false">SUM(D99:D103)</f>
        <v>0</v>
      </c>
      <c r="E104" s="196" t="n">
        <f aca="false">SUM(E99:E103)</f>
        <v>0</v>
      </c>
      <c r="F104" s="196" t="n">
        <f aca="false">SUM(F99:F103)</f>
        <v>0</v>
      </c>
      <c r="G104" s="196" t="n">
        <f aca="false">SUM(G99:G103)</f>
        <v>0</v>
      </c>
      <c r="H104" s="196" t="n">
        <f aca="false">SUM(H99:H103)</f>
        <v>0</v>
      </c>
      <c r="I104" s="196" t="n">
        <f aca="false">SUM(I99:I103)</f>
        <v>0</v>
      </c>
      <c r="J104" s="196" t="n">
        <f aca="false">SUM(J99:J103)</f>
        <v>0</v>
      </c>
      <c r="K104" s="196" t="n">
        <f aca="false">SUM(K99:K103)</f>
        <v>0</v>
      </c>
      <c r="L104" s="196" t="n">
        <f aca="false">SUM(L99:L103)</f>
        <v>0</v>
      </c>
      <c r="M104" s="196" t="n">
        <f aca="false">SUM(M99:M103)</f>
        <v>0</v>
      </c>
      <c r="N104" s="196" t="n">
        <f aca="false">SUM(N99:N103)</f>
        <v>0</v>
      </c>
      <c r="O104" s="196" t="n">
        <f aca="false">SUM(O99:O103)</f>
        <v>0</v>
      </c>
      <c r="P104" s="196" t="n">
        <f aca="false">SUM(P99:P103)</f>
        <v>0</v>
      </c>
      <c r="Q104" s="196" t="n">
        <f aca="false">SUM(Q99:Q103)</f>
        <v>0</v>
      </c>
      <c r="R104" s="196" t="n">
        <f aca="false">SUM(R99:R103)</f>
        <v>0</v>
      </c>
      <c r="S104" s="196" t="n">
        <f aca="false">SUM(S99:S103)</f>
        <v>0</v>
      </c>
      <c r="T104" s="196" t="n">
        <f aca="false">SUM(T99:T103)</f>
        <v>0</v>
      </c>
      <c r="U104" s="196" t="n">
        <f aca="false">SUM(U99:U103)</f>
        <v>0</v>
      </c>
      <c r="V104" s="196" t="n">
        <f aca="false">SUM(V99:V103)</f>
        <v>0</v>
      </c>
      <c r="W104" s="196" t="n">
        <f aca="false">SUM(W99:W103)</f>
        <v>0</v>
      </c>
      <c r="X104" s="197" t="n">
        <f aca="false">SUM(X99:X103)</f>
        <v>0</v>
      </c>
      <c r="Y104" s="198" t="n">
        <f aca="false">SUM(Y99:Y103)</f>
        <v>0</v>
      </c>
      <c r="Z104" s="198" t="n">
        <f aca="false">SUM(Z99:Z103)</f>
        <v>0</v>
      </c>
      <c r="AA104" s="198" t="n">
        <f aca="false">SUM(AA99:AA103)</f>
        <v>0</v>
      </c>
    </row>
    <row r="105" customFormat="false" ht="17.35" hidden="false" customHeight="false" outlineLevel="0" collapsed="false">
      <c r="A105" s="199"/>
      <c r="B105" s="199"/>
      <c r="Y105" s="186" t="s">
        <v>31</v>
      </c>
      <c r="Z105" s="186" t="s">
        <v>31</v>
      </c>
      <c r="AA105" s="186" t="s">
        <v>31</v>
      </c>
    </row>
    <row r="106" customFormat="false" ht="17.35" hidden="false" customHeight="false" outlineLevel="0" collapsed="false">
      <c r="A106" s="187" t="n">
        <f aca="false">C!F43</f>
        <v>0</v>
      </c>
      <c r="B106" s="187" t="s">
        <v>295</v>
      </c>
      <c r="C106" s="188" t="s">
        <v>296</v>
      </c>
      <c r="D106" s="188" t="s">
        <v>297</v>
      </c>
      <c r="E106" s="188" t="s">
        <v>298</v>
      </c>
      <c r="F106" s="188" t="s">
        <v>299</v>
      </c>
      <c r="G106" s="188" t="s">
        <v>300</v>
      </c>
      <c r="H106" s="188" t="s">
        <v>301</v>
      </c>
      <c r="I106" s="188" t="s">
        <v>302</v>
      </c>
      <c r="J106" s="188" t="s">
        <v>303</v>
      </c>
      <c r="K106" s="188" t="s">
        <v>304</v>
      </c>
      <c r="L106" s="188" t="s">
        <v>305</v>
      </c>
      <c r="M106" s="188" t="s">
        <v>306</v>
      </c>
      <c r="N106" s="188" t="s">
        <v>307</v>
      </c>
      <c r="O106" s="188" t="s">
        <v>308</v>
      </c>
      <c r="P106" s="188" t="s">
        <v>309</v>
      </c>
      <c r="Q106" s="188" t="s">
        <v>310</v>
      </c>
      <c r="R106" s="188" t="s">
        <v>311</v>
      </c>
      <c r="S106" s="188" t="s">
        <v>312</v>
      </c>
      <c r="T106" s="188" t="s">
        <v>313</v>
      </c>
      <c r="U106" s="188" t="s">
        <v>314</v>
      </c>
      <c r="V106" s="188" t="s">
        <v>315</v>
      </c>
      <c r="W106" s="188" t="s">
        <v>316</v>
      </c>
      <c r="X106" s="189" t="s">
        <v>317</v>
      </c>
      <c r="Y106" s="190" t="s">
        <v>209</v>
      </c>
      <c r="Z106" s="190" t="s">
        <v>318</v>
      </c>
      <c r="AA106" s="190" t="s">
        <v>319</v>
      </c>
    </row>
    <row r="107" customFormat="false" ht="15" hidden="false" customHeight="false" outlineLevel="0" collapsed="false">
      <c r="A107" s="191" t="n">
        <f aca="false">C!F44</f>
        <v>0</v>
      </c>
      <c r="B107" s="192" t="n">
        <f aca="false">IF(B!F147=TRUE(),14,0)</f>
        <v>0</v>
      </c>
      <c r="C107" s="192" t="n">
        <f aca="false">C!$H44</f>
        <v>0</v>
      </c>
      <c r="D107" s="192" t="n">
        <f aca="false">D!$H44</f>
        <v>0</v>
      </c>
      <c r="E107" s="192" t="n">
        <f aca="false">E!$H44</f>
        <v>0</v>
      </c>
      <c r="F107" s="192" t="n">
        <f aca="false">F!$H44</f>
        <v>0</v>
      </c>
      <c r="G107" s="192" t="n">
        <f aca="false">G!$H44</f>
        <v>0</v>
      </c>
      <c r="H107" s="192" t="n">
        <f aca="false">H!$H44</f>
        <v>0</v>
      </c>
      <c r="I107" s="192" t="n">
        <f aca="false">I!$H44</f>
        <v>0</v>
      </c>
      <c r="J107" s="192" t="n">
        <f aca="false">J!$H44</f>
        <v>0</v>
      </c>
      <c r="K107" s="192" t="n">
        <f aca="false">K!$H44</f>
        <v>0</v>
      </c>
      <c r="L107" s="192" t="n">
        <f aca="false">L!$H44</f>
        <v>0</v>
      </c>
      <c r="M107" s="192" t="n">
        <f aca="false">M!$H44</f>
        <v>0</v>
      </c>
      <c r="N107" s="192" t="n">
        <f aca="false">N!$H44</f>
        <v>0</v>
      </c>
      <c r="O107" s="192" t="n">
        <f aca="false">O!$H44</f>
        <v>0</v>
      </c>
      <c r="P107" s="192" t="n">
        <f aca="false">P!$H44</f>
        <v>0</v>
      </c>
      <c r="Q107" s="192" t="n">
        <f aca="false">Q!$H44</f>
        <v>0</v>
      </c>
      <c r="R107" s="192" t="n">
        <f aca="false">R!$H44</f>
        <v>0</v>
      </c>
      <c r="S107" s="192" t="n">
        <f aca="false">S!$H44</f>
        <v>0</v>
      </c>
      <c r="T107" s="192" t="n">
        <f aca="false">T!$H44</f>
        <v>0</v>
      </c>
      <c r="U107" s="192" t="n">
        <f aca="false">U!$H44</f>
        <v>0</v>
      </c>
      <c r="V107" s="192" t="n">
        <f aca="false">V!$H44</f>
        <v>0</v>
      </c>
      <c r="W107" s="192" t="n">
        <f aca="false">W!$H44</f>
        <v>0</v>
      </c>
      <c r="X107" s="192" t="n">
        <f aca="false">X!$H44</f>
        <v>0</v>
      </c>
      <c r="Y107" s="193" t="n">
        <f aca="false">SUM(B107:X107)</f>
        <v>0</v>
      </c>
      <c r="Z107" s="193" t="n">
        <f aca="false">IF(B!E147="",0,B!$C$11+B!$C$8*B!F149)</f>
        <v>0</v>
      </c>
      <c r="AA107" s="193" t="n">
        <f aca="false">Y107-Z107</f>
        <v>0</v>
      </c>
    </row>
    <row r="108" customFormat="false" ht="15" hidden="false" customHeight="false" outlineLevel="0" collapsed="false">
      <c r="A108" s="191" t="n">
        <f aca="false">C!F45</f>
        <v>0</v>
      </c>
      <c r="B108" s="192" t="n">
        <f aca="false">IF(B!F152=TRUE(),14,0)</f>
        <v>0</v>
      </c>
      <c r="C108" s="192" t="n">
        <f aca="false">C!$H45</f>
        <v>0</v>
      </c>
      <c r="D108" s="192" t="n">
        <f aca="false">D!$H45</f>
        <v>0</v>
      </c>
      <c r="E108" s="192" t="n">
        <f aca="false">E!$H45</f>
        <v>0</v>
      </c>
      <c r="F108" s="192" t="n">
        <f aca="false">F!$H45</f>
        <v>0</v>
      </c>
      <c r="G108" s="192" t="n">
        <f aca="false">G!$H45</f>
        <v>0</v>
      </c>
      <c r="H108" s="192" t="n">
        <f aca="false">H!$H45</f>
        <v>0</v>
      </c>
      <c r="I108" s="192" t="n">
        <f aca="false">I!$H45</f>
        <v>0</v>
      </c>
      <c r="J108" s="192" t="n">
        <f aca="false">J!$H45</f>
        <v>0</v>
      </c>
      <c r="K108" s="192" t="n">
        <f aca="false">K!$H45</f>
        <v>0</v>
      </c>
      <c r="L108" s="192" t="n">
        <f aca="false">L!$H45</f>
        <v>0</v>
      </c>
      <c r="M108" s="192" t="n">
        <f aca="false">M!$H45</f>
        <v>0</v>
      </c>
      <c r="N108" s="192" t="n">
        <f aca="false">N!$H45</f>
        <v>0</v>
      </c>
      <c r="O108" s="192" t="n">
        <f aca="false">O!$H45</f>
        <v>0</v>
      </c>
      <c r="P108" s="192" t="n">
        <f aca="false">P!$H45</f>
        <v>0</v>
      </c>
      <c r="Q108" s="192" t="n">
        <f aca="false">Q!$H45</f>
        <v>0</v>
      </c>
      <c r="R108" s="192" t="n">
        <f aca="false">R!$H45</f>
        <v>0</v>
      </c>
      <c r="S108" s="192" t="n">
        <f aca="false">S!$H45</f>
        <v>0</v>
      </c>
      <c r="T108" s="192" t="n">
        <f aca="false">T!$H45</f>
        <v>0</v>
      </c>
      <c r="U108" s="192" t="n">
        <f aca="false">U!$H45</f>
        <v>0</v>
      </c>
      <c r="V108" s="192" t="n">
        <f aca="false">V!$H45</f>
        <v>0</v>
      </c>
      <c r="W108" s="192" t="n">
        <f aca="false">W!$H45</f>
        <v>0</v>
      </c>
      <c r="X108" s="192" t="n">
        <f aca="false">X!$H45</f>
        <v>0</v>
      </c>
      <c r="Y108" s="193" t="n">
        <f aca="false">SUM(B108:X108)</f>
        <v>0</v>
      </c>
      <c r="Z108" s="193" t="n">
        <f aca="false">IF(B!E152="",0,B!$C$11+B!$C$8*B!F154)</f>
        <v>0</v>
      </c>
      <c r="AA108" s="193" t="n">
        <f aca="false">Y108-Z108</f>
        <v>0</v>
      </c>
    </row>
    <row r="109" customFormat="false" ht="15" hidden="false" customHeight="false" outlineLevel="0" collapsed="false">
      <c r="A109" s="191" t="n">
        <f aca="false">C!F46</f>
        <v>0</v>
      </c>
      <c r="B109" s="192" t="n">
        <f aca="false">IF(B!F157=TRUE(),14,0)</f>
        <v>0</v>
      </c>
      <c r="C109" s="192" t="n">
        <f aca="false">C!$H46</f>
        <v>0</v>
      </c>
      <c r="D109" s="192" t="n">
        <f aca="false">D!$H46</f>
        <v>0</v>
      </c>
      <c r="E109" s="192" t="n">
        <f aca="false">E!$H46</f>
        <v>0</v>
      </c>
      <c r="F109" s="192" t="n">
        <f aca="false">F!$H46</f>
        <v>0</v>
      </c>
      <c r="G109" s="192" t="n">
        <f aca="false">G!$H46</f>
        <v>0</v>
      </c>
      <c r="H109" s="192" t="n">
        <f aca="false">H!$H46</f>
        <v>0</v>
      </c>
      <c r="I109" s="192" t="n">
        <f aca="false">I!$H46</f>
        <v>0</v>
      </c>
      <c r="J109" s="192" t="n">
        <f aca="false">J!$H46</f>
        <v>0</v>
      </c>
      <c r="K109" s="192" t="n">
        <f aca="false">K!$H46</f>
        <v>0</v>
      </c>
      <c r="L109" s="192" t="n">
        <f aca="false">L!$H46</f>
        <v>0</v>
      </c>
      <c r="M109" s="192" t="n">
        <f aca="false">M!$H46</f>
        <v>0</v>
      </c>
      <c r="N109" s="192" t="n">
        <f aca="false">N!$H46</f>
        <v>0</v>
      </c>
      <c r="O109" s="192" t="n">
        <f aca="false">O!$H46</f>
        <v>0</v>
      </c>
      <c r="P109" s="192" t="n">
        <f aca="false">P!$H46</f>
        <v>0</v>
      </c>
      <c r="Q109" s="192" t="n">
        <f aca="false">Q!$H46</f>
        <v>0</v>
      </c>
      <c r="R109" s="192" t="n">
        <f aca="false">R!$H46</f>
        <v>0</v>
      </c>
      <c r="S109" s="192" t="n">
        <f aca="false">S!$H46</f>
        <v>0</v>
      </c>
      <c r="T109" s="192" t="n">
        <f aca="false">T!$H46</f>
        <v>0</v>
      </c>
      <c r="U109" s="192" t="n">
        <f aca="false">U!$H46</f>
        <v>0</v>
      </c>
      <c r="V109" s="192" t="n">
        <f aca="false">V!$H46</f>
        <v>0</v>
      </c>
      <c r="W109" s="192" t="n">
        <f aca="false">W!$H46</f>
        <v>0</v>
      </c>
      <c r="X109" s="192" t="n">
        <f aca="false">X!$H46</f>
        <v>0</v>
      </c>
      <c r="Y109" s="193" t="n">
        <f aca="false">SUM(B109:X109)</f>
        <v>0</v>
      </c>
      <c r="Z109" s="193" t="n">
        <f aca="false">IF(B!E157="",0,B!$C$11+B!$C$8*B!F159)</f>
        <v>0</v>
      </c>
      <c r="AA109" s="193" t="n">
        <f aca="false">Y109-Z109</f>
        <v>0</v>
      </c>
    </row>
    <row r="110" customFormat="false" ht="15" hidden="false" customHeight="false" outlineLevel="0" collapsed="false">
      <c r="A110" s="191" t="n">
        <f aca="false">C!F47</f>
        <v>0</v>
      </c>
      <c r="B110" s="192" t="n">
        <f aca="false">IF(B!F162=TRUE(),14,0)</f>
        <v>0</v>
      </c>
      <c r="C110" s="192" t="n">
        <f aca="false">C!$H47</f>
        <v>0</v>
      </c>
      <c r="D110" s="192" t="n">
        <f aca="false">D!$H47</f>
        <v>0</v>
      </c>
      <c r="E110" s="192" t="n">
        <f aca="false">E!$H47</f>
        <v>0</v>
      </c>
      <c r="F110" s="192" t="n">
        <f aca="false">F!$H47</f>
        <v>0</v>
      </c>
      <c r="G110" s="192" t="n">
        <f aca="false">G!$H47</f>
        <v>0</v>
      </c>
      <c r="H110" s="192" t="n">
        <f aca="false">H!$H47</f>
        <v>0</v>
      </c>
      <c r="I110" s="192" t="n">
        <f aca="false">I!$H47</f>
        <v>0</v>
      </c>
      <c r="J110" s="192" t="n">
        <f aca="false">J!$H47</f>
        <v>0</v>
      </c>
      <c r="K110" s="192" t="n">
        <f aca="false">K!$H47</f>
        <v>0</v>
      </c>
      <c r="L110" s="192" t="n">
        <f aca="false">L!$H47</f>
        <v>0</v>
      </c>
      <c r="M110" s="192" t="n">
        <f aca="false">M!$H47</f>
        <v>0</v>
      </c>
      <c r="N110" s="192" t="n">
        <f aca="false">N!$H47</f>
        <v>0</v>
      </c>
      <c r="O110" s="192" t="n">
        <f aca="false">O!$H47</f>
        <v>0</v>
      </c>
      <c r="P110" s="192" t="n">
        <f aca="false">P!$H47</f>
        <v>0</v>
      </c>
      <c r="Q110" s="192" t="n">
        <f aca="false">Q!$H47</f>
        <v>0</v>
      </c>
      <c r="R110" s="192" t="n">
        <f aca="false">R!$H47</f>
        <v>0</v>
      </c>
      <c r="S110" s="192" t="n">
        <f aca="false">S!$H47</f>
        <v>0</v>
      </c>
      <c r="T110" s="192" t="n">
        <f aca="false">T!$H47</f>
        <v>0</v>
      </c>
      <c r="U110" s="192" t="n">
        <f aca="false">U!$H47</f>
        <v>0</v>
      </c>
      <c r="V110" s="192" t="n">
        <f aca="false">V!$H47</f>
        <v>0</v>
      </c>
      <c r="W110" s="192" t="n">
        <f aca="false">W!$H47</f>
        <v>0</v>
      </c>
      <c r="X110" s="192" t="n">
        <f aca="false">X!$H47</f>
        <v>0</v>
      </c>
      <c r="Y110" s="193" t="n">
        <f aca="false">SUM(B110:X110)</f>
        <v>0</v>
      </c>
      <c r="Z110" s="193" t="n">
        <f aca="false">IF(B!E162="",0,B!$C$11+B!$C$8*B!F164)</f>
        <v>0</v>
      </c>
      <c r="AA110" s="193" t="n">
        <f aca="false">Y110-Z110</f>
        <v>0</v>
      </c>
    </row>
    <row r="111" customFormat="false" ht="15" hidden="false" customHeight="false" outlineLevel="0" collapsed="false">
      <c r="A111" s="191" t="n">
        <f aca="false">C!F48</f>
        <v>0</v>
      </c>
      <c r="B111" s="192" t="n">
        <f aca="false">IF(B!F167=TRUE(),14,0)</f>
        <v>0</v>
      </c>
      <c r="C111" s="192" t="n">
        <f aca="false">C!$H48</f>
        <v>0</v>
      </c>
      <c r="D111" s="192" t="n">
        <f aca="false">D!$H48</f>
        <v>0</v>
      </c>
      <c r="E111" s="192" t="n">
        <f aca="false">E!$H48</f>
        <v>0</v>
      </c>
      <c r="F111" s="192" t="n">
        <f aca="false">F!$H48</f>
        <v>0</v>
      </c>
      <c r="G111" s="192" t="n">
        <f aca="false">G!$H48</f>
        <v>0</v>
      </c>
      <c r="H111" s="192" t="n">
        <f aca="false">H!$H48</f>
        <v>0</v>
      </c>
      <c r="I111" s="192" t="n">
        <f aca="false">I!$H48</f>
        <v>0</v>
      </c>
      <c r="J111" s="192" t="n">
        <f aca="false">J!$H48</f>
        <v>0</v>
      </c>
      <c r="K111" s="192" t="n">
        <f aca="false">K!$H48</f>
        <v>0</v>
      </c>
      <c r="L111" s="192" t="n">
        <f aca="false">L!$H48</f>
        <v>0</v>
      </c>
      <c r="M111" s="192" t="n">
        <f aca="false">M!$H48</f>
        <v>0</v>
      </c>
      <c r="N111" s="192" t="n">
        <f aca="false">N!$H48</f>
        <v>0</v>
      </c>
      <c r="O111" s="192" t="n">
        <f aca="false">O!$H48</f>
        <v>0</v>
      </c>
      <c r="P111" s="192" t="n">
        <f aca="false">P!$H48</f>
        <v>0</v>
      </c>
      <c r="Q111" s="192" t="n">
        <f aca="false">Q!$H48</f>
        <v>0</v>
      </c>
      <c r="R111" s="192" t="n">
        <f aca="false">R!$H48</f>
        <v>0</v>
      </c>
      <c r="S111" s="192" t="n">
        <f aca="false">S!$H48</f>
        <v>0</v>
      </c>
      <c r="T111" s="192" t="n">
        <f aca="false">T!$H48</f>
        <v>0</v>
      </c>
      <c r="U111" s="192" t="n">
        <f aca="false">U!$H48</f>
        <v>0</v>
      </c>
      <c r="V111" s="192" t="n">
        <f aca="false">V!$H48</f>
        <v>0</v>
      </c>
      <c r="W111" s="192" t="n">
        <f aca="false">W!$H48</f>
        <v>0</v>
      </c>
      <c r="X111" s="192" t="n">
        <f aca="false">X!$H48</f>
        <v>0</v>
      </c>
      <c r="Y111" s="193" t="n">
        <f aca="false">SUM(B111:X111)</f>
        <v>0</v>
      </c>
      <c r="Z111" s="193" t="n">
        <f aca="false">IF(B!E167="",0,B!$C$11+B!$C$8*B!F169)</f>
        <v>0</v>
      </c>
      <c r="AA111" s="193" t="n">
        <f aca="false">Y111-Z111</f>
        <v>0</v>
      </c>
    </row>
    <row r="112" customFormat="false" ht="15" hidden="false" customHeight="false" outlineLevel="0" collapsed="false">
      <c r="A112" s="195" t="s">
        <v>320</v>
      </c>
      <c r="B112" s="196" t="n">
        <f aca="false">SUM(B107:B111)</f>
        <v>0</v>
      </c>
      <c r="C112" s="196" t="n">
        <f aca="false">SUM(C107:C111)</f>
        <v>0</v>
      </c>
      <c r="D112" s="196" t="n">
        <f aca="false">SUM(D107:D111)</f>
        <v>0</v>
      </c>
      <c r="E112" s="196" t="n">
        <f aca="false">SUM(E107:E111)</f>
        <v>0</v>
      </c>
      <c r="F112" s="196" t="n">
        <f aca="false">SUM(F107:F111)</f>
        <v>0</v>
      </c>
      <c r="G112" s="196" t="n">
        <f aca="false">SUM(G107:G111)</f>
        <v>0</v>
      </c>
      <c r="H112" s="196" t="n">
        <f aca="false">SUM(H107:H111)</f>
        <v>0</v>
      </c>
      <c r="I112" s="196" t="n">
        <f aca="false">SUM(I107:I111)</f>
        <v>0</v>
      </c>
      <c r="J112" s="196" t="n">
        <f aca="false">SUM(J107:J111)</f>
        <v>0</v>
      </c>
      <c r="K112" s="196" t="n">
        <f aca="false">SUM(K107:K111)</f>
        <v>0</v>
      </c>
      <c r="L112" s="196" t="n">
        <f aca="false">SUM(L107:L111)</f>
        <v>0</v>
      </c>
      <c r="M112" s="196" t="n">
        <f aca="false">SUM(M107:M111)</f>
        <v>0</v>
      </c>
      <c r="N112" s="196" t="n">
        <f aca="false">SUM(N107:N111)</f>
        <v>0</v>
      </c>
      <c r="O112" s="196" t="n">
        <f aca="false">SUM(O107:O111)</f>
        <v>0</v>
      </c>
      <c r="P112" s="196" t="n">
        <f aca="false">SUM(P107:P111)</f>
        <v>0</v>
      </c>
      <c r="Q112" s="196" t="n">
        <f aca="false">SUM(Q107:Q111)</f>
        <v>0</v>
      </c>
      <c r="R112" s="196" t="n">
        <f aca="false">SUM(R107:R111)</f>
        <v>0</v>
      </c>
      <c r="S112" s="196" t="n">
        <f aca="false">SUM(S107:S111)</f>
        <v>0</v>
      </c>
      <c r="T112" s="196" t="n">
        <f aca="false">SUM(T107:T111)</f>
        <v>0</v>
      </c>
      <c r="U112" s="196" t="n">
        <f aca="false">SUM(U107:U111)</f>
        <v>0</v>
      </c>
      <c r="V112" s="196" t="n">
        <f aca="false">SUM(V107:V111)</f>
        <v>0</v>
      </c>
      <c r="W112" s="196" t="n">
        <f aca="false">SUM(W107:W111)</f>
        <v>0</v>
      </c>
      <c r="X112" s="197" t="n">
        <f aca="false">SUM(X107:X111)</f>
        <v>0</v>
      </c>
      <c r="Y112" s="198" t="n">
        <f aca="false">SUM(Y107:Y111)</f>
        <v>0</v>
      </c>
      <c r="Z112" s="198" t="n">
        <f aca="false">SUM(Z107:Z111)</f>
        <v>0</v>
      </c>
      <c r="AA112" s="198" t="n">
        <f aca="false">SUM(AA107:AA111)</f>
        <v>0</v>
      </c>
    </row>
    <row r="113" customFormat="false" ht="17.35" hidden="false" customHeight="false" outlineLevel="0" collapsed="false">
      <c r="A113" s="199"/>
      <c r="B113" s="199"/>
      <c r="Y113" s="186" t="s">
        <v>31</v>
      </c>
      <c r="Z113" s="186" t="s">
        <v>31</v>
      </c>
      <c r="AA113" s="186" t="s">
        <v>31</v>
      </c>
    </row>
    <row r="114" customFormat="false" ht="17.35" hidden="false" customHeight="false" outlineLevel="0" collapsed="false">
      <c r="A114" s="187" t="n">
        <f aca="false">C!F56</f>
        <v>0</v>
      </c>
      <c r="B114" s="187" t="s">
        <v>295</v>
      </c>
      <c r="C114" s="188" t="s">
        <v>296</v>
      </c>
      <c r="D114" s="188" t="s">
        <v>297</v>
      </c>
      <c r="E114" s="188" t="s">
        <v>298</v>
      </c>
      <c r="F114" s="188" t="s">
        <v>299</v>
      </c>
      <c r="G114" s="188" t="s">
        <v>300</v>
      </c>
      <c r="H114" s="188" t="s">
        <v>301</v>
      </c>
      <c r="I114" s="188" t="s">
        <v>302</v>
      </c>
      <c r="J114" s="188" t="s">
        <v>303</v>
      </c>
      <c r="K114" s="188" t="s">
        <v>304</v>
      </c>
      <c r="L114" s="188" t="s">
        <v>305</v>
      </c>
      <c r="M114" s="188" t="s">
        <v>306</v>
      </c>
      <c r="N114" s="188" t="s">
        <v>307</v>
      </c>
      <c r="O114" s="188" t="s">
        <v>308</v>
      </c>
      <c r="P114" s="188" t="s">
        <v>309</v>
      </c>
      <c r="Q114" s="188" t="s">
        <v>310</v>
      </c>
      <c r="R114" s="188" t="s">
        <v>311</v>
      </c>
      <c r="S114" s="188" t="s">
        <v>312</v>
      </c>
      <c r="T114" s="188" t="s">
        <v>313</v>
      </c>
      <c r="U114" s="188" t="s">
        <v>314</v>
      </c>
      <c r="V114" s="188" t="s">
        <v>315</v>
      </c>
      <c r="W114" s="188" t="s">
        <v>316</v>
      </c>
      <c r="X114" s="189" t="s">
        <v>317</v>
      </c>
      <c r="Y114" s="190" t="s">
        <v>209</v>
      </c>
      <c r="Z114" s="190" t="s">
        <v>318</v>
      </c>
      <c r="AA114" s="190" t="s">
        <v>319</v>
      </c>
    </row>
    <row r="115" customFormat="false" ht="15" hidden="false" customHeight="false" outlineLevel="0" collapsed="false">
      <c r="A115" s="191" t="n">
        <f aca="false">C!F57</f>
        <v>0</v>
      </c>
      <c r="B115" s="192" t="n">
        <f aca="false">IF(B!F190=TRUE(),14,0)</f>
        <v>0</v>
      </c>
      <c r="C115" s="192" t="n">
        <f aca="false">C!$H57</f>
        <v>0</v>
      </c>
      <c r="D115" s="192" t="n">
        <f aca="false">D!$H57</f>
        <v>0</v>
      </c>
      <c r="E115" s="192" t="n">
        <f aca="false">E!$H57</f>
        <v>0</v>
      </c>
      <c r="F115" s="192" t="n">
        <f aca="false">F!$H57</f>
        <v>0</v>
      </c>
      <c r="G115" s="192" t="n">
        <f aca="false">G!$H57</f>
        <v>0</v>
      </c>
      <c r="H115" s="192" t="n">
        <f aca="false">H!$H57</f>
        <v>0</v>
      </c>
      <c r="I115" s="192" t="n">
        <f aca="false">I!$H57</f>
        <v>0</v>
      </c>
      <c r="J115" s="192" t="n">
        <f aca="false">J!$H57</f>
        <v>0</v>
      </c>
      <c r="K115" s="192" t="n">
        <f aca="false">K!$H57</f>
        <v>0</v>
      </c>
      <c r="L115" s="192" t="n">
        <f aca="false">L!$H57</f>
        <v>0</v>
      </c>
      <c r="M115" s="192" t="n">
        <f aca="false">M!$H57</f>
        <v>0</v>
      </c>
      <c r="N115" s="192" t="n">
        <f aca="false">N!$H57</f>
        <v>0</v>
      </c>
      <c r="O115" s="192" t="n">
        <f aca="false">O!$H57</f>
        <v>0</v>
      </c>
      <c r="P115" s="192" t="n">
        <f aca="false">P!$H57</f>
        <v>0</v>
      </c>
      <c r="Q115" s="192" t="n">
        <f aca="false">Q!$H57</f>
        <v>0</v>
      </c>
      <c r="R115" s="192" t="n">
        <f aca="false">R!$H57</f>
        <v>0</v>
      </c>
      <c r="S115" s="192" t="n">
        <f aca="false">S!$H57</f>
        <v>0</v>
      </c>
      <c r="T115" s="192" t="n">
        <f aca="false">T!$H57</f>
        <v>0</v>
      </c>
      <c r="U115" s="192" t="n">
        <f aca="false">U!$H57</f>
        <v>0</v>
      </c>
      <c r="V115" s="192" t="n">
        <f aca="false">V!$H57</f>
        <v>0</v>
      </c>
      <c r="W115" s="192" t="n">
        <f aca="false">W!$H57</f>
        <v>0</v>
      </c>
      <c r="X115" s="192" t="n">
        <f aca="false">X!$H57</f>
        <v>0</v>
      </c>
      <c r="Y115" s="193" t="n">
        <f aca="false">SUM(B115:X115)</f>
        <v>0</v>
      </c>
      <c r="Z115" s="193" t="n">
        <f aca="false">IF(B!E190="",0,B!$C$11+B!$C$8*B!F192)</f>
        <v>0</v>
      </c>
      <c r="AA115" s="193" t="n">
        <f aca="false">Y115-Z115</f>
        <v>0</v>
      </c>
    </row>
    <row r="116" customFormat="false" ht="15" hidden="false" customHeight="false" outlineLevel="0" collapsed="false">
      <c r="A116" s="191" t="n">
        <f aca="false">C!F58</f>
        <v>0</v>
      </c>
      <c r="B116" s="192" t="n">
        <f aca="false">IF(B!F195=TRUE(),14,0)</f>
        <v>0</v>
      </c>
      <c r="C116" s="192" t="n">
        <f aca="false">C!$H58</f>
        <v>0</v>
      </c>
      <c r="D116" s="192" t="n">
        <f aca="false">D!$H58</f>
        <v>0</v>
      </c>
      <c r="E116" s="192" t="n">
        <f aca="false">E!$H58</f>
        <v>0</v>
      </c>
      <c r="F116" s="192" t="n">
        <f aca="false">F!$H58</f>
        <v>0</v>
      </c>
      <c r="G116" s="192" t="n">
        <f aca="false">G!$H58</f>
        <v>0</v>
      </c>
      <c r="H116" s="192" t="n">
        <f aca="false">H!$H58</f>
        <v>0</v>
      </c>
      <c r="I116" s="192" t="n">
        <f aca="false">I!$H58</f>
        <v>0</v>
      </c>
      <c r="J116" s="192" t="n">
        <f aca="false">J!$H58</f>
        <v>0</v>
      </c>
      <c r="K116" s="192" t="n">
        <f aca="false">K!$H58</f>
        <v>0</v>
      </c>
      <c r="L116" s="192" t="n">
        <f aca="false">L!$H58</f>
        <v>0</v>
      </c>
      <c r="M116" s="192" t="n">
        <f aca="false">M!$H58</f>
        <v>0</v>
      </c>
      <c r="N116" s="192" t="n">
        <f aca="false">N!$H58</f>
        <v>0</v>
      </c>
      <c r="O116" s="192" t="n">
        <f aca="false">O!$H58</f>
        <v>0</v>
      </c>
      <c r="P116" s="192" t="n">
        <f aca="false">P!$H58</f>
        <v>0</v>
      </c>
      <c r="Q116" s="192" t="n">
        <f aca="false">Q!$H58</f>
        <v>0</v>
      </c>
      <c r="R116" s="192" t="n">
        <f aca="false">R!$H58</f>
        <v>0</v>
      </c>
      <c r="S116" s="192" t="n">
        <f aca="false">S!$H58</f>
        <v>0</v>
      </c>
      <c r="T116" s="192" t="n">
        <f aca="false">T!$H58</f>
        <v>0</v>
      </c>
      <c r="U116" s="192" t="n">
        <f aca="false">U!$H58</f>
        <v>0</v>
      </c>
      <c r="V116" s="192" t="n">
        <f aca="false">V!$H58</f>
        <v>0</v>
      </c>
      <c r="W116" s="192" t="n">
        <f aca="false">W!$H58</f>
        <v>0</v>
      </c>
      <c r="X116" s="192" t="n">
        <f aca="false">X!$H58</f>
        <v>0</v>
      </c>
      <c r="Y116" s="193" t="n">
        <f aca="false">SUM(B116:X116)</f>
        <v>0</v>
      </c>
      <c r="Z116" s="193" t="n">
        <f aca="false">IF(B!E195="",0,B!$C$11+B!$C$8*B!F197)</f>
        <v>0</v>
      </c>
      <c r="AA116" s="193" t="n">
        <f aca="false">Y116-Z116</f>
        <v>0</v>
      </c>
    </row>
    <row r="117" customFormat="false" ht="15" hidden="false" customHeight="false" outlineLevel="0" collapsed="false">
      <c r="A117" s="191" t="n">
        <f aca="false">C!F59</f>
        <v>0</v>
      </c>
      <c r="B117" s="192" t="n">
        <f aca="false">IF(B!F200=TRUE(),14,0)</f>
        <v>0</v>
      </c>
      <c r="C117" s="192" t="n">
        <f aca="false">C!$H59</f>
        <v>0</v>
      </c>
      <c r="D117" s="192" t="n">
        <f aca="false">D!$H59</f>
        <v>0</v>
      </c>
      <c r="E117" s="192" t="n">
        <f aca="false">E!$H59</f>
        <v>0</v>
      </c>
      <c r="F117" s="192" t="n">
        <f aca="false">F!$H59</f>
        <v>0</v>
      </c>
      <c r="G117" s="192" t="n">
        <f aca="false">G!$H59</f>
        <v>0</v>
      </c>
      <c r="H117" s="192" t="n">
        <f aca="false">H!$H59</f>
        <v>0</v>
      </c>
      <c r="I117" s="192" t="n">
        <f aca="false">I!$H59</f>
        <v>0</v>
      </c>
      <c r="J117" s="192" t="n">
        <f aca="false">J!$H59</f>
        <v>0</v>
      </c>
      <c r="K117" s="192" t="n">
        <f aca="false">K!$H59</f>
        <v>0</v>
      </c>
      <c r="L117" s="192" t="n">
        <f aca="false">L!$H59</f>
        <v>0</v>
      </c>
      <c r="M117" s="192" t="n">
        <f aca="false">M!$H59</f>
        <v>0</v>
      </c>
      <c r="N117" s="192" t="n">
        <f aca="false">N!$H59</f>
        <v>0</v>
      </c>
      <c r="O117" s="192" t="n">
        <f aca="false">O!$H59</f>
        <v>0</v>
      </c>
      <c r="P117" s="192" t="n">
        <f aca="false">P!$H59</f>
        <v>0</v>
      </c>
      <c r="Q117" s="192" t="n">
        <f aca="false">Q!$H59</f>
        <v>0</v>
      </c>
      <c r="R117" s="192" t="n">
        <f aca="false">R!$H59</f>
        <v>0</v>
      </c>
      <c r="S117" s="192" t="n">
        <f aca="false">S!$H59</f>
        <v>0</v>
      </c>
      <c r="T117" s="192" t="n">
        <f aca="false">T!$H59</f>
        <v>0</v>
      </c>
      <c r="U117" s="192" t="n">
        <f aca="false">U!$H59</f>
        <v>0</v>
      </c>
      <c r="V117" s="192" t="n">
        <f aca="false">V!$H59</f>
        <v>0</v>
      </c>
      <c r="W117" s="192" t="n">
        <f aca="false">W!$H59</f>
        <v>0</v>
      </c>
      <c r="X117" s="192" t="n">
        <f aca="false">X!$H59</f>
        <v>0</v>
      </c>
      <c r="Y117" s="193" t="n">
        <f aca="false">SUM(B117:X117)</f>
        <v>0</v>
      </c>
      <c r="Z117" s="193" t="n">
        <f aca="false">IF(B!E200="",0,B!$C$11+B!$C$8*B!F202)</f>
        <v>0</v>
      </c>
      <c r="AA117" s="193" t="n">
        <f aca="false">Y117-Z117</f>
        <v>0</v>
      </c>
    </row>
    <row r="118" customFormat="false" ht="15" hidden="false" customHeight="false" outlineLevel="0" collapsed="false">
      <c r="A118" s="191" t="n">
        <f aca="false">C!F60</f>
        <v>0</v>
      </c>
      <c r="B118" s="192" t="n">
        <f aca="false">IF(B!F205=TRUE(),14,0)</f>
        <v>0</v>
      </c>
      <c r="C118" s="192" t="n">
        <f aca="false">C!$H60</f>
        <v>0</v>
      </c>
      <c r="D118" s="192" t="n">
        <f aca="false">D!$H60</f>
        <v>0</v>
      </c>
      <c r="E118" s="192" t="n">
        <f aca="false">E!$H60</f>
        <v>0</v>
      </c>
      <c r="F118" s="192" t="n">
        <f aca="false">F!$H60</f>
        <v>0</v>
      </c>
      <c r="G118" s="192" t="n">
        <f aca="false">G!$H60</f>
        <v>0</v>
      </c>
      <c r="H118" s="192" t="n">
        <f aca="false">H!$H60</f>
        <v>0</v>
      </c>
      <c r="I118" s="192" t="n">
        <f aca="false">I!$H60</f>
        <v>0</v>
      </c>
      <c r="J118" s="192" t="n">
        <f aca="false">J!$H60</f>
        <v>0</v>
      </c>
      <c r="K118" s="192" t="n">
        <f aca="false">K!$H60</f>
        <v>0</v>
      </c>
      <c r="L118" s="192" t="n">
        <f aca="false">L!$H60</f>
        <v>0</v>
      </c>
      <c r="M118" s="192" t="n">
        <f aca="false">M!$H60</f>
        <v>0</v>
      </c>
      <c r="N118" s="192" t="n">
        <f aca="false">N!$H60</f>
        <v>0</v>
      </c>
      <c r="O118" s="192" t="n">
        <f aca="false">O!$H60</f>
        <v>0</v>
      </c>
      <c r="P118" s="192" t="n">
        <f aca="false">P!$H60</f>
        <v>0</v>
      </c>
      <c r="Q118" s="192" t="n">
        <f aca="false">Q!$H60</f>
        <v>0</v>
      </c>
      <c r="R118" s="192" t="n">
        <f aca="false">R!$H60</f>
        <v>0</v>
      </c>
      <c r="S118" s="192" t="n">
        <f aca="false">S!$H60</f>
        <v>0</v>
      </c>
      <c r="T118" s="192" t="n">
        <f aca="false">T!$H60</f>
        <v>0</v>
      </c>
      <c r="U118" s="192" t="n">
        <f aca="false">U!$H60</f>
        <v>0</v>
      </c>
      <c r="V118" s="192" t="n">
        <f aca="false">V!$H60</f>
        <v>0</v>
      </c>
      <c r="W118" s="192" t="n">
        <f aca="false">W!$H60</f>
        <v>0</v>
      </c>
      <c r="X118" s="192" t="n">
        <f aca="false">X!$H60</f>
        <v>0</v>
      </c>
      <c r="Y118" s="193" t="n">
        <f aca="false">SUM(B118:X118)</f>
        <v>0</v>
      </c>
      <c r="Z118" s="193" t="n">
        <f aca="false">IF(B!E205="",0,B!$C$11+B!$C$8*B!F207)</f>
        <v>0</v>
      </c>
      <c r="AA118" s="193" t="n">
        <f aca="false">Y118-Z118</f>
        <v>0</v>
      </c>
    </row>
    <row r="119" customFormat="false" ht="15" hidden="false" customHeight="false" outlineLevel="0" collapsed="false">
      <c r="A119" s="191" t="n">
        <f aca="false">C!F61</f>
        <v>0</v>
      </c>
      <c r="B119" s="192" t="n">
        <f aca="false">IF(B!F210=TRUE(),14,0)</f>
        <v>0</v>
      </c>
      <c r="C119" s="192" t="n">
        <f aca="false">C!$H61</f>
        <v>0</v>
      </c>
      <c r="D119" s="192" t="n">
        <f aca="false">D!$H61</f>
        <v>0</v>
      </c>
      <c r="E119" s="192" t="n">
        <f aca="false">E!$H61</f>
        <v>0</v>
      </c>
      <c r="F119" s="192" t="n">
        <f aca="false">F!$H61</f>
        <v>0</v>
      </c>
      <c r="G119" s="192" t="n">
        <f aca="false">G!$H61</f>
        <v>0</v>
      </c>
      <c r="H119" s="192" t="n">
        <f aca="false">H!$H61</f>
        <v>0</v>
      </c>
      <c r="I119" s="192" t="n">
        <f aca="false">I!$H61</f>
        <v>0</v>
      </c>
      <c r="J119" s="192" t="n">
        <f aca="false">J!$H61</f>
        <v>0</v>
      </c>
      <c r="K119" s="192" t="n">
        <f aca="false">K!$H61</f>
        <v>0</v>
      </c>
      <c r="L119" s="192" t="n">
        <f aca="false">L!$H61</f>
        <v>0</v>
      </c>
      <c r="M119" s="192" t="n">
        <f aca="false">M!$H61</f>
        <v>0</v>
      </c>
      <c r="N119" s="192" t="n">
        <f aca="false">N!$H61</f>
        <v>0</v>
      </c>
      <c r="O119" s="192" t="n">
        <f aca="false">O!$H61</f>
        <v>0</v>
      </c>
      <c r="P119" s="192" t="n">
        <f aca="false">P!$H61</f>
        <v>0</v>
      </c>
      <c r="Q119" s="192" t="n">
        <f aca="false">Q!$H61</f>
        <v>0</v>
      </c>
      <c r="R119" s="192" t="n">
        <f aca="false">R!$H61</f>
        <v>0</v>
      </c>
      <c r="S119" s="192" t="n">
        <f aca="false">S!$H61</f>
        <v>0</v>
      </c>
      <c r="T119" s="192" t="n">
        <f aca="false">T!$H61</f>
        <v>0</v>
      </c>
      <c r="U119" s="192" t="n">
        <f aca="false">U!$H61</f>
        <v>0</v>
      </c>
      <c r="V119" s="192" t="n">
        <f aca="false">V!$H61</f>
        <v>0</v>
      </c>
      <c r="W119" s="192" t="n">
        <f aca="false">W!$H61</f>
        <v>0</v>
      </c>
      <c r="X119" s="192" t="n">
        <f aca="false">X!$H61</f>
        <v>0</v>
      </c>
      <c r="Y119" s="193" t="n">
        <f aca="false">SUM(B119:X119)</f>
        <v>0</v>
      </c>
      <c r="Z119" s="193" t="n">
        <f aca="false">IF(B!E210="",0,B!$C$11+B!$C$8*B!F212)</f>
        <v>0</v>
      </c>
      <c r="AA119" s="193" t="n">
        <f aca="false">Y119-Z119</f>
        <v>0</v>
      </c>
    </row>
    <row r="120" customFormat="false" ht="15" hidden="false" customHeight="false" outlineLevel="0" collapsed="false">
      <c r="A120" s="195" t="s">
        <v>320</v>
      </c>
      <c r="B120" s="196" t="n">
        <f aca="false">SUM(B115:B119)</f>
        <v>0</v>
      </c>
      <c r="C120" s="196" t="n">
        <f aca="false">SUM(C115:C119)</f>
        <v>0</v>
      </c>
      <c r="D120" s="196" t="n">
        <f aca="false">SUM(D115:D119)</f>
        <v>0</v>
      </c>
      <c r="E120" s="196" t="n">
        <f aca="false">SUM(E115:E119)</f>
        <v>0</v>
      </c>
      <c r="F120" s="196" t="n">
        <f aca="false">SUM(F115:F119)</f>
        <v>0</v>
      </c>
      <c r="G120" s="196" t="n">
        <f aca="false">SUM(G115:G119)</f>
        <v>0</v>
      </c>
      <c r="H120" s="196" t="n">
        <f aca="false">SUM(H115:H119)</f>
        <v>0</v>
      </c>
      <c r="I120" s="196" t="n">
        <f aca="false">SUM(I115:I119)</f>
        <v>0</v>
      </c>
      <c r="J120" s="196" t="n">
        <f aca="false">SUM(J115:J119)</f>
        <v>0</v>
      </c>
      <c r="K120" s="196" t="n">
        <f aca="false">SUM(K115:K119)</f>
        <v>0</v>
      </c>
      <c r="L120" s="196" t="n">
        <f aca="false">SUM(L115:L119)</f>
        <v>0</v>
      </c>
      <c r="M120" s="196" t="n">
        <f aca="false">SUM(M115:M119)</f>
        <v>0</v>
      </c>
      <c r="N120" s="196" t="n">
        <f aca="false">SUM(N115:N119)</f>
        <v>0</v>
      </c>
      <c r="O120" s="196" t="n">
        <f aca="false">SUM(O115:O119)</f>
        <v>0</v>
      </c>
      <c r="P120" s="196" t="n">
        <f aca="false">SUM(P115:P119)</f>
        <v>0</v>
      </c>
      <c r="Q120" s="196" t="n">
        <f aca="false">SUM(Q115:Q119)</f>
        <v>0</v>
      </c>
      <c r="R120" s="196" t="n">
        <f aca="false">SUM(R115:R119)</f>
        <v>0</v>
      </c>
      <c r="S120" s="196" t="n">
        <f aca="false">SUM(S115:S119)</f>
        <v>0</v>
      </c>
      <c r="T120" s="196" t="n">
        <f aca="false">SUM(T115:T119)</f>
        <v>0</v>
      </c>
      <c r="U120" s="196" t="n">
        <f aca="false">SUM(U115:U119)</f>
        <v>0</v>
      </c>
      <c r="V120" s="196" t="n">
        <f aca="false">SUM(V115:V119)</f>
        <v>0</v>
      </c>
      <c r="W120" s="196" t="n">
        <f aca="false">SUM(W115:W119)</f>
        <v>0</v>
      </c>
      <c r="X120" s="197" t="n">
        <f aca="false">SUM(X115:X119)</f>
        <v>0</v>
      </c>
      <c r="Y120" s="198" t="n">
        <f aca="false">SUM(Y115:Y119)</f>
        <v>0</v>
      </c>
      <c r="Z120" s="198" t="n">
        <f aca="false">SUM(Z115:Z119)</f>
        <v>0</v>
      </c>
      <c r="AA120" s="198" t="n">
        <f aca="false">SUM(AA115:AA119)</f>
        <v>0</v>
      </c>
    </row>
    <row r="121" customFormat="false" ht="17.35" hidden="false" customHeight="false" outlineLevel="0" collapsed="false">
      <c r="A121" s="199"/>
      <c r="B121" s="199"/>
      <c r="Y121" s="186" t="s">
        <v>31</v>
      </c>
      <c r="Z121" s="186" t="s">
        <v>31</v>
      </c>
      <c r="AA121" s="186" t="s">
        <v>31</v>
      </c>
    </row>
    <row r="122" customFormat="false" ht="17.35" hidden="false" customHeight="false" outlineLevel="0" collapsed="false">
      <c r="A122" s="187" t="n">
        <f aca="false">C!F69</f>
        <v>0</v>
      </c>
      <c r="B122" s="187" t="s">
        <v>295</v>
      </c>
      <c r="C122" s="188" t="s">
        <v>296</v>
      </c>
      <c r="D122" s="188" t="s">
        <v>297</v>
      </c>
      <c r="E122" s="188" t="s">
        <v>298</v>
      </c>
      <c r="F122" s="188" t="s">
        <v>299</v>
      </c>
      <c r="G122" s="188" t="s">
        <v>300</v>
      </c>
      <c r="H122" s="188" t="s">
        <v>301</v>
      </c>
      <c r="I122" s="188" t="s">
        <v>302</v>
      </c>
      <c r="J122" s="188" t="s">
        <v>303</v>
      </c>
      <c r="K122" s="188" t="s">
        <v>304</v>
      </c>
      <c r="L122" s="188" t="s">
        <v>305</v>
      </c>
      <c r="M122" s="188" t="s">
        <v>306</v>
      </c>
      <c r="N122" s="188" t="s">
        <v>307</v>
      </c>
      <c r="O122" s="188" t="s">
        <v>308</v>
      </c>
      <c r="P122" s="188" t="s">
        <v>309</v>
      </c>
      <c r="Q122" s="188" t="s">
        <v>310</v>
      </c>
      <c r="R122" s="188" t="s">
        <v>311</v>
      </c>
      <c r="S122" s="188" t="s">
        <v>312</v>
      </c>
      <c r="T122" s="188" t="s">
        <v>313</v>
      </c>
      <c r="U122" s="188" t="s">
        <v>314</v>
      </c>
      <c r="V122" s="188" t="s">
        <v>315</v>
      </c>
      <c r="W122" s="188" t="s">
        <v>316</v>
      </c>
      <c r="X122" s="189" t="s">
        <v>317</v>
      </c>
      <c r="Y122" s="190" t="s">
        <v>209</v>
      </c>
      <c r="Z122" s="190" t="s">
        <v>318</v>
      </c>
      <c r="AA122" s="190" t="s">
        <v>319</v>
      </c>
    </row>
    <row r="123" customFormat="false" ht="15" hidden="false" customHeight="false" outlineLevel="0" collapsed="false">
      <c r="A123" s="191" t="n">
        <f aca="false">C!F70</f>
        <v>0</v>
      </c>
      <c r="B123" s="192" t="n">
        <f aca="false">IF(B!F233=TRUE(),14,0)</f>
        <v>0</v>
      </c>
      <c r="C123" s="192" t="n">
        <f aca="false">C!$H70</f>
        <v>0</v>
      </c>
      <c r="D123" s="192" t="n">
        <f aca="false">D!$H70</f>
        <v>0</v>
      </c>
      <c r="E123" s="192" t="n">
        <f aca="false">E!$H70</f>
        <v>0</v>
      </c>
      <c r="F123" s="192" t="n">
        <f aca="false">F!$H70</f>
        <v>0</v>
      </c>
      <c r="G123" s="192" t="n">
        <f aca="false">G!$H70</f>
        <v>0</v>
      </c>
      <c r="H123" s="192" t="n">
        <f aca="false">H!$H70</f>
        <v>0</v>
      </c>
      <c r="I123" s="192" t="n">
        <f aca="false">I!$H70</f>
        <v>0</v>
      </c>
      <c r="J123" s="192" t="n">
        <f aca="false">J!$H70</f>
        <v>0</v>
      </c>
      <c r="K123" s="192" t="n">
        <f aca="false">K!$H70</f>
        <v>0</v>
      </c>
      <c r="L123" s="192" t="n">
        <f aca="false">L!$H70</f>
        <v>0</v>
      </c>
      <c r="M123" s="192" t="n">
        <f aca="false">M!$H70</f>
        <v>0</v>
      </c>
      <c r="N123" s="192" t="n">
        <f aca="false">N!$H70</f>
        <v>0</v>
      </c>
      <c r="O123" s="192" t="n">
        <f aca="false">O!$H70</f>
        <v>0</v>
      </c>
      <c r="P123" s="192" t="n">
        <f aca="false">P!$H70</f>
        <v>0</v>
      </c>
      <c r="Q123" s="192" t="n">
        <f aca="false">Q!$H70</f>
        <v>0</v>
      </c>
      <c r="R123" s="192" t="n">
        <f aca="false">R!$H70</f>
        <v>0</v>
      </c>
      <c r="S123" s="192" t="n">
        <f aca="false">S!$H70</f>
        <v>0</v>
      </c>
      <c r="T123" s="192" t="n">
        <f aca="false">T!$H70</f>
        <v>0</v>
      </c>
      <c r="U123" s="192" t="n">
        <f aca="false">U!$H70</f>
        <v>0</v>
      </c>
      <c r="V123" s="192" t="n">
        <f aca="false">V!$H70</f>
        <v>0</v>
      </c>
      <c r="W123" s="192" t="n">
        <f aca="false">W!$H70</f>
        <v>0</v>
      </c>
      <c r="X123" s="192" t="n">
        <f aca="false">X!$H70</f>
        <v>0</v>
      </c>
      <c r="Y123" s="193" t="n">
        <f aca="false">SUM(B123:X123)</f>
        <v>0</v>
      </c>
      <c r="Z123" s="193" t="n">
        <f aca="false">IF(B!E233="",0,B!$C$11+B!$C$8*B!F235)</f>
        <v>0</v>
      </c>
      <c r="AA123" s="193" t="n">
        <f aca="false">Y123-Z123</f>
        <v>0</v>
      </c>
    </row>
    <row r="124" customFormat="false" ht="15" hidden="false" customHeight="false" outlineLevel="0" collapsed="false">
      <c r="A124" s="191" t="n">
        <f aca="false">C!F71</f>
        <v>0</v>
      </c>
      <c r="B124" s="192" t="n">
        <f aca="false">IF(B!F238=TRUE(),14,0)</f>
        <v>0</v>
      </c>
      <c r="C124" s="192" t="n">
        <f aca="false">C!$H71</f>
        <v>0</v>
      </c>
      <c r="D124" s="192" t="n">
        <f aca="false">D!$H71</f>
        <v>0</v>
      </c>
      <c r="E124" s="192" t="n">
        <f aca="false">E!$H71</f>
        <v>0</v>
      </c>
      <c r="F124" s="192" t="n">
        <f aca="false">F!$H71</f>
        <v>0</v>
      </c>
      <c r="G124" s="192" t="n">
        <f aca="false">G!$H71</f>
        <v>0</v>
      </c>
      <c r="H124" s="192" t="n">
        <f aca="false">H!$H71</f>
        <v>0</v>
      </c>
      <c r="I124" s="192" t="n">
        <f aca="false">I!$H71</f>
        <v>0</v>
      </c>
      <c r="J124" s="192" t="n">
        <f aca="false">J!$H71</f>
        <v>0</v>
      </c>
      <c r="K124" s="192" t="n">
        <f aca="false">K!$H71</f>
        <v>0</v>
      </c>
      <c r="L124" s="192" t="n">
        <f aca="false">L!$H71</f>
        <v>0</v>
      </c>
      <c r="M124" s="192" t="n">
        <f aca="false">M!$H71</f>
        <v>0</v>
      </c>
      <c r="N124" s="192" t="n">
        <f aca="false">N!$H71</f>
        <v>0</v>
      </c>
      <c r="O124" s="192" t="n">
        <f aca="false">O!$H71</f>
        <v>0</v>
      </c>
      <c r="P124" s="192" t="n">
        <f aca="false">P!$H71</f>
        <v>0</v>
      </c>
      <c r="Q124" s="192" t="n">
        <f aca="false">Q!$H71</f>
        <v>0</v>
      </c>
      <c r="R124" s="192" t="n">
        <f aca="false">R!$H71</f>
        <v>0</v>
      </c>
      <c r="S124" s="192" t="n">
        <f aca="false">S!$H71</f>
        <v>0</v>
      </c>
      <c r="T124" s="192" t="n">
        <f aca="false">T!$H71</f>
        <v>0</v>
      </c>
      <c r="U124" s="192" t="n">
        <f aca="false">U!$H71</f>
        <v>0</v>
      </c>
      <c r="V124" s="192" t="n">
        <f aca="false">V!$H71</f>
        <v>0</v>
      </c>
      <c r="W124" s="192" t="n">
        <f aca="false">W!$H71</f>
        <v>0</v>
      </c>
      <c r="X124" s="192" t="n">
        <f aca="false">X!$H71</f>
        <v>0</v>
      </c>
      <c r="Y124" s="193" t="n">
        <f aca="false">SUM(B124:X124)</f>
        <v>0</v>
      </c>
      <c r="Z124" s="193" t="n">
        <f aca="false">IF(B!E238="",0,B!$C$11+B!$C$8*B!F240)</f>
        <v>0</v>
      </c>
      <c r="AA124" s="193" t="n">
        <f aca="false">Y124-Z124</f>
        <v>0</v>
      </c>
    </row>
    <row r="125" customFormat="false" ht="15" hidden="false" customHeight="false" outlineLevel="0" collapsed="false">
      <c r="A125" s="191" t="n">
        <f aca="false">C!F72</f>
        <v>0</v>
      </c>
      <c r="B125" s="192" t="n">
        <f aca="false">IF(B!F243=TRUE(),14,0)</f>
        <v>0</v>
      </c>
      <c r="C125" s="192" t="n">
        <f aca="false">C!$H72</f>
        <v>0</v>
      </c>
      <c r="D125" s="192" t="n">
        <f aca="false">D!$H72</f>
        <v>0</v>
      </c>
      <c r="E125" s="192" t="n">
        <f aca="false">E!$H72</f>
        <v>0</v>
      </c>
      <c r="F125" s="192" t="n">
        <f aca="false">F!$H72</f>
        <v>0</v>
      </c>
      <c r="G125" s="192" t="n">
        <f aca="false">G!$H72</f>
        <v>0</v>
      </c>
      <c r="H125" s="192" t="n">
        <f aca="false">H!$H72</f>
        <v>0</v>
      </c>
      <c r="I125" s="192" t="n">
        <f aca="false">I!$H72</f>
        <v>0</v>
      </c>
      <c r="J125" s="192" t="n">
        <f aca="false">J!$H72</f>
        <v>0</v>
      </c>
      <c r="K125" s="192" t="n">
        <f aca="false">K!$H72</f>
        <v>0</v>
      </c>
      <c r="L125" s="192" t="n">
        <f aca="false">L!$H72</f>
        <v>0</v>
      </c>
      <c r="M125" s="192" t="n">
        <f aca="false">M!$H72</f>
        <v>0</v>
      </c>
      <c r="N125" s="192" t="n">
        <f aca="false">N!$H72</f>
        <v>0</v>
      </c>
      <c r="O125" s="192" t="n">
        <f aca="false">O!$H72</f>
        <v>0</v>
      </c>
      <c r="P125" s="192" t="n">
        <f aca="false">P!$H72</f>
        <v>0</v>
      </c>
      <c r="Q125" s="192" t="n">
        <f aca="false">Q!$H72</f>
        <v>0</v>
      </c>
      <c r="R125" s="192" t="n">
        <f aca="false">R!$H72</f>
        <v>0</v>
      </c>
      <c r="S125" s="192" t="n">
        <f aca="false">S!$H72</f>
        <v>0</v>
      </c>
      <c r="T125" s="192" t="n">
        <f aca="false">T!$H72</f>
        <v>0</v>
      </c>
      <c r="U125" s="192" t="n">
        <f aca="false">U!$H72</f>
        <v>0</v>
      </c>
      <c r="V125" s="192" t="n">
        <f aca="false">V!$H72</f>
        <v>0</v>
      </c>
      <c r="W125" s="192" t="n">
        <f aca="false">W!$H72</f>
        <v>0</v>
      </c>
      <c r="X125" s="192" t="n">
        <f aca="false">X!$H72</f>
        <v>0</v>
      </c>
      <c r="Y125" s="193" t="n">
        <f aca="false">SUM(B125:X125)</f>
        <v>0</v>
      </c>
      <c r="Z125" s="193" t="n">
        <f aca="false">IF(B!E243="",0,B!$C$11+B!$C$8*B!F245)</f>
        <v>0</v>
      </c>
      <c r="AA125" s="193" t="n">
        <f aca="false">Y125-Z125</f>
        <v>0</v>
      </c>
    </row>
    <row r="126" customFormat="false" ht="15" hidden="false" customHeight="false" outlineLevel="0" collapsed="false">
      <c r="A126" s="191" t="n">
        <f aca="false">C!F73</f>
        <v>0</v>
      </c>
      <c r="B126" s="192" t="n">
        <f aca="false">IF(B!F248=TRUE(),14,0)</f>
        <v>0</v>
      </c>
      <c r="C126" s="192" t="n">
        <f aca="false">C!$H73</f>
        <v>0</v>
      </c>
      <c r="D126" s="192" t="n">
        <f aca="false">D!$H73</f>
        <v>0</v>
      </c>
      <c r="E126" s="192" t="n">
        <f aca="false">E!$H73</f>
        <v>0</v>
      </c>
      <c r="F126" s="192" t="n">
        <f aca="false">F!$H73</f>
        <v>0</v>
      </c>
      <c r="G126" s="192" t="n">
        <f aca="false">G!$H73</f>
        <v>0</v>
      </c>
      <c r="H126" s="192" t="n">
        <f aca="false">H!$H73</f>
        <v>0</v>
      </c>
      <c r="I126" s="192" t="n">
        <f aca="false">I!$H73</f>
        <v>0</v>
      </c>
      <c r="J126" s="192" t="n">
        <f aca="false">J!$H73</f>
        <v>0</v>
      </c>
      <c r="K126" s="192" t="n">
        <f aca="false">K!$H73</f>
        <v>0</v>
      </c>
      <c r="L126" s="192" t="n">
        <f aca="false">L!$H73</f>
        <v>0</v>
      </c>
      <c r="M126" s="192" t="n">
        <f aca="false">M!$H73</f>
        <v>0</v>
      </c>
      <c r="N126" s="192" t="n">
        <f aca="false">N!$H73</f>
        <v>0</v>
      </c>
      <c r="O126" s="192" t="n">
        <f aca="false">O!$H73</f>
        <v>0</v>
      </c>
      <c r="P126" s="192" t="n">
        <f aca="false">P!$H73</f>
        <v>0</v>
      </c>
      <c r="Q126" s="192" t="n">
        <f aca="false">Q!$H73</f>
        <v>0</v>
      </c>
      <c r="R126" s="192" t="n">
        <f aca="false">R!$H73</f>
        <v>0</v>
      </c>
      <c r="S126" s="192" t="n">
        <f aca="false">S!$H73</f>
        <v>0</v>
      </c>
      <c r="T126" s="192" t="n">
        <f aca="false">T!$H73</f>
        <v>0</v>
      </c>
      <c r="U126" s="192" t="n">
        <f aca="false">U!$H73</f>
        <v>0</v>
      </c>
      <c r="V126" s="192" t="n">
        <f aca="false">V!$H73</f>
        <v>0</v>
      </c>
      <c r="W126" s="192" t="n">
        <f aca="false">W!$H73</f>
        <v>0</v>
      </c>
      <c r="X126" s="192" t="n">
        <f aca="false">X!$H73</f>
        <v>0</v>
      </c>
      <c r="Y126" s="193" t="n">
        <f aca="false">SUM(B126:X126)</f>
        <v>0</v>
      </c>
      <c r="Z126" s="193" t="n">
        <f aca="false">IF(B!E248="",0,B!$C$11+B!$C$8*B!F250)</f>
        <v>0</v>
      </c>
      <c r="AA126" s="193" t="n">
        <f aca="false">Y126-Z126</f>
        <v>0</v>
      </c>
    </row>
    <row r="127" customFormat="false" ht="15" hidden="false" customHeight="false" outlineLevel="0" collapsed="false">
      <c r="A127" s="191" t="n">
        <f aca="false">C!F74</f>
        <v>0</v>
      </c>
      <c r="B127" s="192" t="n">
        <f aca="false">IF(B!F253=TRUE(),14,0)</f>
        <v>0</v>
      </c>
      <c r="C127" s="192" t="n">
        <f aca="false">C!$H74</f>
        <v>0</v>
      </c>
      <c r="D127" s="192" t="n">
        <f aca="false">D!$H74</f>
        <v>0</v>
      </c>
      <c r="E127" s="192" t="n">
        <f aca="false">E!$H74</f>
        <v>0</v>
      </c>
      <c r="F127" s="192" t="n">
        <f aca="false">F!$H74</f>
        <v>0</v>
      </c>
      <c r="G127" s="192" t="n">
        <f aca="false">G!$H74</f>
        <v>0</v>
      </c>
      <c r="H127" s="192" t="n">
        <f aca="false">H!$H74</f>
        <v>0</v>
      </c>
      <c r="I127" s="192" t="n">
        <f aca="false">I!$H74</f>
        <v>0</v>
      </c>
      <c r="J127" s="192" t="n">
        <f aca="false">J!$H74</f>
        <v>0</v>
      </c>
      <c r="K127" s="192" t="n">
        <f aca="false">K!$H74</f>
        <v>0</v>
      </c>
      <c r="L127" s="192" t="n">
        <f aca="false">L!$H74</f>
        <v>0</v>
      </c>
      <c r="M127" s="192" t="n">
        <f aca="false">M!$H74</f>
        <v>0</v>
      </c>
      <c r="N127" s="192" t="n">
        <f aca="false">N!$H74</f>
        <v>0</v>
      </c>
      <c r="O127" s="192" t="n">
        <f aca="false">O!$H74</f>
        <v>0</v>
      </c>
      <c r="P127" s="192" t="n">
        <f aca="false">P!$H74</f>
        <v>0</v>
      </c>
      <c r="Q127" s="192" t="n">
        <f aca="false">Q!$H74</f>
        <v>0</v>
      </c>
      <c r="R127" s="192" t="n">
        <f aca="false">R!$H74</f>
        <v>0</v>
      </c>
      <c r="S127" s="192" t="n">
        <f aca="false">S!$H74</f>
        <v>0</v>
      </c>
      <c r="T127" s="192" t="n">
        <f aca="false">T!$H74</f>
        <v>0</v>
      </c>
      <c r="U127" s="192" t="n">
        <f aca="false">U!$H74</f>
        <v>0</v>
      </c>
      <c r="V127" s="192" t="n">
        <f aca="false">V!$H74</f>
        <v>0</v>
      </c>
      <c r="W127" s="192" t="n">
        <f aca="false">W!$H74</f>
        <v>0</v>
      </c>
      <c r="X127" s="192" t="n">
        <f aca="false">X!$H74</f>
        <v>0</v>
      </c>
      <c r="Y127" s="193" t="n">
        <f aca="false">SUM(B127:X127)</f>
        <v>0</v>
      </c>
      <c r="Z127" s="193" t="n">
        <f aca="false">IF(B!E253="",0,B!$C$11+B!$C$8*B!F255)</f>
        <v>0</v>
      </c>
      <c r="AA127" s="193" t="n">
        <f aca="false">Y127-Z127</f>
        <v>0</v>
      </c>
    </row>
    <row r="128" customFormat="false" ht="15" hidden="false" customHeight="false" outlineLevel="0" collapsed="false">
      <c r="A128" s="195" t="s">
        <v>320</v>
      </c>
      <c r="B128" s="196" t="n">
        <f aca="false">SUM(B123:B127)</f>
        <v>0</v>
      </c>
      <c r="C128" s="196" t="n">
        <f aca="false">SUM(C123:C127)</f>
        <v>0</v>
      </c>
      <c r="D128" s="196" t="n">
        <f aca="false">SUM(D123:D127)</f>
        <v>0</v>
      </c>
      <c r="E128" s="196" t="n">
        <f aca="false">SUM(E123:E127)</f>
        <v>0</v>
      </c>
      <c r="F128" s="196" t="n">
        <f aca="false">SUM(F123:F127)</f>
        <v>0</v>
      </c>
      <c r="G128" s="196" t="n">
        <f aca="false">SUM(G123:G127)</f>
        <v>0</v>
      </c>
      <c r="H128" s="196" t="n">
        <f aca="false">SUM(H123:H127)</f>
        <v>0</v>
      </c>
      <c r="I128" s="196" t="n">
        <f aca="false">SUM(I123:I127)</f>
        <v>0</v>
      </c>
      <c r="J128" s="196" t="n">
        <f aca="false">SUM(J123:J127)</f>
        <v>0</v>
      </c>
      <c r="K128" s="196" t="n">
        <f aca="false">SUM(K123:K127)</f>
        <v>0</v>
      </c>
      <c r="L128" s="196" t="n">
        <f aca="false">SUM(L123:L127)</f>
        <v>0</v>
      </c>
      <c r="M128" s="196" t="n">
        <f aca="false">SUM(M123:M127)</f>
        <v>0</v>
      </c>
      <c r="N128" s="196" t="n">
        <f aca="false">SUM(N123:N127)</f>
        <v>0</v>
      </c>
      <c r="O128" s="196" t="n">
        <f aca="false">SUM(O123:O127)</f>
        <v>0</v>
      </c>
      <c r="P128" s="196" t="n">
        <f aca="false">SUM(P123:P127)</f>
        <v>0</v>
      </c>
      <c r="Q128" s="196" t="n">
        <f aca="false">SUM(Q123:Q127)</f>
        <v>0</v>
      </c>
      <c r="R128" s="196" t="n">
        <f aca="false">SUM(R123:R127)</f>
        <v>0</v>
      </c>
      <c r="S128" s="196" t="n">
        <f aca="false">SUM(S123:S127)</f>
        <v>0</v>
      </c>
      <c r="T128" s="196" t="n">
        <f aca="false">SUM(T123:T127)</f>
        <v>0</v>
      </c>
      <c r="U128" s="196" t="n">
        <f aca="false">SUM(U123:U127)</f>
        <v>0</v>
      </c>
      <c r="V128" s="196" t="n">
        <f aca="false">SUM(V123:V127)</f>
        <v>0</v>
      </c>
      <c r="W128" s="196" t="n">
        <f aca="false">SUM(W123:W127)</f>
        <v>0</v>
      </c>
      <c r="X128" s="197" t="n">
        <f aca="false">SUM(X123:X127)</f>
        <v>0</v>
      </c>
      <c r="Y128" s="198" t="n">
        <f aca="false">SUM(Y123:Y127)</f>
        <v>0</v>
      </c>
      <c r="Z128" s="198" t="n">
        <f aca="false">SUM(Z123:Z127)</f>
        <v>0</v>
      </c>
      <c r="AA128" s="198" t="n">
        <f aca="false">SUM(AA123:AA127)</f>
        <v>0</v>
      </c>
    </row>
    <row r="129" customFormat="false" ht="17.35" hidden="false" customHeight="false" outlineLevel="0" collapsed="false">
      <c r="A129" s="199"/>
      <c r="B129" s="199"/>
      <c r="Y129" s="186" t="s">
        <v>31</v>
      </c>
      <c r="Z129" s="186" t="s">
        <v>31</v>
      </c>
      <c r="AA129" s="186" t="s">
        <v>31</v>
      </c>
    </row>
    <row r="130" customFormat="false" ht="17.35" hidden="false" customHeight="false" outlineLevel="0" collapsed="false">
      <c r="A130" s="187" t="n">
        <f aca="false">C!F82</f>
        <v>0</v>
      </c>
      <c r="B130" s="187" t="s">
        <v>295</v>
      </c>
      <c r="C130" s="188" t="s">
        <v>296</v>
      </c>
      <c r="D130" s="188" t="s">
        <v>297</v>
      </c>
      <c r="E130" s="188" t="s">
        <v>298</v>
      </c>
      <c r="F130" s="188" t="s">
        <v>299</v>
      </c>
      <c r="G130" s="188" t="s">
        <v>300</v>
      </c>
      <c r="H130" s="188" t="s">
        <v>301</v>
      </c>
      <c r="I130" s="188" t="s">
        <v>302</v>
      </c>
      <c r="J130" s="188" t="s">
        <v>303</v>
      </c>
      <c r="K130" s="188" t="s">
        <v>304</v>
      </c>
      <c r="L130" s="188" t="s">
        <v>305</v>
      </c>
      <c r="M130" s="188" t="s">
        <v>306</v>
      </c>
      <c r="N130" s="188" t="s">
        <v>307</v>
      </c>
      <c r="O130" s="188" t="s">
        <v>308</v>
      </c>
      <c r="P130" s="188" t="s">
        <v>309</v>
      </c>
      <c r="Q130" s="188" t="s">
        <v>310</v>
      </c>
      <c r="R130" s="188" t="s">
        <v>311</v>
      </c>
      <c r="S130" s="188" t="s">
        <v>312</v>
      </c>
      <c r="T130" s="188" t="s">
        <v>313</v>
      </c>
      <c r="U130" s="188" t="s">
        <v>314</v>
      </c>
      <c r="V130" s="188" t="s">
        <v>315</v>
      </c>
      <c r="W130" s="188" t="s">
        <v>316</v>
      </c>
      <c r="X130" s="189" t="s">
        <v>317</v>
      </c>
      <c r="Y130" s="190" t="s">
        <v>209</v>
      </c>
      <c r="Z130" s="190" t="s">
        <v>318</v>
      </c>
      <c r="AA130" s="190" t="s">
        <v>319</v>
      </c>
    </row>
    <row r="131" customFormat="false" ht="15" hidden="false" customHeight="false" outlineLevel="0" collapsed="false">
      <c r="A131" s="191" t="n">
        <f aca="false">C!F83</f>
        <v>0</v>
      </c>
      <c r="B131" s="192" t="n">
        <f aca="false">IF(B!F276=TRUE(),14,0)</f>
        <v>0</v>
      </c>
      <c r="C131" s="192" t="n">
        <f aca="false">C!$H83</f>
        <v>0</v>
      </c>
      <c r="D131" s="192" t="n">
        <f aca="false">D!$H83</f>
        <v>0</v>
      </c>
      <c r="E131" s="192" t="n">
        <f aca="false">E!$H83</f>
        <v>0</v>
      </c>
      <c r="F131" s="192" t="n">
        <f aca="false">F!$H83</f>
        <v>0</v>
      </c>
      <c r="G131" s="192" t="n">
        <f aca="false">G!$H83</f>
        <v>0</v>
      </c>
      <c r="H131" s="192" t="n">
        <f aca="false">H!$H83</f>
        <v>0</v>
      </c>
      <c r="I131" s="192" t="n">
        <f aca="false">I!$H83</f>
        <v>0</v>
      </c>
      <c r="J131" s="192" t="n">
        <f aca="false">J!$H83</f>
        <v>0</v>
      </c>
      <c r="K131" s="192" t="n">
        <f aca="false">K!$H83</f>
        <v>0</v>
      </c>
      <c r="L131" s="192" t="n">
        <f aca="false">L!$H83</f>
        <v>0</v>
      </c>
      <c r="M131" s="192" t="n">
        <f aca="false">M!$H83</f>
        <v>0</v>
      </c>
      <c r="N131" s="192" t="n">
        <f aca="false">N!$H83</f>
        <v>0</v>
      </c>
      <c r="O131" s="192" t="n">
        <f aca="false">O!$H83</f>
        <v>0</v>
      </c>
      <c r="P131" s="192" t="n">
        <f aca="false">P!$H83</f>
        <v>0</v>
      </c>
      <c r="Q131" s="192" t="n">
        <f aca="false">Q!$H83</f>
        <v>0</v>
      </c>
      <c r="R131" s="192" t="n">
        <f aca="false">R!$H83</f>
        <v>0</v>
      </c>
      <c r="S131" s="192" t="n">
        <f aca="false">S!$H83</f>
        <v>0</v>
      </c>
      <c r="T131" s="192" t="n">
        <f aca="false">T!$H83</f>
        <v>0</v>
      </c>
      <c r="U131" s="192" t="n">
        <f aca="false">U!$H83</f>
        <v>0</v>
      </c>
      <c r="V131" s="192" t="n">
        <f aca="false">V!$H83</f>
        <v>0</v>
      </c>
      <c r="W131" s="192" t="n">
        <f aca="false">W!$H83</f>
        <v>0</v>
      </c>
      <c r="X131" s="192" t="n">
        <f aca="false">X!$H83</f>
        <v>0</v>
      </c>
      <c r="Y131" s="193" t="n">
        <f aca="false">SUM(B131:X131)</f>
        <v>0</v>
      </c>
      <c r="Z131" s="193" t="n">
        <f aca="false">IF(B!E276="",0,B!$C$11+B!$C$8*B!F278)</f>
        <v>0</v>
      </c>
      <c r="AA131" s="193" t="n">
        <f aca="false">Y131-Z131</f>
        <v>0</v>
      </c>
    </row>
    <row r="132" customFormat="false" ht="15" hidden="false" customHeight="false" outlineLevel="0" collapsed="false">
      <c r="A132" s="191" t="n">
        <f aca="false">C!F84</f>
        <v>0</v>
      </c>
      <c r="B132" s="192" t="n">
        <f aca="false">IF(B!F281=TRUE(),14,0)</f>
        <v>0</v>
      </c>
      <c r="C132" s="192" t="n">
        <f aca="false">C!$H84</f>
        <v>0</v>
      </c>
      <c r="D132" s="192" t="n">
        <f aca="false">D!$H84</f>
        <v>0</v>
      </c>
      <c r="E132" s="192" t="n">
        <f aca="false">E!$H84</f>
        <v>0</v>
      </c>
      <c r="F132" s="192" t="n">
        <f aca="false">F!$H84</f>
        <v>0</v>
      </c>
      <c r="G132" s="192" t="n">
        <f aca="false">G!$H84</f>
        <v>0</v>
      </c>
      <c r="H132" s="192" t="n">
        <f aca="false">H!$H84</f>
        <v>0</v>
      </c>
      <c r="I132" s="192" t="n">
        <f aca="false">I!$H84</f>
        <v>0</v>
      </c>
      <c r="J132" s="192" t="n">
        <f aca="false">J!$H84</f>
        <v>0</v>
      </c>
      <c r="K132" s="192" t="n">
        <f aca="false">K!$H84</f>
        <v>0</v>
      </c>
      <c r="L132" s="192" t="n">
        <f aca="false">L!$H84</f>
        <v>0</v>
      </c>
      <c r="M132" s="192" t="n">
        <f aca="false">M!$H84</f>
        <v>0</v>
      </c>
      <c r="N132" s="192" t="n">
        <f aca="false">N!$H84</f>
        <v>0</v>
      </c>
      <c r="O132" s="192" t="n">
        <f aca="false">O!$H84</f>
        <v>0</v>
      </c>
      <c r="P132" s="192" t="n">
        <f aca="false">P!$H84</f>
        <v>0</v>
      </c>
      <c r="Q132" s="192" t="n">
        <f aca="false">Q!$H84</f>
        <v>0</v>
      </c>
      <c r="R132" s="192" t="n">
        <f aca="false">R!$H84</f>
        <v>0</v>
      </c>
      <c r="S132" s="192" t="n">
        <f aca="false">S!$H84</f>
        <v>0</v>
      </c>
      <c r="T132" s="192" t="n">
        <f aca="false">T!$H84</f>
        <v>0</v>
      </c>
      <c r="U132" s="192" t="n">
        <f aca="false">U!$H84</f>
        <v>0</v>
      </c>
      <c r="V132" s="192" t="n">
        <f aca="false">V!$H84</f>
        <v>0</v>
      </c>
      <c r="W132" s="192" t="n">
        <f aca="false">W!$H84</f>
        <v>0</v>
      </c>
      <c r="X132" s="192" t="n">
        <f aca="false">X!$H84</f>
        <v>0</v>
      </c>
      <c r="Y132" s="193" t="n">
        <f aca="false">SUM(B132:X132)</f>
        <v>0</v>
      </c>
      <c r="Z132" s="193" t="n">
        <f aca="false">IF(B!E281="",0,B!$C$11+B!$C$8*B!F283)</f>
        <v>0</v>
      </c>
      <c r="AA132" s="193" t="n">
        <f aca="false">Y132-Z132</f>
        <v>0</v>
      </c>
    </row>
    <row r="133" customFormat="false" ht="15" hidden="false" customHeight="false" outlineLevel="0" collapsed="false">
      <c r="A133" s="191" t="n">
        <f aca="false">C!F85</f>
        <v>0</v>
      </c>
      <c r="B133" s="192" t="n">
        <f aca="false">IF(B!F286=TRUE(),14,0)</f>
        <v>0</v>
      </c>
      <c r="C133" s="192" t="n">
        <f aca="false">C!$H85</f>
        <v>0</v>
      </c>
      <c r="D133" s="192" t="n">
        <f aca="false">D!$H85</f>
        <v>0</v>
      </c>
      <c r="E133" s="192" t="n">
        <f aca="false">E!$H85</f>
        <v>0</v>
      </c>
      <c r="F133" s="192" t="n">
        <f aca="false">F!$H85</f>
        <v>0</v>
      </c>
      <c r="G133" s="192" t="n">
        <f aca="false">G!$H85</f>
        <v>0</v>
      </c>
      <c r="H133" s="192" t="n">
        <f aca="false">H!$H85</f>
        <v>0</v>
      </c>
      <c r="I133" s="192" t="n">
        <f aca="false">I!$H85</f>
        <v>0</v>
      </c>
      <c r="J133" s="192" t="n">
        <f aca="false">J!$H85</f>
        <v>0</v>
      </c>
      <c r="K133" s="192" t="n">
        <f aca="false">K!$H85</f>
        <v>0</v>
      </c>
      <c r="L133" s="192" t="n">
        <f aca="false">L!$H85</f>
        <v>0</v>
      </c>
      <c r="M133" s="192" t="n">
        <f aca="false">M!$H85</f>
        <v>0</v>
      </c>
      <c r="N133" s="192" t="n">
        <f aca="false">N!$H85</f>
        <v>0</v>
      </c>
      <c r="O133" s="192" t="n">
        <f aca="false">O!$H85</f>
        <v>0</v>
      </c>
      <c r="P133" s="192" t="n">
        <f aca="false">P!$H85</f>
        <v>0</v>
      </c>
      <c r="Q133" s="192" t="n">
        <f aca="false">Q!$H85</f>
        <v>0</v>
      </c>
      <c r="R133" s="192" t="n">
        <f aca="false">R!$H85</f>
        <v>0</v>
      </c>
      <c r="S133" s="192" t="n">
        <f aca="false">S!$H85</f>
        <v>0</v>
      </c>
      <c r="T133" s="192" t="n">
        <f aca="false">T!$H85</f>
        <v>0</v>
      </c>
      <c r="U133" s="192" t="n">
        <f aca="false">U!$H85</f>
        <v>0</v>
      </c>
      <c r="V133" s="192" t="n">
        <f aca="false">V!$H85</f>
        <v>0</v>
      </c>
      <c r="W133" s="192" t="n">
        <f aca="false">W!$H85</f>
        <v>0</v>
      </c>
      <c r="X133" s="192" t="n">
        <f aca="false">X!$H85</f>
        <v>0</v>
      </c>
      <c r="Y133" s="193" t="n">
        <f aca="false">SUM(B133:X133)</f>
        <v>0</v>
      </c>
      <c r="Z133" s="193" t="n">
        <f aca="false">IF(B!E286="",0,B!$C$11+B!$C$8*B!F288)</f>
        <v>0</v>
      </c>
      <c r="AA133" s="193" t="n">
        <f aca="false">Y133-Z133</f>
        <v>0</v>
      </c>
    </row>
    <row r="134" customFormat="false" ht="15" hidden="false" customHeight="false" outlineLevel="0" collapsed="false">
      <c r="A134" s="191" t="n">
        <f aca="false">C!F86</f>
        <v>0</v>
      </c>
      <c r="B134" s="192" t="n">
        <f aca="false">IF(B!F291=TRUE(),14,0)</f>
        <v>0</v>
      </c>
      <c r="C134" s="192" t="n">
        <f aca="false">C!$H86</f>
        <v>0</v>
      </c>
      <c r="D134" s="192" t="n">
        <f aca="false">D!$H86</f>
        <v>0</v>
      </c>
      <c r="E134" s="192" t="n">
        <f aca="false">E!$H86</f>
        <v>0</v>
      </c>
      <c r="F134" s="192" t="n">
        <f aca="false">F!$H86</f>
        <v>0</v>
      </c>
      <c r="G134" s="192" t="n">
        <f aca="false">G!$H86</f>
        <v>0</v>
      </c>
      <c r="H134" s="192" t="n">
        <f aca="false">H!$H86</f>
        <v>0</v>
      </c>
      <c r="I134" s="192" t="n">
        <f aca="false">I!$H86</f>
        <v>0</v>
      </c>
      <c r="J134" s="192" t="n">
        <f aca="false">J!$H86</f>
        <v>0</v>
      </c>
      <c r="K134" s="192" t="n">
        <f aca="false">K!$H86</f>
        <v>0</v>
      </c>
      <c r="L134" s="192" t="n">
        <f aca="false">L!$H86</f>
        <v>0</v>
      </c>
      <c r="M134" s="192" t="n">
        <f aca="false">M!$H86</f>
        <v>0</v>
      </c>
      <c r="N134" s="192" t="n">
        <f aca="false">N!$H86</f>
        <v>0</v>
      </c>
      <c r="O134" s="192" t="n">
        <f aca="false">O!$H86</f>
        <v>0</v>
      </c>
      <c r="P134" s="192" t="n">
        <f aca="false">P!$H86</f>
        <v>0</v>
      </c>
      <c r="Q134" s="192" t="n">
        <f aca="false">Q!$H86</f>
        <v>0</v>
      </c>
      <c r="R134" s="192" t="n">
        <f aca="false">R!$H86</f>
        <v>0</v>
      </c>
      <c r="S134" s="192" t="n">
        <f aca="false">S!$H86</f>
        <v>0</v>
      </c>
      <c r="T134" s="192" t="n">
        <f aca="false">T!$H86</f>
        <v>0</v>
      </c>
      <c r="U134" s="192" t="n">
        <f aca="false">U!$H86</f>
        <v>0</v>
      </c>
      <c r="V134" s="192" t="n">
        <f aca="false">V!$H86</f>
        <v>0</v>
      </c>
      <c r="W134" s="192" t="n">
        <f aca="false">W!$H86</f>
        <v>0</v>
      </c>
      <c r="X134" s="192" t="n">
        <f aca="false">X!$H86</f>
        <v>0</v>
      </c>
      <c r="Y134" s="193" t="n">
        <f aca="false">SUM(B134:X134)</f>
        <v>0</v>
      </c>
      <c r="Z134" s="193" t="n">
        <f aca="false">IF(B!E291="",0,B!$C$11+B!$C$8*B!F293)</f>
        <v>0</v>
      </c>
      <c r="AA134" s="193" t="n">
        <f aca="false">Y134-Z134</f>
        <v>0</v>
      </c>
    </row>
    <row r="135" customFormat="false" ht="15" hidden="false" customHeight="false" outlineLevel="0" collapsed="false">
      <c r="A135" s="191" t="n">
        <f aca="false">C!F87</f>
        <v>0</v>
      </c>
      <c r="B135" s="192" t="n">
        <f aca="false">IF(B!F296=TRUE(),14,0)</f>
        <v>0</v>
      </c>
      <c r="C135" s="192" t="n">
        <f aca="false">C!$H87</f>
        <v>0</v>
      </c>
      <c r="D135" s="192" t="n">
        <f aca="false">D!$H87</f>
        <v>0</v>
      </c>
      <c r="E135" s="192" t="n">
        <f aca="false">E!$H87</f>
        <v>0</v>
      </c>
      <c r="F135" s="192" t="n">
        <f aca="false">F!$H87</f>
        <v>0</v>
      </c>
      <c r="G135" s="192" t="n">
        <f aca="false">G!$H87</f>
        <v>0</v>
      </c>
      <c r="H135" s="192" t="n">
        <f aca="false">H!$H87</f>
        <v>0</v>
      </c>
      <c r="I135" s="192" t="n">
        <f aca="false">I!$H87</f>
        <v>0</v>
      </c>
      <c r="J135" s="192" t="n">
        <f aca="false">J!$H87</f>
        <v>0</v>
      </c>
      <c r="K135" s="192" t="n">
        <f aca="false">K!$H87</f>
        <v>0</v>
      </c>
      <c r="L135" s="192" t="n">
        <f aca="false">L!$H87</f>
        <v>0</v>
      </c>
      <c r="M135" s="192" t="n">
        <f aca="false">M!$H87</f>
        <v>0</v>
      </c>
      <c r="N135" s="192" t="n">
        <f aca="false">N!$H87</f>
        <v>0</v>
      </c>
      <c r="O135" s="192" t="n">
        <f aca="false">O!$H87</f>
        <v>0</v>
      </c>
      <c r="P135" s="192" t="n">
        <f aca="false">P!$H87</f>
        <v>0</v>
      </c>
      <c r="Q135" s="192" t="n">
        <f aca="false">Q!$H87</f>
        <v>0</v>
      </c>
      <c r="R135" s="192" t="n">
        <f aca="false">R!$H87</f>
        <v>0</v>
      </c>
      <c r="S135" s="192" t="n">
        <f aca="false">S!$H87</f>
        <v>0</v>
      </c>
      <c r="T135" s="192" t="n">
        <f aca="false">T!$H87</f>
        <v>0</v>
      </c>
      <c r="U135" s="192" t="n">
        <f aca="false">U!$H87</f>
        <v>0</v>
      </c>
      <c r="V135" s="192" t="n">
        <f aca="false">V!$H87</f>
        <v>0</v>
      </c>
      <c r="W135" s="192" t="n">
        <f aca="false">W!$H87</f>
        <v>0</v>
      </c>
      <c r="X135" s="192" t="n">
        <f aca="false">X!$H87</f>
        <v>0</v>
      </c>
      <c r="Y135" s="193" t="n">
        <f aca="false">SUM(B135:X135)</f>
        <v>0</v>
      </c>
      <c r="Z135" s="193" t="n">
        <f aca="false">IF(B!E296="",0,B!$C$11+B!$C$8*B!F298)</f>
        <v>0</v>
      </c>
      <c r="AA135" s="193" t="n">
        <f aca="false">Y135-Z135</f>
        <v>0</v>
      </c>
    </row>
    <row r="136" customFormat="false" ht="15" hidden="false" customHeight="false" outlineLevel="0" collapsed="false">
      <c r="A136" s="195" t="s">
        <v>320</v>
      </c>
      <c r="B136" s="196" t="n">
        <f aca="false">SUM(B131:B135)</f>
        <v>0</v>
      </c>
      <c r="C136" s="196" t="n">
        <f aca="false">SUM(C131:C135)</f>
        <v>0</v>
      </c>
      <c r="D136" s="196" t="n">
        <f aca="false">SUM(D131:D135)</f>
        <v>0</v>
      </c>
      <c r="E136" s="196" t="n">
        <f aca="false">SUM(E131:E135)</f>
        <v>0</v>
      </c>
      <c r="F136" s="196" t="n">
        <f aca="false">SUM(F131:F135)</f>
        <v>0</v>
      </c>
      <c r="G136" s="196" t="n">
        <f aca="false">SUM(G131:G135)</f>
        <v>0</v>
      </c>
      <c r="H136" s="196" t="n">
        <f aca="false">SUM(H131:H135)</f>
        <v>0</v>
      </c>
      <c r="I136" s="196" t="n">
        <f aca="false">SUM(I131:I135)</f>
        <v>0</v>
      </c>
      <c r="J136" s="196" t="n">
        <f aca="false">SUM(J131:J135)</f>
        <v>0</v>
      </c>
      <c r="K136" s="196" t="n">
        <f aca="false">SUM(K131:K135)</f>
        <v>0</v>
      </c>
      <c r="L136" s="196" t="n">
        <f aca="false">SUM(L131:L135)</f>
        <v>0</v>
      </c>
      <c r="M136" s="196" t="n">
        <f aca="false">SUM(M131:M135)</f>
        <v>0</v>
      </c>
      <c r="N136" s="196" t="n">
        <f aca="false">SUM(N131:N135)</f>
        <v>0</v>
      </c>
      <c r="O136" s="196" t="n">
        <f aca="false">SUM(O131:O135)</f>
        <v>0</v>
      </c>
      <c r="P136" s="196" t="n">
        <f aca="false">SUM(P131:P135)</f>
        <v>0</v>
      </c>
      <c r="Q136" s="196" t="n">
        <f aca="false">SUM(Q131:Q135)</f>
        <v>0</v>
      </c>
      <c r="R136" s="196" t="n">
        <f aca="false">SUM(R131:R135)</f>
        <v>0</v>
      </c>
      <c r="S136" s="196" t="n">
        <f aca="false">SUM(S131:S135)</f>
        <v>0</v>
      </c>
      <c r="T136" s="196" t="n">
        <f aca="false">SUM(T131:T135)</f>
        <v>0</v>
      </c>
      <c r="U136" s="196" t="n">
        <f aca="false">SUM(U131:U135)</f>
        <v>0</v>
      </c>
      <c r="V136" s="196" t="n">
        <f aca="false">SUM(V131:V135)</f>
        <v>0</v>
      </c>
      <c r="W136" s="196" t="n">
        <f aca="false">SUM(W131:W135)</f>
        <v>0</v>
      </c>
      <c r="X136" s="197" t="n">
        <f aca="false">SUM(X131:X135)</f>
        <v>0</v>
      </c>
      <c r="Y136" s="198" t="n">
        <f aca="false">SUM(Y131:Y135)</f>
        <v>0</v>
      </c>
      <c r="Z136" s="198" t="n">
        <f aca="false">SUM(Z131:Z135)</f>
        <v>0</v>
      </c>
      <c r="AA136" s="198" t="n">
        <f aca="false">SUM(AA131:AA135)</f>
        <v>0</v>
      </c>
    </row>
    <row r="137" customFormat="false" ht="17.35" hidden="false" customHeight="false" outlineLevel="0" collapsed="false">
      <c r="A137" s="199"/>
      <c r="B137" s="199"/>
      <c r="Y137" s="186" t="s">
        <v>31</v>
      </c>
      <c r="Z137" s="186" t="s">
        <v>31</v>
      </c>
      <c r="AA137" s="186" t="s">
        <v>31</v>
      </c>
    </row>
    <row r="138" customFormat="false" ht="17.35" hidden="false" customHeight="false" outlineLevel="0" collapsed="false">
      <c r="A138" s="187" t="n">
        <f aca="false">C!F95</f>
        <v>0</v>
      </c>
      <c r="B138" s="187" t="s">
        <v>295</v>
      </c>
      <c r="C138" s="188" t="s">
        <v>296</v>
      </c>
      <c r="D138" s="188" t="s">
        <v>297</v>
      </c>
      <c r="E138" s="188" t="s">
        <v>298</v>
      </c>
      <c r="F138" s="188" t="s">
        <v>299</v>
      </c>
      <c r="G138" s="188" t="s">
        <v>300</v>
      </c>
      <c r="H138" s="188" t="s">
        <v>301</v>
      </c>
      <c r="I138" s="188" t="s">
        <v>302</v>
      </c>
      <c r="J138" s="188" t="s">
        <v>303</v>
      </c>
      <c r="K138" s="188" t="s">
        <v>304</v>
      </c>
      <c r="L138" s="188" t="s">
        <v>305</v>
      </c>
      <c r="M138" s="188" t="s">
        <v>306</v>
      </c>
      <c r="N138" s="188" t="s">
        <v>307</v>
      </c>
      <c r="O138" s="188" t="s">
        <v>308</v>
      </c>
      <c r="P138" s="188" t="s">
        <v>309</v>
      </c>
      <c r="Q138" s="188" t="s">
        <v>310</v>
      </c>
      <c r="R138" s="188" t="s">
        <v>311</v>
      </c>
      <c r="S138" s="188" t="s">
        <v>312</v>
      </c>
      <c r="T138" s="188" t="s">
        <v>313</v>
      </c>
      <c r="U138" s="188" t="s">
        <v>314</v>
      </c>
      <c r="V138" s="188" t="s">
        <v>315</v>
      </c>
      <c r="W138" s="188" t="s">
        <v>316</v>
      </c>
      <c r="X138" s="189" t="s">
        <v>317</v>
      </c>
      <c r="Y138" s="190" t="s">
        <v>209</v>
      </c>
      <c r="Z138" s="190" t="s">
        <v>318</v>
      </c>
      <c r="AA138" s="190" t="s">
        <v>319</v>
      </c>
    </row>
    <row r="139" customFormat="false" ht="15" hidden="false" customHeight="false" outlineLevel="0" collapsed="false">
      <c r="A139" s="191" t="n">
        <f aca="false">C!F96</f>
        <v>0</v>
      </c>
      <c r="B139" s="192" t="n">
        <f aca="false">IF(B!F319=TRUE(),14,0)</f>
        <v>0</v>
      </c>
      <c r="C139" s="192" t="n">
        <f aca="false">C!$H96</f>
        <v>0</v>
      </c>
      <c r="D139" s="192" t="n">
        <f aca="false">D!$H96</f>
        <v>0</v>
      </c>
      <c r="E139" s="192" t="n">
        <f aca="false">E!$H96</f>
        <v>0</v>
      </c>
      <c r="F139" s="192" t="n">
        <f aca="false">F!$H96</f>
        <v>0</v>
      </c>
      <c r="G139" s="192" t="n">
        <f aca="false">G!$H96</f>
        <v>0</v>
      </c>
      <c r="H139" s="192" t="n">
        <f aca="false">H!$H96</f>
        <v>0</v>
      </c>
      <c r="I139" s="192" t="n">
        <f aca="false">I!$H96</f>
        <v>0</v>
      </c>
      <c r="J139" s="192" t="n">
        <f aca="false">J!$H96</f>
        <v>0</v>
      </c>
      <c r="K139" s="192" t="n">
        <f aca="false">K!$H96</f>
        <v>0</v>
      </c>
      <c r="L139" s="192" t="n">
        <f aca="false">L!$H96</f>
        <v>0</v>
      </c>
      <c r="M139" s="192" t="n">
        <f aca="false">M!$H96</f>
        <v>0</v>
      </c>
      <c r="N139" s="192" t="n">
        <f aca="false">N!$H96</f>
        <v>0</v>
      </c>
      <c r="O139" s="192" t="n">
        <f aca="false">O!$H96</f>
        <v>0</v>
      </c>
      <c r="P139" s="192" t="n">
        <f aca="false">P!$H96</f>
        <v>0</v>
      </c>
      <c r="Q139" s="192" t="n">
        <f aca="false">Q!$H96</f>
        <v>0</v>
      </c>
      <c r="R139" s="192" t="n">
        <f aca="false">R!$H96</f>
        <v>0</v>
      </c>
      <c r="S139" s="192" t="n">
        <f aca="false">S!$H96</f>
        <v>0</v>
      </c>
      <c r="T139" s="192" t="n">
        <f aca="false">T!$H96</f>
        <v>0</v>
      </c>
      <c r="U139" s="192" t="n">
        <f aca="false">U!$H96</f>
        <v>0</v>
      </c>
      <c r="V139" s="192" t="n">
        <f aca="false">V!$H96</f>
        <v>0</v>
      </c>
      <c r="W139" s="192" t="n">
        <f aca="false">W!$H96</f>
        <v>0</v>
      </c>
      <c r="X139" s="192" t="n">
        <f aca="false">X!$H96</f>
        <v>0</v>
      </c>
      <c r="Y139" s="193" t="n">
        <f aca="false">SUM(B139:X139)</f>
        <v>0</v>
      </c>
      <c r="Z139" s="193" t="n">
        <f aca="false">IF(B!E319="",0,B!$C$11+B!$C$8*B!F321)</f>
        <v>0</v>
      </c>
      <c r="AA139" s="193" t="n">
        <f aca="false">Y139-Z139</f>
        <v>0</v>
      </c>
    </row>
    <row r="140" customFormat="false" ht="15" hidden="false" customHeight="false" outlineLevel="0" collapsed="false">
      <c r="A140" s="191" t="n">
        <f aca="false">C!F97</f>
        <v>0</v>
      </c>
      <c r="B140" s="192" t="n">
        <f aca="false">IF(B!F324=TRUE(),14,0)</f>
        <v>0</v>
      </c>
      <c r="C140" s="192" t="n">
        <f aca="false">C!$H97</f>
        <v>0</v>
      </c>
      <c r="D140" s="192" t="n">
        <f aca="false">D!$H97</f>
        <v>0</v>
      </c>
      <c r="E140" s="192" t="n">
        <f aca="false">E!$H97</f>
        <v>0</v>
      </c>
      <c r="F140" s="192" t="n">
        <f aca="false">F!$H97</f>
        <v>0</v>
      </c>
      <c r="G140" s="192" t="n">
        <f aca="false">G!$H97</f>
        <v>0</v>
      </c>
      <c r="H140" s="192" t="n">
        <f aca="false">H!$H97</f>
        <v>0</v>
      </c>
      <c r="I140" s="192" t="n">
        <f aca="false">I!$H97</f>
        <v>0</v>
      </c>
      <c r="J140" s="192" t="n">
        <f aca="false">J!$H97</f>
        <v>0</v>
      </c>
      <c r="K140" s="192" t="n">
        <f aca="false">K!$H97</f>
        <v>0</v>
      </c>
      <c r="L140" s="192" t="n">
        <f aca="false">L!$H97</f>
        <v>0</v>
      </c>
      <c r="M140" s="192" t="n">
        <f aca="false">M!$H97</f>
        <v>0</v>
      </c>
      <c r="N140" s="192" t="n">
        <f aca="false">N!$H97</f>
        <v>0</v>
      </c>
      <c r="O140" s="192" t="n">
        <f aca="false">O!$H97</f>
        <v>0</v>
      </c>
      <c r="P140" s="192" t="n">
        <f aca="false">P!$H97</f>
        <v>0</v>
      </c>
      <c r="Q140" s="192" t="n">
        <f aca="false">Q!$H97</f>
        <v>0</v>
      </c>
      <c r="R140" s="192" t="n">
        <f aca="false">R!$H97</f>
        <v>0</v>
      </c>
      <c r="S140" s="192" t="n">
        <f aca="false">S!$H97</f>
        <v>0</v>
      </c>
      <c r="T140" s="192" t="n">
        <f aca="false">T!$H97</f>
        <v>0</v>
      </c>
      <c r="U140" s="192" t="n">
        <f aca="false">U!$H97</f>
        <v>0</v>
      </c>
      <c r="V140" s="192" t="n">
        <f aca="false">V!$H97</f>
        <v>0</v>
      </c>
      <c r="W140" s="192" t="n">
        <f aca="false">W!$H97</f>
        <v>0</v>
      </c>
      <c r="X140" s="192" t="n">
        <f aca="false">X!$H97</f>
        <v>0</v>
      </c>
      <c r="Y140" s="193" t="n">
        <f aca="false">SUM(B140:X140)</f>
        <v>0</v>
      </c>
      <c r="Z140" s="193" t="n">
        <f aca="false">IF(B!E324="",0,B!$C$11+B!$C$8*B!F326)</f>
        <v>0</v>
      </c>
      <c r="AA140" s="193" t="n">
        <f aca="false">Y140-Z140</f>
        <v>0</v>
      </c>
    </row>
    <row r="141" customFormat="false" ht="15" hidden="false" customHeight="false" outlineLevel="0" collapsed="false">
      <c r="A141" s="191" t="n">
        <f aca="false">C!F98</f>
        <v>0</v>
      </c>
      <c r="B141" s="192" t="n">
        <f aca="false">IF(B!F329=TRUE(),14,0)</f>
        <v>0</v>
      </c>
      <c r="C141" s="192" t="n">
        <f aca="false">C!$H98</f>
        <v>0</v>
      </c>
      <c r="D141" s="192" t="n">
        <f aca="false">D!$H98</f>
        <v>0</v>
      </c>
      <c r="E141" s="192" t="n">
        <f aca="false">E!$H98</f>
        <v>0</v>
      </c>
      <c r="F141" s="192" t="n">
        <f aca="false">F!$H98</f>
        <v>0</v>
      </c>
      <c r="G141" s="192" t="n">
        <f aca="false">G!$H98</f>
        <v>0</v>
      </c>
      <c r="H141" s="192" t="n">
        <f aca="false">H!$H98</f>
        <v>0</v>
      </c>
      <c r="I141" s="192" t="n">
        <f aca="false">I!$H98</f>
        <v>0</v>
      </c>
      <c r="J141" s="192" t="n">
        <f aca="false">J!$H98</f>
        <v>0</v>
      </c>
      <c r="K141" s="192" t="n">
        <f aca="false">K!$H98</f>
        <v>0</v>
      </c>
      <c r="L141" s="192" t="n">
        <f aca="false">L!$H98</f>
        <v>0</v>
      </c>
      <c r="M141" s="192" t="n">
        <f aca="false">M!$H98</f>
        <v>0</v>
      </c>
      <c r="N141" s="192" t="n">
        <f aca="false">N!$H98</f>
        <v>0</v>
      </c>
      <c r="O141" s="192" t="n">
        <f aca="false">O!$H98</f>
        <v>0</v>
      </c>
      <c r="P141" s="192" t="n">
        <f aca="false">P!$H98</f>
        <v>0</v>
      </c>
      <c r="Q141" s="192" t="n">
        <f aca="false">Q!$H98</f>
        <v>0</v>
      </c>
      <c r="R141" s="192" t="n">
        <f aca="false">R!$H98</f>
        <v>0</v>
      </c>
      <c r="S141" s="192" t="n">
        <f aca="false">S!$H98</f>
        <v>0</v>
      </c>
      <c r="T141" s="192" t="n">
        <f aca="false">T!$H98</f>
        <v>0</v>
      </c>
      <c r="U141" s="192" t="n">
        <f aca="false">U!$H98</f>
        <v>0</v>
      </c>
      <c r="V141" s="192" t="n">
        <f aca="false">V!$H98</f>
        <v>0</v>
      </c>
      <c r="W141" s="192" t="n">
        <f aca="false">W!$H98</f>
        <v>0</v>
      </c>
      <c r="X141" s="192" t="n">
        <f aca="false">X!$H98</f>
        <v>0</v>
      </c>
      <c r="Y141" s="193" t="n">
        <f aca="false">SUM(B141:X141)</f>
        <v>0</v>
      </c>
      <c r="Z141" s="193" t="n">
        <f aca="false">IF(B!E329="",0,B!$C$11+B!$C$8*B!F331)</f>
        <v>0</v>
      </c>
      <c r="AA141" s="193" t="n">
        <f aca="false">Y141-Z141</f>
        <v>0</v>
      </c>
    </row>
    <row r="142" customFormat="false" ht="15" hidden="false" customHeight="false" outlineLevel="0" collapsed="false">
      <c r="A142" s="191" t="n">
        <f aca="false">C!F99</f>
        <v>0</v>
      </c>
      <c r="B142" s="192" t="n">
        <f aca="false">IF(B!F334=TRUE(),14,0)</f>
        <v>0</v>
      </c>
      <c r="C142" s="192" t="n">
        <f aca="false">C!$H99</f>
        <v>0</v>
      </c>
      <c r="D142" s="192" t="n">
        <f aca="false">D!$H99</f>
        <v>0</v>
      </c>
      <c r="E142" s="192" t="n">
        <f aca="false">E!$H99</f>
        <v>0</v>
      </c>
      <c r="F142" s="192" t="n">
        <f aca="false">F!$H99</f>
        <v>0</v>
      </c>
      <c r="G142" s="192" t="n">
        <f aca="false">G!$H99</f>
        <v>0</v>
      </c>
      <c r="H142" s="192" t="n">
        <f aca="false">H!$H99</f>
        <v>0</v>
      </c>
      <c r="I142" s="192" t="n">
        <f aca="false">I!$H99</f>
        <v>0</v>
      </c>
      <c r="J142" s="192" t="n">
        <f aca="false">J!$H99</f>
        <v>0</v>
      </c>
      <c r="K142" s="192" t="n">
        <f aca="false">K!$H99</f>
        <v>0</v>
      </c>
      <c r="L142" s="192" t="n">
        <f aca="false">L!$H99</f>
        <v>0</v>
      </c>
      <c r="M142" s="192" t="n">
        <f aca="false">M!$H99</f>
        <v>0</v>
      </c>
      <c r="N142" s="192" t="n">
        <f aca="false">N!$H99</f>
        <v>0</v>
      </c>
      <c r="O142" s="192" t="n">
        <f aca="false">O!$H99</f>
        <v>0</v>
      </c>
      <c r="P142" s="192" t="n">
        <f aca="false">P!$H99</f>
        <v>0</v>
      </c>
      <c r="Q142" s="192" t="n">
        <f aca="false">Q!$H99</f>
        <v>0</v>
      </c>
      <c r="R142" s="192" t="n">
        <f aca="false">R!$H99</f>
        <v>0</v>
      </c>
      <c r="S142" s="192" t="n">
        <f aca="false">S!$H99</f>
        <v>0</v>
      </c>
      <c r="T142" s="192" t="n">
        <f aca="false">T!$H99</f>
        <v>0</v>
      </c>
      <c r="U142" s="192" t="n">
        <f aca="false">U!$H99</f>
        <v>0</v>
      </c>
      <c r="V142" s="192" t="n">
        <f aca="false">V!$H99</f>
        <v>0</v>
      </c>
      <c r="W142" s="192" t="n">
        <f aca="false">W!$H99</f>
        <v>0</v>
      </c>
      <c r="X142" s="192" t="n">
        <f aca="false">X!$H99</f>
        <v>0</v>
      </c>
      <c r="Y142" s="193" t="n">
        <f aca="false">SUM(B142:X142)</f>
        <v>0</v>
      </c>
      <c r="Z142" s="193" t="n">
        <f aca="false">IF(B!E334="",0,B!$C$11+B!$C$8*B!F336)</f>
        <v>0</v>
      </c>
      <c r="AA142" s="193" t="n">
        <f aca="false">Y142-Z142</f>
        <v>0</v>
      </c>
    </row>
    <row r="143" customFormat="false" ht="15" hidden="false" customHeight="false" outlineLevel="0" collapsed="false">
      <c r="A143" s="191" t="n">
        <f aca="false">C!F100</f>
        <v>0</v>
      </c>
      <c r="B143" s="192" t="n">
        <f aca="false">IF(B!F339=TRUE(),14,0)</f>
        <v>0</v>
      </c>
      <c r="C143" s="192" t="n">
        <f aca="false">C!$H100</f>
        <v>0</v>
      </c>
      <c r="D143" s="192" t="n">
        <f aca="false">D!$H100</f>
        <v>0</v>
      </c>
      <c r="E143" s="192" t="n">
        <f aca="false">E!$H100</f>
        <v>0</v>
      </c>
      <c r="F143" s="192" t="n">
        <f aca="false">F!$H100</f>
        <v>0</v>
      </c>
      <c r="G143" s="192" t="n">
        <f aca="false">G!$H100</f>
        <v>0</v>
      </c>
      <c r="H143" s="192" t="n">
        <f aca="false">H!$H100</f>
        <v>0</v>
      </c>
      <c r="I143" s="192" t="n">
        <f aca="false">I!$H100</f>
        <v>0</v>
      </c>
      <c r="J143" s="192" t="n">
        <f aca="false">J!$H100</f>
        <v>0</v>
      </c>
      <c r="K143" s="192" t="n">
        <f aca="false">K!$H100</f>
        <v>0</v>
      </c>
      <c r="L143" s="192" t="n">
        <f aca="false">L!$H100</f>
        <v>0</v>
      </c>
      <c r="M143" s="192" t="n">
        <f aca="false">M!$H100</f>
        <v>0</v>
      </c>
      <c r="N143" s="192" t="n">
        <f aca="false">N!$H100</f>
        <v>0</v>
      </c>
      <c r="O143" s="192" t="n">
        <f aca="false">O!$H100</f>
        <v>0</v>
      </c>
      <c r="P143" s="192" t="n">
        <f aca="false">P!$H100</f>
        <v>0</v>
      </c>
      <c r="Q143" s="192" t="n">
        <f aca="false">Q!$H100</f>
        <v>0</v>
      </c>
      <c r="R143" s="192" t="n">
        <f aca="false">R!$H100</f>
        <v>0</v>
      </c>
      <c r="S143" s="192" t="n">
        <f aca="false">S!$H100</f>
        <v>0</v>
      </c>
      <c r="T143" s="192" t="n">
        <f aca="false">T!$H100</f>
        <v>0</v>
      </c>
      <c r="U143" s="192" t="n">
        <f aca="false">U!$H100</f>
        <v>0</v>
      </c>
      <c r="V143" s="192" t="n">
        <f aca="false">V!$H100</f>
        <v>0</v>
      </c>
      <c r="W143" s="192" t="n">
        <f aca="false">W!$H100</f>
        <v>0</v>
      </c>
      <c r="X143" s="192" t="n">
        <f aca="false">X!$H100</f>
        <v>0</v>
      </c>
      <c r="Y143" s="193" t="n">
        <f aca="false">SUM(B143:X143)</f>
        <v>0</v>
      </c>
      <c r="Z143" s="193" t="n">
        <f aca="false">IF(B!E339="",0,B!$C$11+B!$C$8*B!F341)</f>
        <v>0</v>
      </c>
      <c r="AA143" s="193" t="n">
        <f aca="false">Y143-Z143</f>
        <v>0</v>
      </c>
    </row>
    <row r="144" customFormat="false" ht="15" hidden="false" customHeight="false" outlineLevel="0" collapsed="false">
      <c r="A144" s="195" t="s">
        <v>320</v>
      </c>
      <c r="B144" s="196" t="n">
        <f aca="false">SUM(B139:B143)</f>
        <v>0</v>
      </c>
      <c r="C144" s="196" t="n">
        <f aca="false">SUM(C139:C143)</f>
        <v>0</v>
      </c>
      <c r="D144" s="196" t="n">
        <f aca="false">SUM(D139:D143)</f>
        <v>0</v>
      </c>
      <c r="E144" s="196" t="n">
        <f aca="false">SUM(E139:E143)</f>
        <v>0</v>
      </c>
      <c r="F144" s="196" t="n">
        <f aca="false">SUM(F139:F143)</f>
        <v>0</v>
      </c>
      <c r="G144" s="196" t="n">
        <f aca="false">SUM(G139:G143)</f>
        <v>0</v>
      </c>
      <c r="H144" s="196" t="n">
        <f aca="false">SUM(H139:H143)</f>
        <v>0</v>
      </c>
      <c r="I144" s="196" t="n">
        <f aca="false">SUM(I139:I143)</f>
        <v>0</v>
      </c>
      <c r="J144" s="196" t="n">
        <f aca="false">SUM(J139:J143)</f>
        <v>0</v>
      </c>
      <c r="K144" s="196" t="n">
        <f aca="false">SUM(K139:K143)</f>
        <v>0</v>
      </c>
      <c r="L144" s="196" t="n">
        <f aca="false">SUM(L139:L143)</f>
        <v>0</v>
      </c>
      <c r="M144" s="196" t="n">
        <f aca="false">SUM(M139:M143)</f>
        <v>0</v>
      </c>
      <c r="N144" s="196" t="n">
        <f aca="false">SUM(N139:N143)</f>
        <v>0</v>
      </c>
      <c r="O144" s="196" t="n">
        <f aca="false">SUM(O139:O143)</f>
        <v>0</v>
      </c>
      <c r="P144" s="196" t="n">
        <f aca="false">SUM(P139:P143)</f>
        <v>0</v>
      </c>
      <c r="Q144" s="196" t="n">
        <f aca="false">SUM(Q139:Q143)</f>
        <v>0</v>
      </c>
      <c r="R144" s="196" t="n">
        <f aca="false">SUM(R139:R143)</f>
        <v>0</v>
      </c>
      <c r="S144" s="196" t="n">
        <f aca="false">SUM(S139:S143)</f>
        <v>0</v>
      </c>
      <c r="T144" s="196" t="n">
        <f aca="false">SUM(T139:T143)</f>
        <v>0</v>
      </c>
      <c r="U144" s="196" t="n">
        <f aca="false">SUM(U139:U143)</f>
        <v>0</v>
      </c>
      <c r="V144" s="196" t="n">
        <f aca="false">SUM(V139:V143)</f>
        <v>0</v>
      </c>
      <c r="W144" s="196" t="n">
        <f aca="false">SUM(W139:W143)</f>
        <v>0</v>
      </c>
      <c r="X144" s="197" t="n">
        <f aca="false">SUM(X139:X143)</f>
        <v>0</v>
      </c>
      <c r="Y144" s="198" t="n">
        <f aca="false">SUM(Y139:Y143)</f>
        <v>0</v>
      </c>
      <c r="Z144" s="198" t="n">
        <f aca="false">SUM(Z139:Z143)</f>
        <v>0</v>
      </c>
      <c r="AA144" s="198" t="n">
        <f aca="false">SUM(AA139:AA143)</f>
        <v>0</v>
      </c>
    </row>
    <row r="145" customFormat="false" ht="17.35" hidden="false" customHeight="false" outlineLevel="0" collapsed="false">
      <c r="A145" s="199"/>
      <c r="B145" s="199"/>
      <c r="Y145" s="186" t="s">
        <v>31</v>
      </c>
      <c r="Z145" s="186" t="s">
        <v>31</v>
      </c>
      <c r="AA145" s="186" t="s">
        <v>31</v>
      </c>
    </row>
    <row r="146" customFormat="false" ht="17.35" hidden="false" customHeight="false" outlineLevel="0" collapsed="false">
      <c r="A146" s="187" t="n">
        <f aca="false">C!F108</f>
        <v>0</v>
      </c>
      <c r="B146" s="187" t="s">
        <v>295</v>
      </c>
      <c r="C146" s="188" t="s">
        <v>296</v>
      </c>
      <c r="D146" s="188" t="s">
        <v>297</v>
      </c>
      <c r="E146" s="188" t="s">
        <v>298</v>
      </c>
      <c r="F146" s="188" t="s">
        <v>299</v>
      </c>
      <c r="G146" s="188" t="s">
        <v>300</v>
      </c>
      <c r="H146" s="188" t="s">
        <v>301</v>
      </c>
      <c r="I146" s="188" t="s">
        <v>302</v>
      </c>
      <c r="J146" s="188" t="s">
        <v>303</v>
      </c>
      <c r="K146" s="188" t="s">
        <v>304</v>
      </c>
      <c r="L146" s="188" t="s">
        <v>305</v>
      </c>
      <c r="M146" s="188" t="s">
        <v>306</v>
      </c>
      <c r="N146" s="188" t="s">
        <v>307</v>
      </c>
      <c r="O146" s="188" t="s">
        <v>308</v>
      </c>
      <c r="P146" s="188" t="s">
        <v>309</v>
      </c>
      <c r="Q146" s="188" t="s">
        <v>310</v>
      </c>
      <c r="R146" s="188" t="s">
        <v>311</v>
      </c>
      <c r="S146" s="188" t="s">
        <v>312</v>
      </c>
      <c r="T146" s="188" t="s">
        <v>313</v>
      </c>
      <c r="U146" s="188" t="s">
        <v>314</v>
      </c>
      <c r="V146" s="188" t="s">
        <v>315</v>
      </c>
      <c r="W146" s="188" t="s">
        <v>316</v>
      </c>
      <c r="X146" s="189" t="s">
        <v>317</v>
      </c>
      <c r="Y146" s="190" t="s">
        <v>209</v>
      </c>
      <c r="Z146" s="190" t="s">
        <v>318</v>
      </c>
      <c r="AA146" s="190" t="s">
        <v>319</v>
      </c>
    </row>
    <row r="147" customFormat="false" ht="15" hidden="false" customHeight="false" outlineLevel="0" collapsed="false">
      <c r="A147" s="191" t="n">
        <f aca="false">C!F109</f>
        <v>0</v>
      </c>
      <c r="B147" s="192" t="n">
        <f aca="false">IF(B!F362=TRUE(),14,0)</f>
        <v>0</v>
      </c>
      <c r="C147" s="192" t="n">
        <f aca="false">C!$H109</f>
        <v>0</v>
      </c>
      <c r="D147" s="192" t="n">
        <f aca="false">D!$H109</f>
        <v>0</v>
      </c>
      <c r="E147" s="192" t="n">
        <f aca="false">E!$H109</f>
        <v>0</v>
      </c>
      <c r="F147" s="192" t="n">
        <f aca="false">F!$H109</f>
        <v>0</v>
      </c>
      <c r="G147" s="192" t="n">
        <f aca="false">G!$H109</f>
        <v>0</v>
      </c>
      <c r="H147" s="192" t="n">
        <f aca="false">H!$H109</f>
        <v>0</v>
      </c>
      <c r="I147" s="192" t="n">
        <f aca="false">I!$H109</f>
        <v>0</v>
      </c>
      <c r="J147" s="192" t="n">
        <f aca="false">J!$H109</f>
        <v>0</v>
      </c>
      <c r="K147" s="192" t="n">
        <f aca="false">K!$H109</f>
        <v>0</v>
      </c>
      <c r="L147" s="192" t="n">
        <f aca="false">L!$H109</f>
        <v>0</v>
      </c>
      <c r="M147" s="192" t="n">
        <f aca="false">M!$H109</f>
        <v>0</v>
      </c>
      <c r="N147" s="192" t="n">
        <f aca="false">N!$H109</f>
        <v>0</v>
      </c>
      <c r="O147" s="192" t="n">
        <f aca="false">O!$H109</f>
        <v>0</v>
      </c>
      <c r="P147" s="192" t="n">
        <f aca="false">P!$H109</f>
        <v>0</v>
      </c>
      <c r="Q147" s="192" t="n">
        <f aca="false">Q!$H109</f>
        <v>0</v>
      </c>
      <c r="R147" s="192" t="n">
        <f aca="false">R!$H109</f>
        <v>0</v>
      </c>
      <c r="S147" s="192" t="n">
        <f aca="false">S!$H109</f>
        <v>0</v>
      </c>
      <c r="T147" s="192" t="n">
        <f aca="false">T!$H109</f>
        <v>0</v>
      </c>
      <c r="U147" s="192" t="n">
        <f aca="false">U!$H109</f>
        <v>0</v>
      </c>
      <c r="V147" s="192" t="n">
        <f aca="false">V!$H109</f>
        <v>0</v>
      </c>
      <c r="W147" s="192" t="n">
        <f aca="false">W!$H109</f>
        <v>0</v>
      </c>
      <c r="X147" s="192" t="n">
        <f aca="false">X!$H109</f>
        <v>0</v>
      </c>
      <c r="Y147" s="193" t="n">
        <f aca="false">SUM(B147:X147)</f>
        <v>0</v>
      </c>
      <c r="Z147" s="193" t="n">
        <f aca="false">IF(B!E362="",0,B!$C$11+B!$C$8*B!F364)</f>
        <v>0</v>
      </c>
      <c r="AA147" s="193" t="n">
        <f aca="false">Y147-Z147</f>
        <v>0</v>
      </c>
    </row>
    <row r="148" customFormat="false" ht="15" hidden="false" customHeight="false" outlineLevel="0" collapsed="false">
      <c r="A148" s="191" t="n">
        <f aca="false">C!F110</f>
        <v>0</v>
      </c>
      <c r="B148" s="192" t="n">
        <f aca="false">IF(B!F367=TRUE(),14,0)</f>
        <v>0</v>
      </c>
      <c r="C148" s="192" t="n">
        <f aca="false">C!$H110</f>
        <v>0</v>
      </c>
      <c r="D148" s="192" t="n">
        <f aca="false">D!$H110</f>
        <v>0</v>
      </c>
      <c r="E148" s="192" t="n">
        <f aca="false">E!$H110</f>
        <v>0</v>
      </c>
      <c r="F148" s="192" t="n">
        <f aca="false">F!$H110</f>
        <v>0</v>
      </c>
      <c r="G148" s="192" t="n">
        <f aca="false">G!$H110</f>
        <v>0</v>
      </c>
      <c r="H148" s="192" t="n">
        <f aca="false">H!$H110</f>
        <v>0</v>
      </c>
      <c r="I148" s="192" t="n">
        <f aca="false">I!$H110</f>
        <v>0</v>
      </c>
      <c r="J148" s="192" t="n">
        <f aca="false">J!$H110</f>
        <v>0</v>
      </c>
      <c r="K148" s="192" t="n">
        <f aca="false">K!$H110</f>
        <v>0</v>
      </c>
      <c r="L148" s="192" t="n">
        <f aca="false">L!$H110</f>
        <v>0</v>
      </c>
      <c r="M148" s="192" t="n">
        <f aca="false">M!$H110</f>
        <v>0</v>
      </c>
      <c r="N148" s="192" t="n">
        <f aca="false">N!$H110</f>
        <v>0</v>
      </c>
      <c r="O148" s="192" t="n">
        <f aca="false">O!$H110</f>
        <v>0</v>
      </c>
      <c r="P148" s="192" t="n">
        <f aca="false">P!$H110</f>
        <v>0</v>
      </c>
      <c r="Q148" s="192" t="n">
        <f aca="false">Q!$H110</f>
        <v>0</v>
      </c>
      <c r="R148" s="192" t="n">
        <f aca="false">R!$H110</f>
        <v>0</v>
      </c>
      <c r="S148" s="192" t="n">
        <f aca="false">S!$H110</f>
        <v>0</v>
      </c>
      <c r="T148" s="192" t="n">
        <f aca="false">T!$H110</f>
        <v>0</v>
      </c>
      <c r="U148" s="192" t="n">
        <f aca="false">U!$H110</f>
        <v>0</v>
      </c>
      <c r="V148" s="192" t="n">
        <f aca="false">V!$H110</f>
        <v>0</v>
      </c>
      <c r="W148" s="192" t="n">
        <f aca="false">W!$H110</f>
        <v>0</v>
      </c>
      <c r="X148" s="192" t="n">
        <f aca="false">X!$H110</f>
        <v>0</v>
      </c>
      <c r="Y148" s="193" t="n">
        <f aca="false">SUM(B148:X148)</f>
        <v>0</v>
      </c>
      <c r="Z148" s="193" t="n">
        <f aca="false">IF(B!E367="",0,B!$C$11+B!$C$8*B!F369)</f>
        <v>0</v>
      </c>
      <c r="AA148" s="193" t="n">
        <f aca="false">Y148-Z148</f>
        <v>0</v>
      </c>
    </row>
    <row r="149" customFormat="false" ht="15" hidden="false" customHeight="false" outlineLevel="0" collapsed="false">
      <c r="A149" s="191" t="n">
        <f aca="false">C!F111</f>
        <v>0</v>
      </c>
      <c r="B149" s="192" t="n">
        <f aca="false">IF(B!F372=TRUE(),14,0)</f>
        <v>0</v>
      </c>
      <c r="C149" s="192" t="n">
        <f aca="false">C!$H111</f>
        <v>0</v>
      </c>
      <c r="D149" s="192" t="n">
        <f aca="false">D!$H111</f>
        <v>0</v>
      </c>
      <c r="E149" s="192" t="n">
        <f aca="false">E!$H111</f>
        <v>0</v>
      </c>
      <c r="F149" s="192" t="n">
        <f aca="false">F!$H111</f>
        <v>0</v>
      </c>
      <c r="G149" s="192" t="n">
        <f aca="false">G!$H111</f>
        <v>0</v>
      </c>
      <c r="H149" s="192" t="n">
        <f aca="false">H!$H111</f>
        <v>0</v>
      </c>
      <c r="I149" s="192" t="n">
        <f aca="false">I!$H111</f>
        <v>0</v>
      </c>
      <c r="J149" s="192" t="n">
        <f aca="false">J!$H111</f>
        <v>0</v>
      </c>
      <c r="K149" s="192" t="n">
        <f aca="false">K!$H111</f>
        <v>0</v>
      </c>
      <c r="L149" s="192" t="n">
        <f aca="false">L!$H111</f>
        <v>0</v>
      </c>
      <c r="M149" s="192" t="n">
        <f aca="false">M!$H111</f>
        <v>0</v>
      </c>
      <c r="N149" s="192" t="n">
        <f aca="false">N!$H111</f>
        <v>0</v>
      </c>
      <c r="O149" s="192" t="n">
        <f aca="false">O!$H111</f>
        <v>0</v>
      </c>
      <c r="P149" s="192" t="n">
        <f aca="false">P!$H111</f>
        <v>0</v>
      </c>
      <c r="Q149" s="192" t="n">
        <f aca="false">Q!$H111</f>
        <v>0</v>
      </c>
      <c r="R149" s="192" t="n">
        <f aca="false">R!$H111</f>
        <v>0</v>
      </c>
      <c r="S149" s="192" t="n">
        <f aca="false">S!$H111</f>
        <v>0</v>
      </c>
      <c r="T149" s="192" t="n">
        <f aca="false">T!$H111</f>
        <v>0</v>
      </c>
      <c r="U149" s="192" t="n">
        <f aca="false">U!$H111</f>
        <v>0</v>
      </c>
      <c r="V149" s="192" t="n">
        <f aca="false">V!$H111</f>
        <v>0</v>
      </c>
      <c r="W149" s="192" t="n">
        <f aca="false">W!$H111</f>
        <v>0</v>
      </c>
      <c r="X149" s="192" t="n">
        <f aca="false">X!$H111</f>
        <v>0</v>
      </c>
      <c r="Y149" s="193" t="n">
        <f aca="false">SUM(B149:X149)</f>
        <v>0</v>
      </c>
      <c r="Z149" s="193" t="n">
        <f aca="false">IF(B!E372="",0,B!$C$11+B!$C$8*B!F374)</f>
        <v>0</v>
      </c>
      <c r="AA149" s="193" t="n">
        <f aca="false">Y149-Z149</f>
        <v>0</v>
      </c>
    </row>
    <row r="150" customFormat="false" ht="15" hidden="false" customHeight="false" outlineLevel="0" collapsed="false">
      <c r="A150" s="191" t="n">
        <f aca="false">C!F112</f>
        <v>0</v>
      </c>
      <c r="B150" s="192" t="n">
        <f aca="false">IF(B!F377=TRUE(),14,0)</f>
        <v>0</v>
      </c>
      <c r="C150" s="192" t="n">
        <f aca="false">C!$H112</f>
        <v>0</v>
      </c>
      <c r="D150" s="192" t="n">
        <f aca="false">D!$H112</f>
        <v>0</v>
      </c>
      <c r="E150" s="192" t="n">
        <f aca="false">E!$H112</f>
        <v>0</v>
      </c>
      <c r="F150" s="192" t="n">
        <f aca="false">F!$H112</f>
        <v>0</v>
      </c>
      <c r="G150" s="192" t="n">
        <f aca="false">G!$H112</f>
        <v>0</v>
      </c>
      <c r="H150" s="192" t="n">
        <f aca="false">H!$H112</f>
        <v>0</v>
      </c>
      <c r="I150" s="192" t="n">
        <f aca="false">I!$H112</f>
        <v>0</v>
      </c>
      <c r="J150" s="192" t="n">
        <f aca="false">J!$H112</f>
        <v>0</v>
      </c>
      <c r="K150" s="192" t="n">
        <f aca="false">K!$H112</f>
        <v>0</v>
      </c>
      <c r="L150" s="192" t="n">
        <f aca="false">L!$H112</f>
        <v>0</v>
      </c>
      <c r="M150" s="192" t="n">
        <f aca="false">M!$H112</f>
        <v>0</v>
      </c>
      <c r="N150" s="192" t="n">
        <f aca="false">N!$H112</f>
        <v>0</v>
      </c>
      <c r="O150" s="192" t="n">
        <f aca="false">O!$H112</f>
        <v>0</v>
      </c>
      <c r="P150" s="192" t="n">
        <f aca="false">P!$H112</f>
        <v>0</v>
      </c>
      <c r="Q150" s="192" t="n">
        <f aca="false">Q!$H112</f>
        <v>0</v>
      </c>
      <c r="R150" s="192" t="n">
        <f aca="false">R!$H112</f>
        <v>0</v>
      </c>
      <c r="S150" s="192" t="n">
        <f aca="false">S!$H112</f>
        <v>0</v>
      </c>
      <c r="T150" s="192" t="n">
        <f aca="false">T!$H112</f>
        <v>0</v>
      </c>
      <c r="U150" s="192" t="n">
        <f aca="false">U!$H112</f>
        <v>0</v>
      </c>
      <c r="V150" s="192" t="n">
        <f aca="false">V!$H112</f>
        <v>0</v>
      </c>
      <c r="W150" s="192" t="n">
        <f aca="false">W!$H112</f>
        <v>0</v>
      </c>
      <c r="X150" s="192" t="n">
        <f aca="false">X!$H112</f>
        <v>0</v>
      </c>
      <c r="Y150" s="193" t="n">
        <f aca="false">SUM(B150:X150)</f>
        <v>0</v>
      </c>
      <c r="Z150" s="193" t="n">
        <f aca="false">IF(B!E377="",0,B!$C$11+B!$C$8*B!F379)</f>
        <v>0</v>
      </c>
      <c r="AA150" s="193" t="n">
        <f aca="false">Y150-Z150</f>
        <v>0</v>
      </c>
    </row>
    <row r="151" customFormat="false" ht="15" hidden="false" customHeight="false" outlineLevel="0" collapsed="false">
      <c r="A151" s="191" t="n">
        <f aca="false">C!F113</f>
        <v>0</v>
      </c>
      <c r="B151" s="192" t="n">
        <f aca="false">IF(B!F382=TRUE(),14,0)</f>
        <v>0</v>
      </c>
      <c r="C151" s="192" t="n">
        <f aca="false">C!$H113</f>
        <v>0</v>
      </c>
      <c r="D151" s="192" t="n">
        <f aca="false">D!$H113</f>
        <v>0</v>
      </c>
      <c r="E151" s="192" t="n">
        <f aca="false">E!$H113</f>
        <v>0</v>
      </c>
      <c r="F151" s="192" t="n">
        <f aca="false">F!$H113</f>
        <v>0</v>
      </c>
      <c r="G151" s="192" t="n">
        <f aca="false">G!$H113</f>
        <v>0</v>
      </c>
      <c r="H151" s="192" t="n">
        <f aca="false">H!$H113</f>
        <v>0</v>
      </c>
      <c r="I151" s="192" t="n">
        <f aca="false">I!$H113</f>
        <v>0</v>
      </c>
      <c r="J151" s="192" t="n">
        <f aca="false">J!$H113</f>
        <v>0</v>
      </c>
      <c r="K151" s="192" t="n">
        <f aca="false">K!$H113</f>
        <v>0</v>
      </c>
      <c r="L151" s="192" t="n">
        <f aca="false">L!$H113</f>
        <v>0</v>
      </c>
      <c r="M151" s="192" t="n">
        <f aca="false">M!$H113</f>
        <v>0</v>
      </c>
      <c r="N151" s="192" t="n">
        <f aca="false">N!$H113</f>
        <v>0</v>
      </c>
      <c r="O151" s="192" t="n">
        <f aca="false">O!$H113</f>
        <v>0</v>
      </c>
      <c r="P151" s="192" t="n">
        <f aca="false">P!$H113</f>
        <v>0</v>
      </c>
      <c r="Q151" s="192" t="n">
        <f aca="false">Q!$H113</f>
        <v>0</v>
      </c>
      <c r="R151" s="192" t="n">
        <f aca="false">R!$H113</f>
        <v>0</v>
      </c>
      <c r="S151" s="192" t="n">
        <f aca="false">S!$H113</f>
        <v>0</v>
      </c>
      <c r="T151" s="192" t="n">
        <f aca="false">T!$H113</f>
        <v>0</v>
      </c>
      <c r="U151" s="192" t="n">
        <f aca="false">U!$H113</f>
        <v>0</v>
      </c>
      <c r="V151" s="192" t="n">
        <f aca="false">V!$H113</f>
        <v>0</v>
      </c>
      <c r="W151" s="192" t="n">
        <f aca="false">W!$H113</f>
        <v>0</v>
      </c>
      <c r="X151" s="192" t="n">
        <f aca="false">X!$H113</f>
        <v>0</v>
      </c>
      <c r="Y151" s="193" t="n">
        <f aca="false">SUM(B151:X151)</f>
        <v>0</v>
      </c>
      <c r="Z151" s="193" t="n">
        <f aca="false">IF(B!E382="",0,B!$C$11+B!$C$8*B!F384)</f>
        <v>0</v>
      </c>
      <c r="AA151" s="193" t="n">
        <f aca="false">Y151-Z151</f>
        <v>0</v>
      </c>
    </row>
    <row r="152" customFormat="false" ht="15" hidden="false" customHeight="false" outlineLevel="0" collapsed="false">
      <c r="A152" s="195" t="s">
        <v>320</v>
      </c>
      <c r="B152" s="196" t="n">
        <f aca="false">SUM(B147:B151)</f>
        <v>0</v>
      </c>
      <c r="C152" s="196" t="n">
        <f aca="false">SUM(C147:C151)</f>
        <v>0</v>
      </c>
      <c r="D152" s="196" t="n">
        <f aca="false">SUM(D147:D151)</f>
        <v>0</v>
      </c>
      <c r="E152" s="196" t="n">
        <f aca="false">SUM(E147:E151)</f>
        <v>0</v>
      </c>
      <c r="F152" s="196" t="n">
        <f aca="false">SUM(F147:F151)</f>
        <v>0</v>
      </c>
      <c r="G152" s="196" t="n">
        <f aca="false">SUM(G147:G151)</f>
        <v>0</v>
      </c>
      <c r="H152" s="196" t="n">
        <f aca="false">SUM(H147:H151)</f>
        <v>0</v>
      </c>
      <c r="I152" s="196" t="n">
        <f aca="false">SUM(I147:I151)</f>
        <v>0</v>
      </c>
      <c r="J152" s="196" t="n">
        <f aca="false">SUM(J147:J151)</f>
        <v>0</v>
      </c>
      <c r="K152" s="196" t="n">
        <f aca="false">SUM(K147:K151)</f>
        <v>0</v>
      </c>
      <c r="L152" s="196" t="n">
        <f aca="false">SUM(L147:L151)</f>
        <v>0</v>
      </c>
      <c r="M152" s="196" t="n">
        <f aca="false">SUM(M147:M151)</f>
        <v>0</v>
      </c>
      <c r="N152" s="196" t="n">
        <f aca="false">SUM(N147:N151)</f>
        <v>0</v>
      </c>
      <c r="O152" s="196" t="n">
        <f aca="false">SUM(O147:O151)</f>
        <v>0</v>
      </c>
      <c r="P152" s="196" t="n">
        <f aca="false">SUM(P147:P151)</f>
        <v>0</v>
      </c>
      <c r="Q152" s="196" t="n">
        <f aca="false">SUM(Q147:Q151)</f>
        <v>0</v>
      </c>
      <c r="R152" s="196" t="n">
        <f aca="false">SUM(R147:R151)</f>
        <v>0</v>
      </c>
      <c r="S152" s="196" t="n">
        <f aca="false">SUM(S147:S151)</f>
        <v>0</v>
      </c>
      <c r="T152" s="196" t="n">
        <f aca="false">SUM(T147:T151)</f>
        <v>0</v>
      </c>
      <c r="U152" s="196" t="n">
        <f aca="false">SUM(U147:U151)</f>
        <v>0</v>
      </c>
      <c r="V152" s="196" t="n">
        <f aca="false">SUM(V147:V151)</f>
        <v>0</v>
      </c>
      <c r="W152" s="196" t="n">
        <f aca="false">SUM(W147:W151)</f>
        <v>0</v>
      </c>
      <c r="X152" s="197" t="n">
        <f aca="false">SUM(X147:X151)</f>
        <v>0</v>
      </c>
      <c r="Y152" s="198" t="n">
        <f aca="false">SUM(Y147:Y151)</f>
        <v>0</v>
      </c>
      <c r="Z152" s="198" t="n">
        <f aca="false">SUM(Z147:Z151)</f>
        <v>0</v>
      </c>
      <c r="AA152" s="198" t="n">
        <f aca="false">SUM(AA147:AA151)</f>
        <v>0</v>
      </c>
    </row>
    <row r="153" customFormat="false" ht="17.35" hidden="false" customHeight="false" outlineLevel="0" collapsed="false">
      <c r="A153" s="199"/>
      <c r="B153" s="199"/>
      <c r="Y153" s="186" t="s">
        <v>31</v>
      </c>
      <c r="Z153" s="186" t="s">
        <v>31</v>
      </c>
      <c r="AA153" s="186" t="s">
        <v>31</v>
      </c>
    </row>
    <row r="154" customFormat="false" ht="17.35" hidden="false" customHeight="false" outlineLevel="0" collapsed="false">
      <c r="A154" s="187" t="n">
        <f aca="false">C!F121</f>
        <v>0</v>
      </c>
      <c r="B154" s="187" t="s">
        <v>295</v>
      </c>
      <c r="C154" s="188" t="s">
        <v>296</v>
      </c>
      <c r="D154" s="188" t="s">
        <v>297</v>
      </c>
      <c r="E154" s="188" t="s">
        <v>298</v>
      </c>
      <c r="F154" s="188" t="s">
        <v>299</v>
      </c>
      <c r="G154" s="188" t="s">
        <v>300</v>
      </c>
      <c r="H154" s="188" t="s">
        <v>301</v>
      </c>
      <c r="I154" s="188" t="s">
        <v>302</v>
      </c>
      <c r="J154" s="188" t="s">
        <v>303</v>
      </c>
      <c r="K154" s="188" t="s">
        <v>304</v>
      </c>
      <c r="L154" s="188" t="s">
        <v>305</v>
      </c>
      <c r="M154" s="188" t="s">
        <v>306</v>
      </c>
      <c r="N154" s="188" t="s">
        <v>307</v>
      </c>
      <c r="O154" s="188" t="s">
        <v>308</v>
      </c>
      <c r="P154" s="188" t="s">
        <v>309</v>
      </c>
      <c r="Q154" s="188" t="s">
        <v>310</v>
      </c>
      <c r="R154" s="188" t="s">
        <v>311</v>
      </c>
      <c r="S154" s="188" t="s">
        <v>312</v>
      </c>
      <c r="T154" s="188" t="s">
        <v>313</v>
      </c>
      <c r="U154" s="188" t="s">
        <v>314</v>
      </c>
      <c r="V154" s="188" t="s">
        <v>315</v>
      </c>
      <c r="W154" s="188" t="s">
        <v>316</v>
      </c>
      <c r="X154" s="189" t="s">
        <v>317</v>
      </c>
      <c r="Y154" s="190" t="s">
        <v>209</v>
      </c>
      <c r="Z154" s="190" t="s">
        <v>318</v>
      </c>
      <c r="AA154" s="190" t="s">
        <v>319</v>
      </c>
    </row>
    <row r="155" customFormat="false" ht="15" hidden="false" customHeight="false" outlineLevel="0" collapsed="false">
      <c r="A155" s="191" t="n">
        <f aca="false">C!F122</f>
        <v>0</v>
      </c>
      <c r="B155" s="192" t="n">
        <f aca="false">IF(B!F405=TRUE(),14,0)</f>
        <v>0</v>
      </c>
      <c r="C155" s="192" t="n">
        <f aca="false">C!$H122</f>
        <v>0</v>
      </c>
      <c r="D155" s="192" t="n">
        <f aca="false">D!$H122</f>
        <v>0</v>
      </c>
      <c r="E155" s="192" t="n">
        <f aca="false">E!$H122</f>
        <v>0</v>
      </c>
      <c r="F155" s="192" t="n">
        <f aca="false">F!$H122</f>
        <v>0</v>
      </c>
      <c r="G155" s="192" t="n">
        <f aca="false">G!$H122</f>
        <v>0</v>
      </c>
      <c r="H155" s="192" t="n">
        <f aca="false">H!$H122</f>
        <v>0</v>
      </c>
      <c r="I155" s="192" t="n">
        <f aca="false">I!$H122</f>
        <v>0</v>
      </c>
      <c r="J155" s="192" t="n">
        <f aca="false">J!$H122</f>
        <v>0</v>
      </c>
      <c r="K155" s="192" t="n">
        <f aca="false">K!$H122</f>
        <v>0</v>
      </c>
      <c r="L155" s="192" t="n">
        <f aca="false">L!$H122</f>
        <v>0</v>
      </c>
      <c r="M155" s="192" t="n">
        <f aca="false">M!$H122</f>
        <v>0</v>
      </c>
      <c r="N155" s="192" t="n">
        <f aca="false">N!$H122</f>
        <v>0</v>
      </c>
      <c r="O155" s="192" t="n">
        <f aca="false">O!$H122</f>
        <v>0</v>
      </c>
      <c r="P155" s="192" t="n">
        <f aca="false">P!$H122</f>
        <v>0</v>
      </c>
      <c r="Q155" s="192" t="n">
        <f aca="false">Q!$H122</f>
        <v>0</v>
      </c>
      <c r="R155" s="192" t="n">
        <f aca="false">R!$H122</f>
        <v>0</v>
      </c>
      <c r="S155" s="192" t="n">
        <f aca="false">S!$H122</f>
        <v>0</v>
      </c>
      <c r="T155" s="192" t="n">
        <f aca="false">T!$H122</f>
        <v>0</v>
      </c>
      <c r="U155" s="192" t="n">
        <f aca="false">U!$H122</f>
        <v>0</v>
      </c>
      <c r="V155" s="192" t="n">
        <f aca="false">V!$H122</f>
        <v>0</v>
      </c>
      <c r="W155" s="192" t="n">
        <f aca="false">W!$H122</f>
        <v>0</v>
      </c>
      <c r="X155" s="192" t="n">
        <f aca="false">X!$H122</f>
        <v>0</v>
      </c>
      <c r="Y155" s="193" t="n">
        <f aca="false">SUM(B155:X155)</f>
        <v>0</v>
      </c>
      <c r="Z155" s="193" t="n">
        <f aca="false">IF(B!E405="",0,B!$C$11+B!$C$8*B!F407)</f>
        <v>0</v>
      </c>
      <c r="AA155" s="193" t="n">
        <f aca="false">Y155-Z155</f>
        <v>0</v>
      </c>
    </row>
    <row r="156" customFormat="false" ht="15" hidden="false" customHeight="false" outlineLevel="0" collapsed="false">
      <c r="A156" s="191" t="n">
        <f aca="false">C!F123</f>
        <v>0</v>
      </c>
      <c r="B156" s="192" t="n">
        <f aca="false">IF(B!F410=TRUE(),14,0)</f>
        <v>0</v>
      </c>
      <c r="C156" s="192" t="n">
        <f aca="false">C!$H123</f>
        <v>0</v>
      </c>
      <c r="D156" s="192" t="n">
        <f aca="false">D!$H123</f>
        <v>0</v>
      </c>
      <c r="E156" s="192" t="n">
        <f aca="false">E!$H123</f>
        <v>0</v>
      </c>
      <c r="F156" s="192" t="n">
        <f aca="false">F!$H123</f>
        <v>0</v>
      </c>
      <c r="G156" s="192" t="n">
        <f aca="false">G!$H123</f>
        <v>0</v>
      </c>
      <c r="H156" s="192" t="n">
        <f aca="false">H!$H123</f>
        <v>0</v>
      </c>
      <c r="I156" s="192" t="n">
        <f aca="false">I!$H123</f>
        <v>0</v>
      </c>
      <c r="J156" s="192" t="n">
        <f aca="false">J!$H123</f>
        <v>0</v>
      </c>
      <c r="K156" s="192" t="n">
        <f aca="false">K!$H123</f>
        <v>0</v>
      </c>
      <c r="L156" s="192" t="n">
        <f aca="false">L!$H123</f>
        <v>0</v>
      </c>
      <c r="M156" s="192" t="n">
        <f aca="false">M!$H123</f>
        <v>0</v>
      </c>
      <c r="N156" s="192" t="n">
        <f aca="false">N!$H123</f>
        <v>0</v>
      </c>
      <c r="O156" s="192" t="n">
        <f aca="false">O!$H123</f>
        <v>0</v>
      </c>
      <c r="P156" s="192" t="n">
        <f aca="false">P!$H123</f>
        <v>0</v>
      </c>
      <c r="Q156" s="192" t="n">
        <f aca="false">Q!$H123</f>
        <v>0</v>
      </c>
      <c r="R156" s="192" t="n">
        <f aca="false">R!$H123</f>
        <v>0</v>
      </c>
      <c r="S156" s="192" t="n">
        <f aca="false">S!$H123</f>
        <v>0</v>
      </c>
      <c r="T156" s="192" t="n">
        <f aca="false">T!$H123</f>
        <v>0</v>
      </c>
      <c r="U156" s="192" t="n">
        <f aca="false">U!$H123</f>
        <v>0</v>
      </c>
      <c r="V156" s="192" t="n">
        <f aca="false">V!$H123</f>
        <v>0</v>
      </c>
      <c r="W156" s="192" t="n">
        <f aca="false">W!$H123</f>
        <v>0</v>
      </c>
      <c r="X156" s="192" t="n">
        <f aca="false">X!$H123</f>
        <v>0</v>
      </c>
      <c r="Y156" s="193" t="n">
        <f aca="false">SUM(B156:X156)</f>
        <v>0</v>
      </c>
      <c r="Z156" s="193" t="n">
        <f aca="false">IF(B!E410="",0,B!$C$11+B!$C$8*B!F412)</f>
        <v>0</v>
      </c>
      <c r="AA156" s="193" t="n">
        <f aca="false">Y156-Z156</f>
        <v>0</v>
      </c>
    </row>
    <row r="157" customFormat="false" ht="15" hidden="false" customHeight="false" outlineLevel="0" collapsed="false">
      <c r="A157" s="191" t="n">
        <f aca="false">C!F124</f>
        <v>0</v>
      </c>
      <c r="B157" s="192" t="n">
        <f aca="false">IF(B!F415=TRUE(),14,0)</f>
        <v>0</v>
      </c>
      <c r="C157" s="192" t="n">
        <f aca="false">C!$H124</f>
        <v>0</v>
      </c>
      <c r="D157" s="192" t="n">
        <f aca="false">D!$H124</f>
        <v>0</v>
      </c>
      <c r="E157" s="192" t="n">
        <f aca="false">E!$H124</f>
        <v>0</v>
      </c>
      <c r="F157" s="192" t="n">
        <f aca="false">F!$H124</f>
        <v>0</v>
      </c>
      <c r="G157" s="192" t="n">
        <f aca="false">G!$H124</f>
        <v>0</v>
      </c>
      <c r="H157" s="192" t="n">
        <f aca="false">H!$H124</f>
        <v>0</v>
      </c>
      <c r="I157" s="192" t="n">
        <f aca="false">I!$H124</f>
        <v>0</v>
      </c>
      <c r="J157" s="192" t="n">
        <f aca="false">J!$H124</f>
        <v>0</v>
      </c>
      <c r="K157" s="192" t="n">
        <f aca="false">K!$H124</f>
        <v>0</v>
      </c>
      <c r="L157" s="192" t="n">
        <f aca="false">L!$H124</f>
        <v>0</v>
      </c>
      <c r="M157" s="192" t="n">
        <f aca="false">M!$H124</f>
        <v>0</v>
      </c>
      <c r="N157" s="192" t="n">
        <f aca="false">N!$H124</f>
        <v>0</v>
      </c>
      <c r="O157" s="192" t="n">
        <f aca="false">O!$H124</f>
        <v>0</v>
      </c>
      <c r="P157" s="192" t="n">
        <f aca="false">P!$H124</f>
        <v>0</v>
      </c>
      <c r="Q157" s="192" t="n">
        <f aca="false">Q!$H124</f>
        <v>0</v>
      </c>
      <c r="R157" s="192" t="n">
        <f aca="false">R!$H124</f>
        <v>0</v>
      </c>
      <c r="S157" s="192" t="n">
        <f aca="false">S!$H124</f>
        <v>0</v>
      </c>
      <c r="T157" s="192" t="n">
        <f aca="false">T!$H124</f>
        <v>0</v>
      </c>
      <c r="U157" s="192" t="n">
        <f aca="false">U!$H124</f>
        <v>0</v>
      </c>
      <c r="V157" s="192" t="n">
        <f aca="false">V!$H124</f>
        <v>0</v>
      </c>
      <c r="W157" s="192" t="n">
        <f aca="false">W!$H124</f>
        <v>0</v>
      </c>
      <c r="X157" s="192" t="n">
        <f aca="false">X!$H124</f>
        <v>0</v>
      </c>
      <c r="Y157" s="193" t="n">
        <f aca="false">SUM(B157:X157)</f>
        <v>0</v>
      </c>
      <c r="Z157" s="193" t="n">
        <f aca="false">IF(B!E415="",0,B!$C$11+B!$C$8*B!F417)</f>
        <v>0</v>
      </c>
      <c r="AA157" s="193" t="n">
        <f aca="false">Y157-Z157</f>
        <v>0</v>
      </c>
    </row>
    <row r="158" customFormat="false" ht="15" hidden="false" customHeight="false" outlineLevel="0" collapsed="false">
      <c r="A158" s="191" t="n">
        <f aca="false">C!F125</f>
        <v>0</v>
      </c>
      <c r="B158" s="192" t="n">
        <f aca="false">IF(B!F420=TRUE(),14,0)</f>
        <v>0</v>
      </c>
      <c r="C158" s="192" t="n">
        <f aca="false">C!$H125</f>
        <v>0</v>
      </c>
      <c r="D158" s="192" t="n">
        <f aca="false">D!$H125</f>
        <v>0</v>
      </c>
      <c r="E158" s="192" t="n">
        <f aca="false">E!$H125</f>
        <v>0</v>
      </c>
      <c r="F158" s="192" t="n">
        <f aca="false">F!$H125</f>
        <v>0</v>
      </c>
      <c r="G158" s="192" t="n">
        <f aca="false">G!$H125</f>
        <v>0</v>
      </c>
      <c r="H158" s="192" t="n">
        <f aca="false">H!$H125</f>
        <v>0</v>
      </c>
      <c r="I158" s="192" t="n">
        <f aca="false">I!$H125</f>
        <v>0</v>
      </c>
      <c r="J158" s="192" t="n">
        <f aca="false">J!$H125</f>
        <v>0</v>
      </c>
      <c r="K158" s="192" t="n">
        <f aca="false">K!$H125</f>
        <v>0</v>
      </c>
      <c r="L158" s="192" t="n">
        <f aca="false">L!$H125</f>
        <v>0</v>
      </c>
      <c r="M158" s="192" t="n">
        <f aca="false">M!$H125</f>
        <v>0</v>
      </c>
      <c r="N158" s="192" t="n">
        <f aca="false">N!$H125</f>
        <v>0</v>
      </c>
      <c r="O158" s="192" t="n">
        <f aca="false">O!$H125</f>
        <v>0</v>
      </c>
      <c r="P158" s="192" t="n">
        <f aca="false">P!$H125</f>
        <v>0</v>
      </c>
      <c r="Q158" s="192" t="n">
        <f aca="false">Q!$H125</f>
        <v>0</v>
      </c>
      <c r="R158" s="192" t="n">
        <f aca="false">R!$H125</f>
        <v>0</v>
      </c>
      <c r="S158" s="192" t="n">
        <f aca="false">S!$H125</f>
        <v>0</v>
      </c>
      <c r="T158" s="192" t="n">
        <f aca="false">T!$H125</f>
        <v>0</v>
      </c>
      <c r="U158" s="192" t="n">
        <f aca="false">U!$H125</f>
        <v>0</v>
      </c>
      <c r="V158" s="192" t="n">
        <f aca="false">V!$H125</f>
        <v>0</v>
      </c>
      <c r="W158" s="192" t="n">
        <f aca="false">W!$H125</f>
        <v>0</v>
      </c>
      <c r="X158" s="192" t="n">
        <f aca="false">X!$H125</f>
        <v>0</v>
      </c>
      <c r="Y158" s="193" t="n">
        <f aca="false">SUM(B158:X158)</f>
        <v>0</v>
      </c>
      <c r="Z158" s="193" t="n">
        <f aca="false">IF(B!E420="",0,B!$C$11+B!$C$8*B!F422)</f>
        <v>0</v>
      </c>
      <c r="AA158" s="193" t="n">
        <f aca="false">Y158-Z158</f>
        <v>0</v>
      </c>
    </row>
    <row r="159" customFormat="false" ht="15" hidden="false" customHeight="false" outlineLevel="0" collapsed="false">
      <c r="A159" s="191" t="n">
        <f aca="false">C!F126</f>
        <v>0</v>
      </c>
      <c r="B159" s="192" t="n">
        <f aca="false">IF(B!F425=TRUE(),14,0)</f>
        <v>0</v>
      </c>
      <c r="C159" s="192" t="n">
        <f aca="false">C!$H126</f>
        <v>0</v>
      </c>
      <c r="D159" s="192" t="n">
        <f aca="false">D!$H126</f>
        <v>0</v>
      </c>
      <c r="E159" s="192" t="n">
        <f aca="false">E!$H126</f>
        <v>0</v>
      </c>
      <c r="F159" s="192" t="n">
        <f aca="false">F!$H126</f>
        <v>0</v>
      </c>
      <c r="G159" s="192" t="n">
        <f aca="false">G!$H126</f>
        <v>0</v>
      </c>
      <c r="H159" s="192" t="n">
        <f aca="false">H!$H126</f>
        <v>0</v>
      </c>
      <c r="I159" s="192" t="n">
        <f aca="false">I!$H126</f>
        <v>0</v>
      </c>
      <c r="J159" s="192" t="n">
        <f aca="false">J!$H126</f>
        <v>0</v>
      </c>
      <c r="K159" s="192" t="n">
        <f aca="false">K!$H126</f>
        <v>0</v>
      </c>
      <c r="L159" s="192" t="n">
        <f aca="false">L!$H126</f>
        <v>0</v>
      </c>
      <c r="M159" s="192" t="n">
        <f aca="false">M!$H126</f>
        <v>0</v>
      </c>
      <c r="N159" s="192" t="n">
        <f aca="false">N!$H126</f>
        <v>0</v>
      </c>
      <c r="O159" s="192" t="n">
        <f aca="false">O!$H126</f>
        <v>0</v>
      </c>
      <c r="P159" s="192" t="n">
        <f aca="false">P!$H126</f>
        <v>0</v>
      </c>
      <c r="Q159" s="192" t="n">
        <f aca="false">Q!$H126</f>
        <v>0</v>
      </c>
      <c r="R159" s="192" t="n">
        <f aca="false">R!$H126</f>
        <v>0</v>
      </c>
      <c r="S159" s="192" t="n">
        <f aca="false">S!$H126</f>
        <v>0</v>
      </c>
      <c r="T159" s="192" t="n">
        <f aca="false">T!$H126</f>
        <v>0</v>
      </c>
      <c r="U159" s="192" t="n">
        <f aca="false">U!$H126</f>
        <v>0</v>
      </c>
      <c r="V159" s="192" t="n">
        <f aca="false">V!$H126</f>
        <v>0</v>
      </c>
      <c r="W159" s="192" t="n">
        <f aca="false">W!$H126</f>
        <v>0</v>
      </c>
      <c r="X159" s="192" t="n">
        <f aca="false">X!$H126</f>
        <v>0</v>
      </c>
      <c r="Y159" s="193" t="n">
        <f aca="false">SUM(B159:X159)</f>
        <v>0</v>
      </c>
      <c r="Z159" s="193" t="n">
        <f aca="false">IF(B!E425="",0,B!$C$11+B!$C$8*B!F427)</f>
        <v>0</v>
      </c>
      <c r="AA159" s="193" t="n">
        <f aca="false">Y159-Z159</f>
        <v>0</v>
      </c>
    </row>
    <row r="160" customFormat="false" ht="15" hidden="false" customHeight="false" outlineLevel="0" collapsed="false">
      <c r="A160" s="195" t="s">
        <v>320</v>
      </c>
      <c r="B160" s="196" t="n">
        <f aca="false">SUM(B155:B159)</f>
        <v>0</v>
      </c>
      <c r="C160" s="196" t="n">
        <f aca="false">SUM(C155:C159)</f>
        <v>0</v>
      </c>
      <c r="D160" s="196" t="n">
        <f aca="false">SUM(D155:D159)</f>
        <v>0</v>
      </c>
      <c r="E160" s="196" t="n">
        <f aca="false">SUM(E155:E159)</f>
        <v>0</v>
      </c>
      <c r="F160" s="196" t="n">
        <f aca="false">SUM(F155:F159)</f>
        <v>0</v>
      </c>
      <c r="G160" s="196" t="n">
        <f aca="false">SUM(G155:G159)</f>
        <v>0</v>
      </c>
      <c r="H160" s="196" t="n">
        <f aca="false">SUM(H155:H159)</f>
        <v>0</v>
      </c>
      <c r="I160" s="196" t="n">
        <f aca="false">SUM(I155:I159)</f>
        <v>0</v>
      </c>
      <c r="J160" s="196" t="n">
        <f aca="false">SUM(J155:J159)</f>
        <v>0</v>
      </c>
      <c r="K160" s="196" t="n">
        <f aca="false">SUM(K155:K159)</f>
        <v>0</v>
      </c>
      <c r="L160" s="196" t="n">
        <f aca="false">SUM(L155:L159)</f>
        <v>0</v>
      </c>
      <c r="M160" s="196" t="n">
        <f aca="false">SUM(M155:M159)</f>
        <v>0</v>
      </c>
      <c r="N160" s="196" t="n">
        <f aca="false">SUM(N155:N159)</f>
        <v>0</v>
      </c>
      <c r="O160" s="196" t="n">
        <f aca="false">SUM(O155:O159)</f>
        <v>0</v>
      </c>
      <c r="P160" s="196" t="n">
        <f aca="false">SUM(P155:P159)</f>
        <v>0</v>
      </c>
      <c r="Q160" s="196" t="n">
        <f aca="false">SUM(Q155:Q159)</f>
        <v>0</v>
      </c>
      <c r="R160" s="196" t="n">
        <f aca="false">SUM(R155:R159)</f>
        <v>0</v>
      </c>
      <c r="S160" s="196" t="n">
        <f aca="false">SUM(S155:S159)</f>
        <v>0</v>
      </c>
      <c r="T160" s="196" t="n">
        <f aca="false">SUM(T155:T159)</f>
        <v>0</v>
      </c>
      <c r="U160" s="196" t="n">
        <f aca="false">SUM(U155:U159)</f>
        <v>0</v>
      </c>
      <c r="V160" s="196" t="n">
        <f aca="false">SUM(V155:V159)</f>
        <v>0</v>
      </c>
      <c r="W160" s="196" t="n">
        <f aca="false">SUM(W155:W159)</f>
        <v>0</v>
      </c>
      <c r="X160" s="197" t="n">
        <f aca="false">SUM(X155:X159)</f>
        <v>0</v>
      </c>
      <c r="Y160" s="198" t="n">
        <f aca="false">SUM(Y155:Y159)</f>
        <v>0</v>
      </c>
      <c r="Z160" s="198" t="n">
        <f aca="false">SUM(Z155:Z159)</f>
        <v>0</v>
      </c>
      <c r="AA160" s="198" t="n">
        <f aca="false">SUM(AA155:AA159)</f>
        <v>0</v>
      </c>
    </row>
  </sheetData>
  <sheetProtection sheet="true" objects="true" scenarios="true"/>
  <printOptions headings="false" gridLines="false" gridLinesSet="true" horizontalCentered="true" verticalCentered="true"/>
  <pageMargins left="0.25" right="0.25" top="0.25" bottom="0.25" header="0.511811023622047" footer="0.511811023622047"/>
  <pageSetup paperSize="1" scale="43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4" width="22.33"/>
    <col collapsed="false" customWidth="true" hidden="false" outlineLevel="0" max="2" min="2" style="17" width="8.89"/>
    <col collapsed="false" customWidth="true" hidden="false" outlineLevel="0" max="3" min="3" style="1" width="4.66"/>
    <col collapsed="false" customWidth="true" hidden="false" outlineLevel="0" max="4" min="4" style="17" width="8.89"/>
    <col collapsed="false" customWidth="true" hidden="false" outlineLevel="0" max="5" min="5" style="1" width="5.78"/>
    <col collapsed="false" customWidth="true" hidden="false" outlineLevel="0" max="6" min="6" style="17" width="10.78"/>
    <col collapsed="false" customWidth="true" hidden="false" outlineLevel="0" max="7" min="7" style="0" width="1.89"/>
    <col collapsed="false" customWidth="true" hidden="false" outlineLevel="0" max="11" min="10" style="0" width="3.77"/>
  </cols>
  <sheetData>
    <row r="1" s="203" customFormat="true" ht="17.35" hidden="false" customHeight="false" outlineLevel="0" collapsed="false">
      <c r="A1" s="200" t="n">
        <f aca="true">TODAY()</f>
        <v>46171</v>
      </c>
      <c r="B1" s="201" t="s">
        <v>321</v>
      </c>
      <c r="C1" s="202" t="n">
        <f aca="false">A!$AW$13+1</f>
        <v>7</v>
      </c>
      <c r="D1" s="201" t="s">
        <v>191</v>
      </c>
      <c r="E1" s="202" t="n">
        <f aca="false">B!$C$4</f>
        <v>335</v>
      </c>
      <c r="F1" s="201" t="s">
        <v>322</v>
      </c>
      <c r="H1" s="204" t="str">
        <f aca="false">Team1Name</f>
        <v>PIRATES OF THE TABLE</v>
      </c>
      <c r="I1" s="204"/>
      <c r="J1" s="204"/>
      <c r="K1" s="204"/>
    </row>
    <row r="2" s="203" customFormat="true" ht="17.35" hidden="false" customHeight="false" outlineLevel="0" collapsed="false">
      <c r="A2" s="205" t="s">
        <v>323</v>
      </c>
      <c r="B2" s="206" t="s">
        <v>271</v>
      </c>
      <c r="C2" s="207"/>
      <c r="D2" s="206" t="str">
        <f aca="false">IF(C1&gt;=B!$C$8*0.5,"Remaining","")</f>
        <v/>
      </c>
      <c r="E2" s="207"/>
      <c r="F2" s="208"/>
      <c r="G2" s="208"/>
      <c r="H2" s="206" t="s">
        <v>31</v>
      </c>
      <c r="I2" s="208"/>
      <c r="J2" s="208"/>
      <c r="K2" s="208"/>
    </row>
    <row r="3" customFormat="false" ht="18" hidden="false" customHeight="true" outlineLevel="0" collapsed="false">
      <c r="A3" s="209" t="s">
        <v>35</v>
      </c>
      <c r="B3" s="210" t="s">
        <v>209</v>
      </c>
      <c r="C3" s="211"/>
      <c r="D3" s="210" t="str">
        <f aca="false">IF(C1&gt;=B!$C$8*0.5,"Dues","")</f>
        <v/>
      </c>
      <c r="E3" s="211"/>
      <c r="F3" s="212"/>
      <c r="G3" s="213"/>
      <c r="H3" s="210" t="s">
        <v>209</v>
      </c>
      <c r="I3" s="213"/>
      <c r="J3" s="213"/>
      <c r="K3" s="213"/>
    </row>
    <row r="4" customFormat="false" ht="36" hidden="false" customHeight="true" outlineLevel="0" collapsed="false">
      <c r="A4" s="214" t="str">
        <f aca="false" t="array" ref="A4:A8">IF(ISBLANK(Team1Players),"Empty",Team1Players)</f>
        <v>JASON</v>
      </c>
      <c r="B4" s="211" t="s">
        <v>324</v>
      </c>
      <c r="D4" s="215" t="str">
        <f aca="false" t="array" ref="D4:D8">IF(C1&gt;=B!$C$8*0.5,Team1Due,"")</f>
        <v/>
      </c>
      <c r="H4" s="211" t="s">
        <v>324</v>
      </c>
    </row>
    <row r="5" customFormat="false" ht="36" hidden="false" customHeight="true" outlineLevel="0" collapsed="false">
      <c r="A5" s="214" t="str">
        <v>TRAYE</v>
      </c>
      <c r="B5" s="211" t="s">
        <v>324</v>
      </c>
      <c r="D5" s="215" t="str">
        <v/>
      </c>
    </row>
    <row r="6" customFormat="false" ht="36" hidden="false" customHeight="true" outlineLevel="0" collapsed="false">
      <c r="A6" s="214" t="str">
        <v>WC</v>
      </c>
      <c r="B6" s="211" t="s">
        <v>324</v>
      </c>
      <c r="D6" s="215" t="str">
        <v/>
      </c>
    </row>
    <row r="7" customFormat="false" ht="36" hidden="false" customHeight="true" outlineLevel="0" collapsed="false">
      <c r="A7" s="214" t="str">
        <v>DON</v>
      </c>
      <c r="B7" s="211" t="s">
        <v>324</v>
      </c>
      <c r="D7" s="215" t="str">
        <v/>
      </c>
    </row>
    <row r="8" customFormat="false" ht="36" hidden="false" customHeight="true" outlineLevel="0" collapsed="false">
      <c r="A8" s="214" t="str">
        <v>SAM</v>
      </c>
      <c r="B8" s="211" t="s">
        <v>324</v>
      </c>
      <c r="D8" s="215" t="str">
        <v/>
      </c>
      <c r="G8" s="17" t="s">
        <v>167</v>
      </c>
      <c r="H8" s="66"/>
      <c r="I8" s="66"/>
      <c r="J8" s="66"/>
      <c r="K8" s="66"/>
    </row>
    <row r="9" customFormat="false" ht="17.35" hidden="false" customHeight="false" outlineLevel="0" collapsed="false">
      <c r="A9" s="200" t="n">
        <f aca="true">TODAY()</f>
        <v>46171</v>
      </c>
      <c r="B9" s="201" t="s">
        <v>321</v>
      </c>
      <c r="C9" s="202" t="n">
        <f aca="false">A!$AW$13+1</f>
        <v>7</v>
      </c>
      <c r="D9" s="201" t="s">
        <v>191</v>
      </c>
      <c r="E9" s="202" t="n">
        <f aca="false">B!$C$4</f>
        <v>335</v>
      </c>
      <c r="F9" s="201" t="s">
        <v>325</v>
      </c>
      <c r="G9" s="203"/>
      <c r="H9" s="204" t="str">
        <f aca="false">Team2Name</f>
        <v>VLADIMIR POOLIN</v>
      </c>
      <c r="I9" s="204"/>
      <c r="J9" s="204"/>
      <c r="K9" s="204"/>
    </row>
    <row r="10" customFormat="false" ht="17.35" hidden="false" customHeight="false" outlineLevel="0" collapsed="false">
      <c r="A10" s="205" t="s">
        <v>323</v>
      </c>
      <c r="B10" s="206" t="s">
        <v>271</v>
      </c>
      <c r="C10" s="207"/>
      <c r="D10" s="206" t="str">
        <f aca="false">IF(C9&gt;=B!$C$8*0.5,"Remaining","")</f>
        <v/>
      </c>
      <c r="E10" s="207"/>
      <c r="F10" s="208"/>
      <c r="G10" s="208"/>
      <c r="H10" s="206" t="s">
        <v>31</v>
      </c>
      <c r="I10" s="208"/>
      <c r="J10" s="208"/>
      <c r="K10" s="208"/>
    </row>
    <row r="11" customFormat="false" ht="17.35" hidden="false" customHeight="false" outlineLevel="0" collapsed="false">
      <c r="A11" s="209" t="s">
        <v>35</v>
      </c>
      <c r="B11" s="210" t="s">
        <v>209</v>
      </c>
      <c r="C11" s="211"/>
      <c r="D11" s="210" t="str">
        <f aca="false">IF(C9&gt;=B!$C$8*0.5,"Dues","")</f>
        <v/>
      </c>
      <c r="E11" s="211"/>
      <c r="F11" s="212"/>
      <c r="G11" s="213"/>
      <c r="H11" s="210" t="s">
        <v>209</v>
      </c>
      <c r="I11" s="213"/>
      <c r="J11" s="213"/>
      <c r="K11" s="213"/>
    </row>
    <row r="12" customFormat="false" ht="36" hidden="false" customHeight="true" outlineLevel="0" collapsed="false">
      <c r="A12" s="214" t="str">
        <f aca="false" t="array" ref="A12:A16">IF(ISBLANK(Team2Players),"Empty",Team2Players)</f>
        <v>LEIGH</v>
      </c>
      <c r="B12" s="211" t="s">
        <v>324</v>
      </c>
      <c r="D12" s="215" t="str">
        <f aca="false" t="array" ref="D12:D16">IF(C9&gt;=B!$C$8*0.5,Team2Due,"")</f>
        <v/>
      </c>
      <c r="H12" s="211" t="s">
        <v>324</v>
      </c>
    </row>
    <row r="13" customFormat="false" ht="36" hidden="false" customHeight="true" outlineLevel="0" collapsed="false">
      <c r="A13" s="214" t="str">
        <v>IAN</v>
      </c>
      <c r="B13" s="211" t="s">
        <v>324</v>
      </c>
      <c r="D13" s="215" t="str">
        <v/>
      </c>
    </row>
    <row r="14" customFormat="false" ht="36" hidden="false" customHeight="true" outlineLevel="0" collapsed="false">
      <c r="A14" s="214" t="str">
        <v>ELI</v>
      </c>
      <c r="B14" s="211" t="s">
        <v>324</v>
      </c>
      <c r="D14" s="215" t="str">
        <v/>
      </c>
    </row>
    <row r="15" customFormat="false" ht="36" hidden="false" customHeight="true" outlineLevel="0" collapsed="false">
      <c r="A15" s="214" t="str">
        <v>ROWAN</v>
      </c>
      <c r="B15" s="211" t="s">
        <v>324</v>
      </c>
      <c r="D15" s="215" t="str">
        <v/>
      </c>
    </row>
    <row r="16" customFormat="false" ht="36" hidden="false" customHeight="true" outlineLevel="0" collapsed="false">
      <c r="A16" s="214" t="str">
        <v>JAMES</v>
      </c>
      <c r="B16" s="211" t="s">
        <v>324</v>
      </c>
      <c r="D16" s="215" t="str">
        <v/>
      </c>
      <c r="G16" s="17" t="s">
        <v>167</v>
      </c>
      <c r="H16" s="66"/>
      <c r="I16" s="66"/>
      <c r="J16" s="66"/>
      <c r="K16" s="66"/>
    </row>
    <row r="17" customFormat="false" ht="17.35" hidden="false" customHeight="false" outlineLevel="0" collapsed="false">
      <c r="A17" s="200" t="n">
        <f aca="true">TODAY()</f>
        <v>46171</v>
      </c>
      <c r="B17" s="201" t="s">
        <v>321</v>
      </c>
      <c r="C17" s="202" t="n">
        <f aca="false">A!$AW$13+1</f>
        <v>7</v>
      </c>
      <c r="D17" s="201" t="s">
        <v>191</v>
      </c>
      <c r="E17" s="202" t="n">
        <f aca="false">B!$C$4</f>
        <v>335</v>
      </c>
      <c r="F17" s="201" t="s">
        <v>326</v>
      </c>
      <c r="G17" s="203"/>
      <c r="H17" s="204" t="str">
        <f aca="false">Team3Name</f>
        <v>RACK PACK</v>
      </c>
      <c r="I17" s="204"/>
      <c r="J17" s="204"/>
      <c r="K17" s="204"/>
    </row>
    <row r="18" customFormat="false" ht="17.35" hidden="false" customHeight="false" outlineLevel="0" collapsed="false">
      <c r="A18" s="205" t="s">
        <v>323</v>
      </c>
      <c r="B18" s="206" t="s">
        <v>271</v>
      </c>
      <c r="C18" s="207"/>
      <c r="D18" s="206" t="str">
        <f aca="false">IF(C17&gt;=B!$C$8*0.5,"Remaining","")</f>
        <v/>
      </c>
      <c r="E18" s="207"/>
      <c r="F18" s="208"/>
      <c r="G18" s="208"/>
      <c r="H18" s="206" t="s">
        <v>31</v>
      </c>
      <c r="I18" s="208"/>
      <c r="J18" s="208"/>
      <c r="K18" s="208"/>
    </row>
    <row r="19" customFormat="false" ht="17.35" hidden="false" customHeight="false" outlineLevel="0" collapsed="false">
      <c r="A19" s="209" t="s">
        <v>35</v>
      </c>
      <c r="B19" s="210" t="s">
        <v>209</v>
      </c>
      <c r="C19" s="211"/>
      <c r="D19" s="210" t="str">
        <f aca="false">IF(C17&gt;=B!$C$8*0.5,"Dues","")</f>
        <v/>
      </c>
      <c r="E19" s="211"/>
      <c r="F19" s="212"/>
      <c r="G19" s="213"/>
      <c r="H19" s="210" t="s">
        <v>209</v>
      </c>
      <c r="I19" s="213"/>
      <c r="J19" s="213"/>
      <c r="K19" s="213"/>
    </row>
    <row r="20" customFormat="false" ht="36" hidden="false" customHeight="true" outlineLevel="0" collapsed="false">
      <c r="A20" s="214" t="str">
        <f aca="false" t="array" ref="A20:A24">IF(ISBLANK(Team3Players),"Empty",Team3Players)</f>
        <v>BRENNEN</v>
      </c>
      <c r="B20" s="211" t="s">
        <v>324</v>
      </c>
      <c r="D20" s="215" t="str">
        <f aca="false" t="array" ref="D20:D24">IF(C17&gt;=B!$C$8*0.5,Team3Due,"")</f>
        <v/>
      </c>
      <c r="H20" s="211" t="s">
        <v>324</v>
      </c>
    </row>
    <row r="21" customFormat="false" ht="36" hidden="false" customHeight="true" outlineLevel="0" collapsed="false">
      <c r="A21" s="214" t="str">
        <v>NICK</v>
      </c>
      <c r="B21" s="211" t="s">
        <v>324</v>
      </c>
      <c r="D21" s="215" t="str">
        <v/>
      </c>
    </row>
    <row r="22" customFormat="false" ht="36" hidden="false" customHeight="true" outlineLevel="0" collapsed="false">
      <c r="A22" s="214" t="str">
        <v>IAN</v>
      </c>
      <c r="B22" s="211" t="s">
        <v>324</v>
      </c>
      <c r="D22" s="215" t="str">
        <v/>
      </c>
    </row>
    <row r="23" customFormat="false" ht="36" hidden="false" customHeight="true" outlineLevel="0" collapsed="false">
      <c r="A23" s="214" t="str">
        <v>SCOTT</v>
      </c>
      <c r="B23" s="211" t="s">
        <v>324</v>
      </c>
      <c r="D23" s="215" t="str">
        <v/>
      </c>
    </row>
    <row r="24" customFormat="false" ht="36" hidden="false" customHeight="true" outlineLevel="0" collapsed="false">
      <c r="A24" s="214" t="str">
        <v>TIM</v>
      </c>
      <c r="B24" s="211" t="s">
        <v>324</v>
      </c>
      <c r="D24" s="215" t="str">
        <v/>
      </c>
      <c r="G24" s="17" t="s">
        <v>167</v>
      </c>
      <c r="H24" s="66"/>
      <c r="I24" s="66"/>
      <c r="J24" s="66"/>
      <c r="K24" s="66"/>
    </row>
    <row r="25" customFormat="false" ht="17.35" hidden="false" customHeight="false" outlineLevel="0" collapsed="false">
      <c r="A25" s="200" t="n">
        <f aca="true">TODAY()</f>
        <v>46171</v>
      </c>
      <c r="B25" s="201" t="s">
        <v>321</v>
      </c>
      <c r="C25" s="202" t="n">
        <f aca="false">A!$AW$13+1</f>
        <v>7</v>
      </c>
      <c r="D25" s="201" t="s">
        <v>191</v>
      </c>
      <c r="E25" s="202" t="n">
        <f aca="false">B!$C$4</f>
        <v>335</v>
      </c>
      <c r="F25" s="201" t="s">
        <v>327</v>
      </c>
      <c r="G25" s="203"/>
      <c r="H25" s="204" t="str">
        <f aca="false">Team4Name</f>
        <v>PKT CHANGE</v>
      </c>
      <c r="I25" s="204"/>
      <c r="J25" s="204"/>
      <c r="K25" s="204"/>
    </row>
    <row r="26" customFormat="false" ht="17.35" hidden="false" customHeight="false" outlineLevel="0" collapsed="false">
      <c r="A26" s="205" t="s">
        <v>323</v>
      </c>
      <c r="B26" s="206" t="s">
        <v>271</v>
      </c>
      <c r="C26" s="207"/>
      <c r="D26" s="206" t="str">
        <f aca="false">IF(C25&gt;=B!$C$8*0.5,"Remaining","")</f>
        <v/>
      </c>
      <c r="E26" s="207"/>
      <c r="F26" s="208"/>
      <c r="G26" s="208"/>
      <c r="H26" s="206" t="s">
        <v>31</v>
      </c>
      <c r="I26" s="208"/>
      <c r="J26" s="208"/>
      <c r="K26" s="208"/>
    </row>
    <row r="27" customFormat="false" ht="17.35" hidden="false" customHeight="false" outlineLevel="0" collapsed="false">
      <c r="A27" s="209" t="s">
        <v>35</v>
      </c>
      <c r="B27" s="210" t="s">
        <v>209</v>
      </c>
      <c r="C27" s="211"/>
      <c r="D27" s="210" t="str">
        <f aca="false">IF(C25&gt;=B!$C$8*0.5,"Dues","")</f>
        <v/>
      </c>
      <c r="E27" s="211"/>
      <c r="F27" s="212"/>
      <c r="G27" s="213"/>
      <c r="H27" s="210" t="s">
        <v>209</v>
      </c>
      <c r="I27" s="213"/>
      <c r="J27" s="213"/>
      <c r="K27" s="213"/>
    </row>
    <row r="28" customFormat="false" ht="36" hidden="false" customHeight="true" outlineLevel="0" collapsed="false">
      <c r="A28" s="214" t="str">
        <f aca="false" t="array" ref="A28:A32">IF(ISBLANK(Team4Players),"Empty",Team4Players)</f>
        <v>PATRICK</v>
      </c>
      <c r="B28" s="211" t="s">
        <v>324</v>
      </c>
      <c r="D28" s="215" t="str">
        <f aca="false" t="array" ref="D28:D32">IF(C25&gt;=B!$C$8*0.5,Team4Due,"")</f>
        <v/>
      </c>
      <c r="H28" s="211" t="s">
        <v>324</v>
      </c>
    </row>
    <row r="29" customFormat="false" ht="36" hidden="false" customHeight="true" outlineLevel="0" collapsed="false">
      <c r="A29" s="214" t="str">
        <v>BRANDY</v>
      </c>
      <c r="B29" s="211" t="s">
        <v>324</v>
      </c>
      <c r="D29" s="215" t="str">
        <v/>
      </c>
    </row>
    <row r="30" customFormat="false" ht="36" hidden="false" customHeight="true" outlineLevel="0" collapsed="false">
      <c r="A30" s="214" t="str">
        <v>PJ</v>
      </c>
      <c r="B30" s="211" t="s">
        <v>324</v>
      </c>
      <c r="D30" s="215" t="str">
        <v/>
      </c>
    </row>
    <row r="31" customFormat="false" ht="36" hidden="false" customHeight="true" outlineLevel="0" collapsed="false">
      <c r="A31" s="214" t="str">
        <v>CARA</v>
      </c>
      <c r="B31" s="211" t="s">
        <v>324</v>
      </c>
      <c r="D31" s="215" t="str">
        <v/>
      </c>
    </row>
    <row r="32" customFormat="false" ht="36" hidden="false" customHeight="true" outlineLevel="0" collapsed="false">
      <c r="A32" s="214" t="str">
        <v>MELISSA</v>
      </c>
      <c r="B32" s="211" t="s">
        <v>324</v>
      </c>
      <c r="D32" s="215" t="str">
        <v/>
      </c>
      <c r="G32" s="17" t="s">
        <v>167</v>
      </c>
      <c r="H32" s="66"/>
      <c r="I32" s="66"/>
      <c r="J32" s="66"/>
      <c r="K32" s="66"/>
    </row>
    <row r="33" customFormat="false" ht="17.35" hidden="false" customHeight="false" outlineLevel="0" collapsed="false">
      <c r="A33" s="200" t="n">
        <f aca="true">TODAY()</f>
        <v>46171</v>
      </c>
      <c r="B33" s="201" t="s">
        <v>321</v>
      </c>
      <c r="C33" s="202" t="n">
        <f aca="false">A!$AW$13+1</f>
        <v>7</v>
      </c>
      <c r="D33" s="201" t="s">
        <v>191</v>
      </c>
      <c r="E33" s="202" t="n">
        <f aca="false">B!$C$4</f>
        <v>335</v>
      </c>
      <c r="F33" s="201" t="s">
        <v>328</v>
      </c>
      <c r="G33" s="203"/>
      <c r="H33" s="204" t="str">
        <f aca="false">Team5Name</f>
        <v>HABOOBS</v>
      </c>
      <c r="I33" s="204"/>
      <c r="J33" s="204"/>
      <c r="K33" s="204"/>
    </row>
    <row r="34" customFormat="false" ht="17.35" hidden="false" customHeight="false" outlineLevel="0" collapsed="false">
      <c r="A34" s="205" t="s">
        <v>323</v>
      </c>
      <c r="B34" s="206" t="s">
        <v>271</v>
      </c>
      <c r="C34" s="207"/>
      <c r="D34" s="206" t="str">
        <f aca="false">IF(C33&gt;=B!$C$8*0.5,"Remaining","")</f>
        <v/>
      </c>
      <c r="E34" s="207"/>
      <c r="F34" s="208"/>
      <c r="G34" s="208"/>
      <c r="H34" s="206" t="s">
        <v>31</v>
      </c>
      <c r="I34" s="208"/>
      <c r="J34" s="208"/>
      <c r="K34" s="208"/>
    </row>
    <row r="35" customFormat="false" ht="17.35" hidden="false" customHeight="false" outlineLevel="0" collapsed="false">
      <c r="A35" s="209" t="s">
        <v>35</v>
      </c>
      <c r="B35" s="210" t="s">
        <v>209</v>
      </c>
      <c r="C35" s="211"/>
      <c r="D35" s="210" t="str">
        <f aca="false">IF(C33&gt;=B!$C$8*0.5,"Dues","")</f>
        <v/>
      </c>
      <c r="E35" s="211"/>
      <c r="F35" s="212"/>
      <c r="G35" s="213"/>
      <c r="H35" s="210" t="s">
        <v>209</v>
      </c>
      <c r="I35" s="213"/>
      <c r="J35" s="213"/>
      <c r="K35" s="213"/>
    </row>
    <row r="36" customFormat="false" ht="36" hidden="false" customHeight="true" outlineLevel="0" collapsed="false">
      <c r="A36" s="214" t="str">
        <f aca="false" t="array" ref="A36:A40">IF(ISBLANK(Team5Players),"Empty",Team5Players)</f>
        <v>MIKE</v>
      </c>
      <c r="B36" s="211" t="s">
        <v>324</v>
      </c>
      <c r="D36" s="215" t="str">
        <f aca="false" t="array" ref="D36:D40">IF(C33&gt;=B!$C$8*0.5,Team5Due,"")</f>
        <v/>
      </c>
      <c r="H36" s="211" t="s">
        <v>324</v>
      </c>
    </row>
    <row r="37" customFormat="false" ht="36" hidden="false" customHeight="true" outlineLevel="0" collapsed="false">
      <c r="A37" s="214" t="str">
        <v>OLGA</v>
      </c>
      <c r="B37" s="211" t="s">
        <v>324</v>
      </c>
      <c r="D37" s="215" t="str">
        <v/>
      </c>
    </row>
    <row r="38" customFormat="false" ht="36" hidden="false" customHeight="true" outlineLevel="0" collapsed="false">
      <c r="A38" s="214" t="str">
        <v>DAN</v>
      </c>
      <c r="B38" s="211" t="s">
        <v>324</v>
      </c>
      <c r="D38" s="215" t="str">
        <v/>
      </c>
    </row>
    <row r="39" customFormat="false" ht="36" hidden="false" customHeight="true" outlineLevel="0" collapsed="false">
      <c r="A39" s="214" t="str">
        <v>MIKE MO</v>
      </c>
      <c r="B39" s="211" t="s">
        <v>324</v>
      </c>
      <c r="D39" s="215" t="str">
        <v/>
      </c>
    </row>
    <row r="40" customFormat="false" ht="36" hidden="false" customHeight="true" outlineLevel="0" collapsed="false">
      <c r="A40" s="214" t="str">
        <v>VICKIE</v>
      </c>
      <c r="B40" s="211" t="s">
        <v>324</v>
      </c>
      <c r="D40" s="215" t="str">
        <v/>
      </c>
      <c r="G40" s="17" t="s">
        <v>167</v>
      </c>
      <c r="H40" s="66"/>
      <c r="I40" s="66"/>
      <c r="J40" s="66"/>
      <c r="K40" s="66"/>
    </row>
    <row r="41" customFormat="false" ht="17.35" hidden="false" customHeight="false" outlineLevel="0" collapsed="false">
      <c r="A41" s="200" t="n">
        <f aca="true">TODAY()</f>
        <v>46171</v>
      </c>
      <c r="B41" s="201" t="s">
        <v>321</v>
      </c>
      <c r="C41" s="202" t="n">
        <f aca="false">A!$AW$13+1</f>
        <v>7</v>
      </c>
      <c r="D41" s="201" t="s">
        <v>191</v>
      </c>
      <c r="E41" s="202" t="n">
        <f aca="false">B!$C$4</f>
        <v>335</v>
      </c>
      <c r="F41" s="201" t="s">
        <v>329</v>
      </c>
      <c r="G41" s="203"/>
      <c r="H41" s="204" t="str">
        <f aca="false">Team6Name</f>
        <v>FFFFF&lt;sup&gt;10&lt;/sup&gt;</v>
      </c>
      <c r="I41" s="204"/>
      <c r="J41" s="204"/>
      <c r="K41" s="204"/>
    </row>
    <row r="42" customFormat="false" ht="17.35" hidden="false" customHeight="false" outlineLevel="0" collapsed="false">
      <c r="A42" s="205" t="s">
        <v>323</v>
      </c>
      <c r="B42" s="206" t="s">
        <v>271</v>
      </c>
      <c r="C42" s="207"/>
      <c r="D42" s="206" t="str">
        <f aca="false">IF(C41&gt;=B!$C$8*0.5,"Remaining","")</f>
        <v/>
      </c>
      <c r="E42" s="207"/>
      <c r="F42" s="208"/>
      <c r="G42" s="208"/>
      <c r="H42" s="206" t="s">
        <v>31</v>
      </c>
      <c r="I42" s="208"/>
      <c r="J42" s="208"/>
      <c r="K42" s="208"/>
    </row>
    <row r="43" customFormat="false" ht="17.35" hidden="false" customHeight="false" outlineLevel="0" collapsed="false">
      <c r="A43" s="209" t="s">
        <v>35</v>
      </c>
      <c r="B43" s="210" t="s">
        <v>209</v>
      </c>
      <c r="C43" s="211"/>
      <c r="D43" s="210" t="str">
        <f aca="false">IF(C41&gt;=B!$C$8*0.5,"Dues","")</f>
        <v/>
      </c>
      <c r="E43" s="211"/>
      <c r="F43" s="212"/>
      <c r="G43" s="213"/>
      <c r="H43" s="210" t="s">
        <v>209</v>
      </c>
      <c r="I43" s="213"/>
      <c r="J43" s="213"/>
      <c r="K43" s="213"/>
    </row>
    <row r="44" customFormat="false" ht="36" hidden="false" customHeight="true" outlineLevel="0" collapsed="false">
      <c r="A44" s="214" t="str">
        <f aca="false" t="array" ref="A44:A48">IF(ISBLANK(Team6Players),"Empty",Team6Players)</f>
        <v>RICHARD</v>
      </c>
      <c r="B44" s="211" t="s">
        <v>324</v>
      </c>
      <c r="D44" s="215" t="str">
        <f aca="false" t="array" ref="D44:D48">IF(C41&gt;=B!$C$8*0.5,Team6Due,"")</f>
        <v/>
      </c>
      <c r="H44" s="211" t="s">
        <v>324</v>
      </c>
    </row>
    <row r="45" customFormat="false" ht="36" hidden="false" customHeight="true" outlineLevel="0" collapsed="false">
      <c r="A45" s="214" t="str">
        <v>JUSTIN</v>
      </c>
      <c r="B45" s="211" t="s">
        <v>324</v>
      </c>
      <c r="D45" s="215" t="str">
        <v/>
      </c>
    </row>
    <row r="46" customFormat="false" ht="36" hidden="false" customHeight="true" outlineLevel="0" collapsed="false">
      <c r="A46" s="214" t="str">
        <v>SANDY</v>
      </c>
      <c r="B46" s="211" t="s">
        <v>324</v>
      </c>
      <c r="D46" s="215" t="str">
        <v/>
      </c>
    </row>
    <row r="47" customFormat="false" ht="36" hidden="false" customHeight="true" outlineLevel="0" collapsed="false">
      <c r="A47" s="214" t="str">
        <v>DENNIS</v>
      </c>
      <c r="B47" s="211" t="s">
        <v>324</v>
      </c>
      <c r="D47" s="215" t="str">
        <v/>
      </c>
    </row>
    <row r="48" customFormat="false" ht="36" hidden="false" customHeight="true" outlineLevel="0" collapsed="false">
      <c r="A48" s="214" t="str">
        <v>VE</v>
      </c>
      <c r="B48" s="211" t="s">
        <v>324</v>
      </c>
      <c r="D48" s="215" t="str">
        <v/>
      </c>
      <c r="G48" s="17" t="s">
        <v>167</v>
      </c>
      <c r="H48" s="66"/>
      <c r="I48" s="66"/>
      <c r="J48" s="66"/>
      <c r="K48" s="66"/>
    </row>
    <row r="49" customFormat="false" ht="17.35" hidden="false" customHeight="false" outlineLevel="0" collapsed="false">
      <c r="A49" s="200" t="n">
        <f aca="true">TODAY()</f>
        <v>46171</v>
      </c>
      <c r="B49" s="201" t="s">
        <v>321</v>
      </c>
      <c r="C49" s="202" t="n">
        <f aca="false">A!$AW$13+1</f>
        <v>7</v>
      </c>
      <c r="D49" s="201" t="s">
        <v>191</v>
      </c>
      <c r="E49" s="202" t="n">
        <f aca="false">B!$C$4</f>
        <v>335</v>
      </c>
      <c r="F49" s="201" t="s">
        <v>330</v>
      </c>
      <c r="G49" s="203"/>
      <c r="H49" s="204" t="str">
        <f aca="false">Team7Name</f>
        <v>YOUNG BLOODS</v>
      </c>
      <c r="I49" s="204"/>
      <c r="J49" s="204"/>
      <c r="K49" s="204"/>
    </row>
    <row r="50" customFormat="false" ht="17.35" hidden="false" customHeight="false" outlineLevel="0" collapsed="false">
      <c r="A50" s="205" t="s">
        <v>323</v>
      </c>
      <c r="B50" s="206" t="s">
        <v>271</v>
      </c>
      <c r="C50" s="207"/>
      <c r="D50" s="206" t="str">
        <f aca="false">IF(C49&gt;=B!$C$8*0.5,"Remaining","")</f>
        <v/>
      </c>
      <c r="E50" s="207"/>
      <c r="F50" s="208"/>
      <c r="G50" s="208"/>
      <c r="H50" s="206" t="s">
        <v>31</v>
      </c>
      <c r="I50" s="208"/>
      <c r="J50" s="208"/>
      <c r="K50" s="208"/>
    </row>
    <row r="51" customFormat="false" ht="17.35" hidden="false" customHeight="false" outlineLevel="0" collapsed="false">
      <c r="A51" s="209" t="s">
        <v>35</v>
      </c>
      <c r="B51" s="210" t="s">
        <v>209</v>
      </c>
      <c r="C51" s="211"/>
      <c r="D51" s="210" t="str">
        <f aca="false">IF(C49&gt;=B!$C$8*0.5,"Dues","")</f>
        <v/>
      </c>
      <c r="E51" s="211"/>
      <c r="F51" s="212"/>
      <c r="G51" s="213"/>
      <c r="H51" s="210" t="s">
        <v>209</v>
      </c>
      <c r="I51" s="213"/>
      <c r="J51" s="213"/>
      <c r="K51" s="213"/>
    </row>
    <row r="52" customFormat="false" ht="36" hidden="false" customHeight="true" outlineLevel="0" collapsed="false">
      <c r="A52" s="214" t="str">
        <f aca="false" t="array" ref="A52:A56">IF(ISBLANK(Team7Players),"Empty",Team7Players)</f>
        <v>GARY</v>
      </c>
      <c r="B52" s="211" t="s">
        <v>324</v>
      </c>
      <c r="D52" s="215" t="str">
        <f aca="false" t="array" ref="D52:D56">IF(C49&gt;=B!$C$8*0.5,Team7Due,"")</f>
        <v/>
      </c>
      <c r="H52" s="211" t="s">
        <v>324</v>
      </c>
    </row>
    <row r="53" customFormat="false" ht="36" hidden="false" customHeight="true" outlineLevel="0" collapsed="false">
      <c r="A53" s="214" t="str">
        <v>RICH</v>
      </c>
      <c r="B53" s="211" t="s">
        <v>324</v>
      </c>
      <c r="D53" s="215" t="str">
        <v/>
      </c>
    </row>
    <row r="54" customFormat="false" ht="36" hidden="false" customHeight="true" outlineLevel="0" collapsed="false">
      <c r="A54" s="214" t="str">
        <v>VIC</v>
      </c>
      <c r="B54" s="211" t="s">
        <v>324</v>
      </c>
      <c r="D54" s="215" t="str">
        <v/>
      </c>
    </row>
    <row r="55" customFormat="false" ht="36" hidden="false" customHeight="true" outlineLevel="0" collapsed="false">
      <c r="A55" s="214" t="str">
        <v>JIM</v>
      </c>
      <c r="B55" s="211" t="s">
        <v>324</v>
      </c>
      <c r="D55" s="215" t="str">
        <v/>
      </c>
    </row>
    <row r="56" customFormat="false" ht="36" hidden="false" customHeight="true" outlineLevel="0" collapsed="false">
      <c r="A56" s="214" t="str">
        <v>PAM</v>
      </c>
      <c r="B56" s="211" t="s">
        <v>324</v>
      </c>
      <c r="D56" s="215" t="str">
        <v/>
      </c>
      <c r="G56" s="17" t="s">
        <v>167</v>
      </c>
      <c r="H56" s="66"/>
      <c r="I56" s="66"/>
      <c r="J56" s="66"/>
      <c r="K56" s="66"/>
    </row>
    <row r="57" customFormat="false" ht="17.35" hidden="false" customHeight="false" outlineLevel="0" collapsed="false">
      <c r="A57" s="200" t="n">
        <f aca="true">TODAY()</f>
        <v>46171</v>
      </c>
      <c r="B57" s="201" t="s">
        <v>321</v>
      </c>
      <c r="C57" s="202" t="n">
        <f aca="false">A!$AW$13+1</f>
        <v>7</v>
      </c>
      <c r="D57" s="201" t="s">
        <v>191</v>
      </c>
      <c r="E57" s="202" t="n">
        <f aca="false">B!$C$4</f>
        <v>335</v>
      </c>
      <c r="F57" s="201" t="s">
        <v>331</v>
      </c>
      <c r="G57" s="203"/>
      <c r="H57" s="204" t="str">
        <f aca="false">Team8Name</f>
        <v>THE BOYS</v>
      </c>
      <c r="I57" s="204"/>
      <c r="J57" s="204"/>
      <c r="K57" s="204"/>
    </row>
    <row r="58" customFormat="false" ht="17.35" hidden="false" customHeight="false" outlineLevel="0" collapsed="false">
      <c r="A58" s="205" t="s">
        <v>323</v>
      </c>
      <c r="B58" s="206" t="s">
        <v>271</v>
      </c>
      <c r="C58" s="207"/>
      <c r="D58" s="206" t="str">
        <f aca="false">IF(C57&gt;=B!$C$8*0.5,"Remaining","")</f>
        <v/>
      </c>
      <c r="E58" s="207"/>
      <c r="F58" s="208"/>
      <c r="G58" s="208"/>
      <c r="H58" s="206" t="s">
        <v>31</v>
      </c>
      <c r="I58" s="208"/>
      <c r="J58" s="208"/>
      <c r="K58" s="208"/>
    </row>
    <row r="59" customFormat="false" ht="17.35" hidden="false" customHeight="false" outlineLevel="0" collapsed="false">
      <c r="A59" s="209" t="s">
        <v>35</v>
      </c>
      <c r="B59" s="210" t="s">
        <v>209</v>
      </c>
      <c r="C59" s="211"/>
      <c r="D59" s="210" t="str">
        <f aca="false">IF(C57&gt;=B!$C$8*0.5,"Dues","")</f>
        <v/>
      </c>
      <c r="E59" s="211"/>
      <c r="F59" s="212"/>
      <c r="G59" s="213"/>
      <c r="H59" s="210" t="s">
        <v>209</v>
      </c>
      <c r="I59" s="213"/>
      <c r="J59" s="213"/>
      <c r="K59" s="213"/>
    </row>
    <row r="60" customFormat="false" ht="36" hidden="false" customHeight="true" outlineLevel="0" collapsed="false">
      <c r="A60" s="214" t="str">
        <f aca="false" t="array" ref="A60:A64">IF(ISBLANK(Team8Players),"Empty",Team8Players)</f>
        <v>JOHN A</v>
      </c>
      <c r="B60" s="211" t="s">
        <v>324</v>
      </c>
      <c r="D60" s="215" t="str">
        <f aca="false" t="array" ref="D60:D64">IF(C57&gt;=B!$C$8*0.5,Team8Due,"")</f>
        <v/>
      </c>
      <c r="H60" s="211" t="s">
        <v>324</v>
      </c>
    </row>
    <row r="61" customFormat="false" ht="36" hidden="false" customHeight="true" outlineLevel="0" collapsed="false">
      <c r="A61" s="214" t="str">
        <v>BOBBY</v>
      </c>
      <c r="B61" s="211" t="s">
        <v>324</v>
      </c>
      <c r="D61" s="215" t="str">
        <v/>
      </c>
    </row>
    <row r="62" customFormat="false" ht="36" hidden="false" customHeight="true" outlineLevel="0" collapsed="false">
      <c r="A62" s="214" t="str">
        <v>MIKE</v>
      </c>
      <c r="B62" s="211" t="s">
        <v>324</v>
      </c>
      <c r="D62" s="215" t="str">
        <v/>
      </c>
    </row>
    <row r="63" customFormat="false" ht="36" hidden="false" customHeight="true" outlineLevel="0" collapsed="false">
      <c r="A63" s="214" t="str">
        <v>ROGER</v>
      </c>
      <c r="B63" s="211" t="s">
        <v>324</v>
      </c>
      <c r="D63" s="215" t="str">
        <v/>
      </c>
    </row>
    <row r="64" customFormat="false" ht="36" hidden="false" customHeight="true" outlineLevel="0" collapsed="false">
      <c r="A64" s="214" t="str">
        <v>JOHN B.</v>
      </c>
      <c r="B64" s="211" t="s">
        <v>324</v>
      </c>
      <c r="D64" s="215" t="str">
        <v/>
      </c>
      <c r="G64" s="17" t="s">
        <v>167</v>
      </c>
      <c r="H64" s="66"/>
      <c r="I64" s="66"/>
      <c r="J64" s="66"/>
      <c r="K64" s="66"/>
    </row>
    <row r="65" customFormat="false" ht="17.35" hidden="false" customHeight="false" outlineLevel="0" collapsed="false">
      <c r="A65" s="200" t="n">
        <f aca="true">TODAY()</f>
        <v>46171</v>
      </c>
      <c r="B65" s="201" t="s">
        <v>321</v>
      </c>
      <c r="C65" s="202" t="n">
        <f aca="false">A!$AW$13+1</f>
        <v>7</v>
      </c>
      <c r="D65" s="201" t="s">
        <v>191</v>
      </c>
      <c r="E65" s="202" t="n">
        <f aca="false">B!$C$4</f>
        <v>335</v>
      </c>
      <c r="F65" s="201" t="s">
        <v>332</v>
      </c>
      <c r="G65" s="203"/>
      <c r="H65" s="204" t="str">
        <f aca="false">Team9Name</f>
        <v>THE DOUGERNAUTS</v>
      </c>
      <c r="I65" s="204"/>
      <c r="J65" s="204"/>
      <c r="K65" s="204"/>
    </row>
    <row r="66" customFormat="false" ht="17.35" hidden="false" customHeight="false" outlineLevel="0" collapsed="false">
      <c r="A66" s="205" t="s">
        <v>323</v>
      </c>
      <c r="B66" s="206" t="s">
        <v>271</v>
      </c>
      <c r="C66" s="207"/>
      <c r="D66" s="206" t="str">
        <f aca="false">IF(C65&gt;=B!$C$8*0.5,"Remaining","")</f>
        <v/>
      </c>
      <c r="E66" s="207"/>
      <c r="F66" s="208"/>
      <c r="G66" s="208"/>
      <c r="H66" s="206" t="s">
        <v>31</v>
      </c>
      <c r="I66" s="208"/>
      <c r="J66" s="208"/>
      <c r="K66" s="208"/>
    </row>
    <row r="67" customFormat="false" ht="17.35" hidden="false" customHeight="false" outlineLevel="0" collapsed="false">
      <c r="A67" s="209" t="s">
        <v>35</v>
      </c>
      <c r="B67" s="210" t="s">
        <v>209</v>
      </c>
      <c r="C67" s="211"/>
      <c r="D67" s="210" t="str">
        <f aca="false">IF(C65&gt;=B!$C$8*0.5,"Dues","")</f>
        <v/>
      </c>
      <c r="E67" s="211"/>
      <c r="F67" s="212"/>
      <c r="G67" s="213"/>
      <c r="H67" s="210" t="s">
        <v>209</v>
      </c>
      <c r="I67" s="213"/>
      <c r="J67" s="213"/>
      <c r="K67" s="213"/>
    </row>
    <row r="68" customFormat="false" ht="36" hidden="false" customHeight="true" outlineLevel="0" collapsed="false">
      <c r="A68" s="214" t="str">
        <f aca="false" t="array" ref="A68:A72">IF(ISBLANK(Team9Players),"Empty",Team9Players)</f>
        <v>MICHAEL</v>
      </c>
      <c r="B68" s="211" t="s">
        <v>324</v>
      </c>
      <c r="D68" s="215" t="str">
        <f aca="false" t="array" ref="D68:D72">IF(C65&gt;=B!$C$8*0.5,Team9Due,"")</f>
        <v/>
      </c>
      <c r="H68" s="211" t="s">
        <v>324</v>
      </c>
    </row>
    <row r="69" customFormat="false" ht="36" hidden="false" customHeight="true" outlineLevel="0" collapsed="false">
      <c r="A69" s="214" t="str">
        <v>JIM</v>
      </c>
      <c r="B69" s="211" t="s">
        <v>324</v>
      </c>
      <c r="D69" s="215" t="str">
        <v/>
      </c>
    </row>
    <row r="70" customFormat="false" ht="36" hidden="false" customHeight="true" outlineLevel="0" collapsed="false">
      <c r="A70" s="214" t="str">
        <v>DOUG</v>
      </c>
      <c r="B70" s="211" t="s">
        <v>324</v>
      </c>
      <c r="D70" s="215" t="str">
        <v/>
      </c>
    </row>
    <row r="71" customFormat="false" ht="36" hidden="false" customHeight="true" outlineLevel="0" collapsed="false">
      <c r="A71" s="214" t="str">
        <v>SARAH</v>
      </c>
      <c r="B71" s="211" t="s">
        <v>324</v>
      </c>
      <c r="D71" s="215" t="str">
        <v/>
      </c>
    </row>
    <row r="72" customFormat="false" ht="36" hidden="false" customHeight="true" outlineLevel="0" collapsed="false">
      <c r="A72" s="214" t="str">
        <v>KASH</v>
      </c>
      <c r="B72" s="211" t="s">
        <v>324</v>
      </c>
      <c r="D72" s="215" t="str">
        <v/>
      </c>
      <c r="G72" s="17" t="s">
        <v>167</v>
      </c>
      <c r="H72" s="66"/>
      <c r="I72" s="66"/>
      <c r="J72" s="66"/>
      <c r="K72" s="66"/>
    </row>
    <row r="73" customFormat="false" ht="17.35" hidden="false" customHeight="false" outlineLevel="0" collapsed="false">
      <c r="A73" s="200" t="n">
        <f aca="true">TODAY()</f>
        <v>46171</v>
      </c>
      <c r="B73" s="201" t="s">
        <v>321</v>
      </c>
      <c r="C73" s="202" t="n">
        <f aca="false">A!$AW$13+1</f>
        <v>7</v>
      </c>
      <c r="D73" s="201" t="s">
        <v>191</v>
      </c>
      <c r="E73" s="202" t="n">
        <f aca="false">B!$C$4</f>
        <v>335</v>
      </c>
      <c r="F73" s="201" t="s">
        <v>333</v>
      </c>
      <c r="G73" s="203"/>
      <c r="H73" s="204" t="str">
        <f aca="false">Team10Name</f>
        <v>CRAZY TRAIN</v>
      </c>
      <c r="I73" s="204"/>
      <c r="J73" s="204"/>
      <c r="K73" s="204"/>
    </row>
    <row r="74" customFormat="false" ht="17.35" hidden="false" customHeight="false" outlineLevel="0" collapsed="false">
      <c r="A74" s="205" t="s">
        <v>323</v>
      </c>
      <c r="B74" s="206" t="s">
        <v>271</v>
      </c>
      <c r="C74" s="207"/>
      <c r="D74" s="206" t="str">
        <f aca="false">IF(C73&gt;=B!$C$8*0.5,"Remaining","")</f>
        <v/>
      </c>
      <c r="E74" s="207"/>
      <c r="F74" s="208"/>
      <c r="G74" s="208"/>
      <c r="H74" s="206" t="s">
        <v>31</v>
      </c>
      <c r="I74" s="208"/>
      <c r="J74" s="208"/>
      <c r="K74" s="208"/>
    </row>
    <row r="75" customFormat="false" ht="17.35" hidden="false" customHeight="false" outlineLevel="0" collapsed="false">
      <c r="A75" s="209" t="s">
        <v>35</v>
      </c>
      <c r="B75" s="210" t="s">
        <v>209</v>
      </c>
      <c r="C75" s="211"/>
      <c r="D75" s="210" t="str">
        <f aca="false">IF(C73&gt;=B!$C$8*0.5,"Dues","")</f>
        <v/>
      </c>
      <c r="E75" s="211"/>
      <c r="F75" s="212"/>
      <c r="G75" s="213"/>
      <c r="H75" s="210" t="s">
        <v>209</v>
      </c>
      <c r="I75" s="213"/>
      <c r="J75" s="213"/>
      <c r="K75" s="213"/>
    </row>
    <row r="76" customFormat="false" ht="36" hidden="false" customHeight="true" outlineLevel="0" collapsed="false">
      <c r="A76" s="214" t="str">
        <f aca="false" t="array" ref="A76:A80">IF(ISBLANK(Team10Players),"Empty",Team10Players)</f>
        <v>DARRIC</v>
      </c>
      <c r="B76" s="211" t="s">
        <v>324</v>
      </c>
      <c r="D76" s="215" t="str">
        <f aca="false" t="array" ref="D76:D80">IF(C73&gt;=B!$C$8*0.5,Team10Due,"")</f>
        <v/>
      </c>
      <c r="H76" s="211" t="s">
        <v>324</v>
      </c>
    </row>
    <row r="77" customFormat="false" ht="36" hidden="false" customHeight="true" outlineLevel="0" collapsed="false">
      <c r="A77" s="214" t="str">
        <v>CHRIS</v>
      </c>
      <c r="B77" s="211" t="s">
        <v>324</v>
      </c>
      <c r="D77" s="215" t="str">
        <v/>
      </c>
    </row>
    <row r="78" customFormat="false" ht="36" hidden="false" customHeight="true" outlineLevel="0" collapsed="false">
      <c r="A78" s="214" t="str">
        <v>MIKE R.</v>
      </c>
      <c r="B78" s="211" t="s">
        <v>324</v>
      </c>
      <c r="D78" s="215" t="str">
        <v/>
      </c>
    </row>
    <row r="79" customFormat="false" ht="36" hidden="false" customHeight="true" outlineLevel="0" collapsed="false">
      <c r="A79" s="214" t="str">
        <v>SERGEI</v>
      </c>
      <c r="B79" s="211" t="s">
        <v>324</v>
      </c>
      <c r="D79" s="215" t="str">
        <v/>
      </c>
    </row>
    <row r="80" customFormat="false" ht="36" hidden="false" customHeight="true" outlineLevel="0" collapsed="false">
      <c r="A80" s="214" t="str">
        <v>JORDAN</v>
      </c>
      <c r="B80" s="211" t="s">
        <v>324</v>
      </c>
      <c r="D80" s="215" t="str">
        <v/>
      </c>
      <c r="G80" s="17" t="s">
        <v>167</v>
      </c>
      <c r="H80" s="66"/>
      <c r="I80" s="66"/>
      <c r="J80" s="66"/>
      <c r="K80" s="66"/>
    </row>
    <row r="81" customFormat="false" ht="17.35" hidden="false" customHeight="false" outlineLevel="0" collapsed="false">
      <c r="A81" s="200" t="n">
        <f aca="true">TODAY()</f>
        <v>46171</v>
      </c>
      <c r="B81" s="201" t="s">
        <v>321</v>
      </c>
      <c r="C81" s="202" t="n">
        <f aca="false">A!$AW$13+1</f>
        <v>7</v>
      </c>
      <c r="D81" s="201" t="s">
        <v>191</v>
      </c>
      <c r="E81" s="202" t="n">
        <f aca="false">B!$C$4</f>
        <v>335</v>
      </c>
      <c r="F81" s="201" t="s">
        <v>334</v>
      </c>
      <c r="G81" s="203"/>
      <c r="H81" s="204" t="str">
        <f aca="false">Team11Name</f>
        <v>SPAM FO LUNCH</v>
      </c>
      <c r="I81" s="204"/>
      <c r="J81" s="204"/>
      <c r="K81" s="204"/>
    </row>
    <row r="82" customFormat="false" ht="17.35" hidden="false" customHeight="false" outlineLevel="0" collapsed="false">
      <c r="A82" s="205" t="s">
        <v>323</v>
      </c>
      <c r="B82" s="206" t="s">
        <v>271</v>
      </c>
      <c r="C82" s="207"/>
      <c r="D82" s="206" t="str">
        <f aca="false">IF(C81&gt;=B!$C$8*0.5,"Remaining","")</f>
        <v/>
      </c>
      <c r="E82" s="207"/>
      <c r="F82" s="208"/>
      <c r="G82" s="208"/>
      <c r="H82" s="206" t="s">
        <v>31</v>
      </c>
      <c r="I82" s="208"/>
      <c r="J82" s="208"/>
      <c r="K82" s="208"/>
    </row>
    <row r="83" customFormat="false" ht="17.35" hidden="false" customHeight="false" outlineLevel="0" collapsed="false">
      <c r="A83" s="209" t="s">
        <v>35</v>
      </c>
      <c r="B83" s="210" t="s">
        <v>209</v>
      </c>
      <c r="C83" s="211"/>
      <c r="D83" s="210" t="str">
        <f aca="false">IF(C81&gt;=B!$C$8*0.5,"Dues","")</f>
        <v/>
      </c>
      <c r="E83" s="211"/>
      <c r="F83" s="212"/>
      <c r="G83" s="213"/>
      <c r="H83" s="210" t="s">
        <v>209</v>
      </c>
      <c r="I83" s="213"/>
      <c r="J83" s="213"/>
      <c r="K83" s="213"/>
    </row>
    <row r="84" customFormat="false" ht="36" hidden="false" customHeight="true" outlineLevel="0" collapsed="false">
      <c r="A84" s="214" t="str">
        <f aca="false" t="array" ref="A84:A88">IF(ISBLANK(Team11Players),"Empty",Team11Players)</f>
        <v>PABLO</v>
      </c>
      <c r="B84" s="211" t="s">
        <v>324</v>
      </c>
      <c r="D84" s="215" t="str">
        <f aca="false" t="array" ref="D84:D88">IF(C81&gt;=B!$C$8*0.5,Team11Due,"")</f>
        <v/>
      </c>
      <c r="H84" s="211" t="s">
        <v>324</v>
      </c>
    </row>
    <row r="85" customFormat="false" ht="36" hidden="false" customHeight="true" outlineLevel="0" collapsed="false">
      <c r="A85" s="214" t="str">
        <v>ERIC</v>
      </c>
      <c r="B85" s="211" t="s">
        <v>324</v>
      </c>
      <c r="D85" s="215" t="str">
        <v/>
      </c>
    </row>
    <row r="86" customFormat="false" ht="36" hidden="false" customHeight="true" outlineLevel="0" collapsed="false">
      <c r="A86" s="214" t="str">
        <v>SABRINA</v>
      </c>
      <c r="B86" s="211" t="s">
        <v>324</v>
      </c>
      <c r="D86" s="215" t="str">
        <v/>
      </c>
    </row>
    <row r="87" customFormat="false" ht="36" hidden="false" customHeight="true" outlineLevel="0" collapsed="false">
      <c r="A87" s="214" t="str">
        <v>NICK</v>
      </c>
      <c r="B87" s="211" t="s">
        <v>324</v>
      </c>
      <c r="D87" s="215" t="str">
        <v/>
      </c>
    </row>
    <row r="88" customFormat="false" ht="36" hidden="false" customHeight="true" outlineLevel="0" collapsed="false">
      <c r="A88" s="214" t="str">
        <v>LON</v>
      </c>
      <c r="B88" s="211" t="s">
        <v>324</v>
      </c>
      <c r="D88" s="215" t="str">
        <v/>
      </c>
      <c r="G88" s="17" t="s">
        <v>167</v>
      </c>
      <c r="H88" s="66"/>
      <c r="I88" s="66"/>
      <c r="J88" s="66"/>
      <c r="K88" s="66"/>
    </row>
    <row r="89" customFormat="false" ht="17.35" hidden="false" customHeight="false" outlineLevel="0" collapsed="false">
      <c r="A89" s="200" t="n">
        <f aca="true">TODAY()</f>
        <v>46171</v>
      </c>
      <c r="B89" s="201" t="s">
        <v>321</v>
      </c>
      <c r="C89" s="202" t="n">
        <f aca="false">A!$AW$13+1</f>
        <v>7</v>
      </c>
      <c r="D89" s="201" t="s">
        <v>191</v>
      </c>
      <c r="E89" s="202" t="n">
        <f aca="false">B!$C$4</f>
        <v>335</v>
      </c>
      <c r="F89" s="201" t="s">
        <v>335</v>
      </c>
      <c r="G89" s="203"/>
      <c r="H89" s="204" t="str">
        <f aca="false">Team12Name</f>
        <v>BYE</v>
      </c>
      <c r="I89" s="204"/>
      <c r="J89" s="204"/>
      <c r="K89" s="204"/>
    </row>
    <row r="90" customFormat="false" ht="17.35" hidden="false" customHeight="false" outlineLevel="0" collapsed="false">
      <c r="A90" s="205" t="s">
        <v>323</v>
      </c>
      <c r="B90" s="206" t="s">
        <v>271</v>
      </c>
      <c r="C90" s="207"/>
      <c r="D90" s="206" t="str">
        <f aca="false">IF(C89&gt;=B!$C$8*0.5,"Remaining","")</f>
        <v/>
      </c>
      <c r="E90" s="207"/>
      <c r="F90" s="208"/>
      <c r="G90" s="208"/>
      <c r="H90" s="206" t="s">
        <v>31</v>
      </c>
      <c r="I90" s="208"/>
      <c r="J90" s="208"/>
      <c r="K90" s="208"/>
    </row>
    <row r="91" customFormat="false" ht="17.35" hidden="false" customHeight="false" outlineLevel="0" collapsed="false">
      <c r="A91" s="209" t="s">
        <v>35</v>
      </c>
      <c r="B91" s="210" t="s">
        <v>209</v>
      </c>
      <c r="C91" s="211"/>
      <c r="D91" s="210" t="str">
        <f aca="false">IF(C89&gt;=B!$C$8*0.5,"Dues","")</f>
        <v/>
      </c>
      <c r="E91" s="211"/>
      <c r="F91" s="212"/>
      <c r="G91" s="213"/>
      <c r="H91" s="210" t="s">
        <v>209</v>
      </c>
      <c r="I91" s="213"/>
      <c r="J91" s="213"/>
      <c r="K91" s="213"/>
    </row>
    <row r="92" customFormat="false" ht="36" hidden="false" customHeight="true" outlineLevel="0" collapsed="false">
      <c r="A92" s="214" t="n">
        <f aca="false" t="array" ref="A92:A96">IF(ISBLANK(Team12Players),"Empty",Team12Players)</f>
        <v>1</v>
      </c>
      <c r="B92" s="211" t="s">
        <v>324</v>
      </c>
      <c r="D92" s="215" t="str">
        <f aca="false" t="array" ref="D92:D96">IF(C89&gt;=B!$C$8*0.5,Team12Due,"")</f>
        <v/>
      </c>
      <c r="H92" s="211" t="s">
        <v>324</v>
      </c>
    </row>
    <row r="93" customFormat="false" ht="36" hidden="false" customHeight="true" outlineLevel="0" collapsed="false">
      <c r="A93" s="214" t="n">
        <v>2</v>
      </c>
      <c r="B93" s="211" t="s">
        <v>324</v>
      </c>
      <c r="D93" s="215" t="str">
        <v/>
      </c>
    </row>
    <row r="94" customFormat="false" ht="36" hidden="false" customHeight="true" outlineLevel="0" collapsed="false">
      <c r="A94" s="214" t="n">
        <v>3</v>
      </c>
      <c r="B94" s="211" t="s">
        <v>324</v>
      </c>
      <c r="D94" s="215" t="str">
        <v/>
      </c>
    </row>
    <row r="95" customFormat="false" ht="36" hidden="false" customHeight="true" outlineLevel="0" collapsed="false">
      <c r="A95" s="214" t="n">
        <v>4</v>
      </c>
      <c r="B95" s="211" t="s">
        <v>324</v>
      </c>
      <c r="D95" s="215" t="str">
        <v/>
      </c>
    </row>
    <row r="96" customFormat="false" ht="36" hidden="false" customHeight="true" outlineLevel="0" collapsed="false">
      <c r="A96" s="214" t="n">
        <v>5</v>
      </c>
      <c r="B96" s="211" t="s">
        <v>324</v>
      </c>
      <c r="D96" s="215" t="str">
        <v/>
      </c>
      <c r="G96" s="17" t="s">
        <v>167</v>
      </c>
      <c r="H96" s="66"/>
      <c r="I96" s="66"/>
      <c r="J96" s="66"/>
      <c r="K96" s="66"/>
    </row>
    <row r="97" customFormat="false" ht="17.35" hidden="false" customHeight="false" outlineLevel="0" collapsed="false">
      <c r="A97" s="200" t="n">
        <f aca="true">TODAY()</f>
        <v>46171</v>
      </c>
      <c r="B97" s="201" t="s">
        <v>321</v>
      </c>
      <c r="C97" s="202" t="n">
        <f aca="false">A!$AW$13+1</f>
        <v>7</v>
      </c>
      <c r="D97" s="201" t="s">
        <v>191</v>
      </c>
      <c r="E97" s="202" t="n">
        <f aca="false">B!$C$4</f>
        <v>335</v>
      </c>
      <c r="F97" s="201" t="s">
        <v>336</v>
      </c>
      <c r="G97" s="203"/>
      <c r="H97" s="204" t="n">
        <f aca="false">Team13Name</f>
        <v>0</v>
      </c>
      <c r="I97" s="204"/>
      <c r="J97" s="204"/>
      <c r="K97" s="204"/>
    </row>
    <row r="98" customFormat="false" ht="17.35" hidden="false" customHeight="false" outlineLevel="0" collapsed="false">
      <c r="A98" s="205" t="s">
        <v>323</v>
      </c>
      <c r="B98" s="206" t="s">
        <v>271</v>
      </c>
      <c r="C98" s="207"/>
      <c r="D98" s="206" t="str">
        <f aca="false">IF(C97&gt;=B!$C$8*0.5,"Remaining","")</f>
        <v/>
      </c>
      <c r="E98" s="207"/>
      <c r="F98" s="208"/>
      <c r="G98" s="208"/>
      <c r="H98" s="206" t="s">
        <v>31</v>
      </c>
      <c r="I98" s="208"/>
      <c r="J98" s="208"/>
      <c r="K98" s="208"/>
    </row>
    <row r="99" customFormat="false" ht="17.35" hidden="false" customHeight="false" outlineLevel="0" collapsed="false">
      <c r="A99" s="209" t="s">
        <v>35</v>
      </c>
      <c r="B99" s="210" t="s">
        <v>209</v>
      </c>
      <c r="C99" s="211"/>
      <c r="D99" s="210" t="str">
        <f aca="false">IF(C97&gt;=B!$C$8*0.5,"Dues","")</f>
        <v/>
      </c>
      <c r="E99" s="211"/>
      <c r="F99" s="212"/>
      <c r="G99" s="213"/>
      <c r="H99" s="210" t="s">
        <v>209</v>
      </c>
      <c r="I99" s="213"/>
      <c r="J99" s="213"/>
      <c r="K99" s="213"/>
    </row>
    <row r="100" customFormat="false" ht="36" hidden="false" customHeight="true" outlineLevel="0" collapsed="false">
      <c r="A100" s="214" t="n">
        <f aca="false" t="array" ref="A100:A104">IF(ISBLANK(Team13Players),"Empty",Team13Players)</f>
        <v>0</v>
      </c>
      <c r="B100" s="211" t="s">
        <v>324</v>
      </c>
      <c r="D100" s="215" t="str">
        <f aca="false" t="array" ref="D100:D104">IF(C97&gt;=B!$C$8*0.5,Team13Due,"")</f>
        <v/>
      </c>
      <c r="H100" s="211" t="s">
        <v>324</v>
      </c>
    </row>
    <row r="101" customFormat="false" ht="36" hidden="false" customHeight="true" outlineLevel="0" collapsed="false">
      <c r="A101" s="214" t="n">
        <v>0</v>
      </c>
      <c r="B101" s="211" t="s">
        <v>324</v>
      </c>
      <c r="D101" s="215" t="str">
        <v/>
      </c>
    </row>
    <row r="102" customFormat="false" ht="36" hidden="false" customHeight="true" outlineLevel="0" collapsed="false">
      <c r="A102" s="214" t="n">
        <v>0</v>
      </c>
      <c r="B102" s="211" t="s">
        <v>324</v>
      </c>
      <c r="D102" s="215" t="str">
        <v/>
      </c>
    </row>
    <row r="103" customFormat="false" ht="36" hidden="false" customHeight="true" outlineLevel="0" collapsed="false">
      <c r="A103" s="214" t="n">
        <v>0</v>
      </c>
      <c r="B103" s="211" t="s">
        <v>324</v>
      </c>
      <c r="D103" s="215" t="str">
        <v/>
      </c>
    </row>
    <row r="104" customFormat="false" ht="36" hidden="false" customHeight="true" outlineLevel="0" collapsed="false">
      <c r="A104" s="214" t="n">
        <v>0</v>
      </c>
      <c r="B104" s="211" t="s">
        <v>324</v>
      </c>
      <c r="D104" s="215" t="str">
        <v/>
      </c>
      <c r="G104" s="17" t="s">
        <v>167</v>
      </c>
      <c r="H104" s="66"/>
      <c r="I104" s="66"/>
      <c r="J104" s="66"/>
      <c r="K104" s="66"/>
    </row>
    <row r="105" customFormat="false" ht="17.35" hidden="false" customHeight="false" outlineLevel="0" collapsed="false">
      <c r="A105" s="200" t="n">
        <f aca="true">TODAY()</f>
        <v>46171</v>
      </c>
      <c r="B105" s="201" t="s">
        <v>321</v>
      </c>
      <c r="C105" s="202" t="n">
        <f aca="false">A!$AW$13+1</f>
        <v>7</v>
      </c>
      <c r="D105" s="201" t="s">
        <v>191</v>
      </c>
      <c r="E105" s="202" t="n">
        <f aca="false">B!$C$4</f>
        <v>335</v>
      </c>
      <c r="F105" s="201" t="s">
        <v>337</v>
      </c>
      <c r="G105" s="203"/>
      <c r="H105" s="204" t="n">
        <f aca="false">Team14Name</f>
        <v>0</v>
      </c>
      <c r="I105" s="204"/>
      <c r="J105" s="204"/>
      <c r="K105" s="204"/>
    </row>
    <row r="106" customFormat="false" ht="17.35" hidden="false" customHeight="false" outlineLevel="0" collapsed="false">
      <c r="A106" s="205" t="s">
        <v>323</v>
      </c>
      <c r="B106" s="206" t="s">
        <v>271</v>
      </c>
      <c r="C106" s="207"/>
      <c r="D106" s="206" t="str">
        <f aca="false">IF(C105&gt;=B!$C$8*0.5,"Remaining","")</f>
        <v/>
      </c>
      <c r="E106" s="207"/>
      <c r="F106" s="208"/>
      <c r="G106" s="208"/>
      <c r="H106" s="206" t="s">
        <v>31</v>
      </c>
      <c r="I106" s="208"/>
      <c r="J106" s="208"/>
      <c r="K106" s="208"/>
    </row>
    <row r="107" customFormat="false" ht="17.35" hidden="false" customHeight="false" outlineLevel="0" collapsed="false">
      <c r="A107" s="209" t="s">
        <v>35</v>
      </c>
      <c r="B107" s="210" t="s">
        <v>209</v>
      </c>
      <c r="C107" s="211"/>
      <c r="D107" s="210" t="str">
        <f aca="false">IF(C105&gt;=B!$C$8*0.5,"Dues","")</f>
        <v/>
      </c>
      <c r="E107" s="211"/>
      <c r="F107" s="212"/>
      <c r="G107" s="213"/>
      <c r="H107" s="210" t="s">
        <v>209</v>
      </c>
      <c r="I107" s="213"/>
      <c r="J107" s="213"/>
      <c r="K107" s="213"/>
    </row>
    <row r="108" customFormat="false" ht="36" hidden="false" customHeight="true" outlineLevel="0" collapsed="false">
      <c r="A108" s="214" t="n">
        <f aca="false" t="array" ref="A108:A112">IF(ISBLANK(Team14Players),"Empty",Team14Players)</f>
        <v>0</v>
      </c>
      <c r="B108" s="211" t="s">
        <v>324</v>
      </c>
      <c r="D108" s="215" t="str">
        <f aca="false" t="array" ref="D108:D112">IF(C105&gt;=B!$C$8*0.5,Team14Due,"")</f>
        <v/>
      </c>
      <c r="H108" s="211" t="s">
        <v>324</v>
      </c>
    </row>
    <row r="109" customFormat="false" ht="36" hidden="false" customHeight="true" outlineLevel="0" collapsed="false">
      <c r="A109" s="214" t="n">
        <v>0</v>
      </c>
      <c r="B109" s="211" t="s">
        <v>324</v>
      </c>
      <c r="D109" s="215" t="str">
        <v/>
      </c>
    </row>
    <row r="110" customFormat="false" ht="36" hidden="false" customHeight="true" outlineLevel="0" collapsed="false">
      <c r="A110" s="214" t="n">
        <v>0</v>
      </c>
      <c r="B110" s="211" t="s">
        <v>324</v>
      </c>
      <c r="D110" s="215" t="str">
        <v/>
      </c>
    </row>
    <row r="111" customFormat="false" ht="36" hidden="false" customHeight="true" outlineLevel="0" collapsed="false">
      <c r="A111" s="214" t="n">
        <v>0</v>
      </c>
      <c r="B111" s="211" t="s">
        <v>324</v>
      </c>
      <c r="D111" s="215" t="str">
        <v/>
      </c>
    </row>
    <row r="112" customFormat="false" ht="36" hidden="false" customHeight="true" outlineLevel="0" collapsed="false">
      <c r="A112" s="214" t="n">
        <v>0</v>
      </c>
      <c r="B112" s="211" t="s">
        <v>324</v>
      </c>
      <c r="D112" s="215" t="str">
        <v/>
      </c>
      <c r="G112" s="17" t="s">
        <v>167</v>
      </c>
      <c r="H112" s="66"/>
      <c r="I112" s="66"/>
      <c r="J112" s="66"/>
      <c r="K112" s="66"/>
    </row>
    <row r="113" customFormat="false" ht="17.35" hidden="false" customHeight="false" outlineLevel="0" collapsed="false">
      <c r="A113" s="200" t="n">
        <f aca="true">TODAY()</f>
        <v>46171</v>
      </c>
      <c r="B113" s="201" t="s">
        <v>321</v>
      </c>
      <c r="C113" s="202" t="n">
        <f aca="false">A!$AW$13+1</f>
        <v>7</v>
      </c>
      <c r="D113" s="201" t="s">
        <v>191</v>
      </c>
      <c r="E113" s="202" t="n">
        <f aca="false">B!$C$4</f>
        <v>335</v>
      </c>
      <c r="F113" s="201" t="s">
        <v>338</v>
      </c>
      <c r="G113" s="203"/>
      <c r="H113" s="204" t="n">
        <f aca="false">Team15Name</f>
        <v>0</v>
      </c>
      <c r="I113" s="204"/>
      <c r="J113" s="204"/>
      <c r="K113" s="204"/>
    </row>
    <row r="114" customFormat="false" ht="17.35" hidden="false" customHeight="false" outlineLevel="0" collapsed="false">
      <c r="A114" s="205" t="s">
        <v>323</v>
      </c>
      <c r="B114" s="206" t="s">
        <v>271</v>
      </c>
      <c r="C114" s="207"/>
      <c r="D114" s="206" t="str">
        <f aca="false">IF(C113&gt;=B!$C$8*0.5,"Remaining","")</f>
        <v/>
      </c>
      <c r="E114" s="207"/>
      <c r="F114" s="208"/>
      <c r="G114" s="208"/>
      <c r="H114" s="206" t="s">
        <v>31</v>
      </c>
      <c r="I114" s="208"/>
      <c r="J114" s="208"/>
      <c r="K114" s="208"/>
    </row>
    <row r="115" customFormat="false" ht="17.35" hidden="false" customHeight="false" outlineLevel="0" collapsed="false">
      <c r="A115" s="209" t="s">
        <v>35</v>
      </c>
      <c r="B115" s="210" t="s">
        <v>209</v>
      </c>
      <c r="C115" s="211"/>
      <c r="D115" s="210" t="str">
        <f aca="false">IF(C113&gt;=B!$C$8*0.5,"Dues","")</f>
        <v/>
      </c>
      <c r="E115" s="211"/>
      <c r="F115" s="212"/>
      <c r="G115" s="213"/>
      <c r="H115" s="210" t="s">
        <v>209</v>
      </c>
      <c r="I115" s="213"/>
      <c r="J115" s="213"/>
      <c r="K115" s="213"/>
    </row>
    <row r="116" customFormat="false" ht="36" hidden="false" customHeight="true" outlineLevel="0" collapsed="false">
      <c r="A116" s="214" t="n">
        <f aca="false" t="array" ref="A116:A120">IF(ISBLANK(Team15Players),"Empty",Team15Players)</f>
        <v>0</v>
      </c>
      <c r="B116" s="211" t="s">
        <v>324</v>
      </c>
      <c r="D116" s="215" t="str">
        <f aca="false" t="array" ref="D116:D120">IF(C113&gt;=B!$C$8*0.5,Team15Due,"")</f>
        <v/>
      </c>
      <c r="H116" s="211" t="s">
        <v>324</v>
      </c>
    </row>
    <row r="117" customFormat="false" ht="36" hidden="false" customHeight="true" outlineLevel="0" collapsed="false">
      <c r="A117" s="214" t="n">
        <v>0</v>
      </c>
      <c r="B117" s="211" t="s">
        <v>324</v>
      </c>
      <c r="D117" s="215" t="str">
        <v/>
      </c>
    </row>
    <row r="118" customFormat="false" ht="36" hidden="false" customHeight="true" outlineLevel="0" collapsed="false">
      <c r="A118" s="214" t="n">
        <v>0</v>
      </c>
      <c r="B118" s="211" t="s">
        <v>324</v>
      </c>
      <c r="D118" s="215" t="str">
        <v/>
      </c>
    </row>
    <row r="119" customFormat="false" ht="36" hidden="false" customHeight="true" outlineLevel="0" collapsed="false">
      <c r="A119" s="214" t="n">
        <v>0</v>
      </c>
      <c r="B119" s="211" t="s">
        <v>324</v>
      </c>
      <c r="D119" s="215" t="str">
        <v/>
      </c>
    </row>
    <row r="120" customFormat="false" ht="36" hidden="false" customHeight="true" outlineLevel="0" collapsed="false">
      <c r="A120" s="214" t="n">
        <v>0</v>
      </c>
      <c r="B120" s="211" t="s">
        <v>324</v>
      </c>
      <c r="D120" s="215" t="str">
        <v/>
      </c>
      <c r="G120" s="17" t="s">
        <v>167</v>
      </c>
      <c r="H120" s="66"/>
      <c r="I120" s="66"/>
      <c r="J120" s="66"/>
      <c r="K120" s="66"/>
    </row>
    <row r="121" customFormat="false" ht="17.35" hidden="false" customHeight="false" outlineLevel="0" collapsed="false">
      <c r="A121" s="200" t="n">
        <f aca="true">TODAY()</f>
        <v>46171</v>
      </c>
      <c r="B121" s="201" t="s">
        <v>321</v>
      </c>
      <c r="C121" s="202" t="n">
        <f aca="false">A!$AW$13+1</f>
        <v>7</v>
      </c>
      <c r="D121" s="201" t="s">
        <v>191</v>
      </c>
      <c r="E121" s="202" t="n">
        <f aca="false">B!$C$4</f>
        <v>335</v>
      </c>
      <c r="F121" s="201" t="s">
        <v>339</v>
      </c>
      <c r="G121" s="203"/>
      <c r="H121" s="204" t="n">
        <f aca="false">Team16Name</f>
        <v>0</v>
      </c>
      <c r="I121" s="204"/>
      <c r="J121" s="204"/>
      <c r="K121" s="204"/>
    </row>
    <row r="122" customFormat="false" ht="17.35" hidden="false" customHeight="false" outlineLevel="0" collapsed="false">
      <c r="A122" s="205" t="s">
        <v>323</v>
      </c>
      <c r="B122" s="206" t="s">
        <v>271</v>
      </c>
      <c r="C122" s="207"/>
      <c r="D122" s="206" t="str">
        <f aca="false">IF(C121&gt;=B!$C$8*0.5,"Remaining","")</f>
        <v/>
      </c>
      <c r="E122" s="207"/>
      <c r="F122" s="208"/>
      <c r="G122" s="208"/>
      <c r="H122" s="206" t="s">
        <v>31</v>
      </c>
      <c r="I122" s="208"/>
      <c r="J122" s="208"/>
      <c r="K122" s="208"/>
    </row>
    <row r="123" customFormat="false" ht="17.35" hidden="false" customHeight="false" outlineLevel="0" collapsed="false">
      <c r="A123" s="209" t="s">
        <v>35</v>
      </c>
      <c r="B123" s="210" t="s">
        <v>209</v>
      </c>
      <c r="C123" s="211"/>
      <c r="D123" s="210" t="str">
        <f aca="false">IF(C121&gt;=B!$C$8*0.5,"Dues","")</f>
        <v/>
      </c>
      <c r="E123" s="211"/>
      <c r="F123" s="212"/>
      <c r="G123" s="213"/>
      <c r="H123" s="210" t="s">
        <v>209</v>
      </c>
      <c r="I123" s="213"/>
      <c r="J123" s="213"/>
      <c r="K123" s="213"/>
    </row>
    <row r="124" customFormat="false" ht="36" hidden="false" customHeight="true" outlineLevel="0" collapsed="false">
      <c r="A124" s="214" t="n">
        <f aca="false" t="array" ref="A124:A128">IF(ISBLANK(Team16Players),"Empty",Team16Players)</f>
        <v>0</v>
      </c>
      <c r="B124" s="211" t="s">
        <v>324</v>
      </c>
      <c r="D124" s="215" t="str">
        <f aca="false" t="array" ref="D124:D128">IF(C121&gt;=B!$C$8*0.5,Team16Due,"")</f>
        <v/>
      </c>
      <c r="H124" s="211" t="s">
        <v>324</v>
      </c>
    </row>
    <row r="125" customFormat="false" ht="36" hidden="false" customHeight="true" outlineLevel="0" collapsed="false">
      <c r="A125" s="214" t="n">
        <v>0</v>
      </c>
      <c r="B125" s="211" t="s">
        <v>324</v>
      </c>
      <c r="D125" s="215" t="str">
        <v/>
      </c>
    </row>
    <row r="126" customFormat="false" ht="36" hidden="false" customHeight="true" outlineLevel="0" collapsed="false">
      <c r="A126" s="214" t="n">
        <v>0</v>
      </c>
      <c r="B126" s="211" t="s">
        <v>324</v>
      </c>
      <c r="D126" s="215" t="str">
        <v/>
      </c>
    </row>
    <row r="127" customFormat="false" ht="36" hidden="false" customHeight="true" outlineLevel="0" collapsed="false">
      <c r="A127" s="214" t="n">
        <v>0</v>
      </c>
      <c r="B127" s="211" t="s">
        <v>324</v>
      </c>
      <c r="D127" s="215" t="str">
        <v/>
      </c>
    </row>
    <row r="128" customFormat="false" ht="36" hidden="false" customHeight="true" outlineLevel="0" collapsed="false">
      <c r="A128" s="214" t="n">
        <v>0</v>
      </c>
      <c r="B128" s="211" t="s">
        <v>324</v>
      </c>
      <c r="D128" s="215" t="str">
        <v/>
      </c>
      <c r="G128" s="17" t="s">
        <v>167</v>
      </c>
      <c r="H128" s="66"/>
      <c r="I128" s="66"/>
      <c r="J128" s="66"/>
      <c r="K128" s="66"/>
    </row>
    <row r="129" customFormat="false" ht="17.35" hidden="false" customHeight="false" outlineLevel="0" collapsed="false">
      <c r="A129" s="200" t="n">
        <f aca="true">TODAY()</f>
        <v>46171</v>
      </c>
      <c r="B129" s="201" t="s">
        <v>321</v>
      </c>
      <c r="C129" s="202" t="n">
        <f aca="false">A!$AW$13+1</f>
        <v>7</v>
      </c>
      <c r="D129" s="201" t="s">
        <v>191</v>
      </c>
      <c r="E129" s="202" t="n">
        <f aca="false">B!$C$4</f>
        <v>335</v>
      </c>
      <c r="F129" s="201" t="s">
        <v>340</v>
      </c>
      <c r="G129" s="203"/>
      <c r="H129" s="204" t="n">
        <f aca="false">Team17Name</f>
        <v>0</v>
      </c>
      <c r="I129" s="204"/>
      <c r="J129" s="204"/>
      <c r="K129" s="204"/>
    </row>
    <row r="130" customFormat="false" ht="17.35" hidden="false" customHeight="false" outlineLevel="0" collapsed="false">
      <c r="A130" s="205" t="s">
        <v>323</v>
      </c>
      <c r="B130" s="206" t="s">
        <v>271</v>
      </c>
      <c r="C130" s="207"/>
      <c r="D130" s="206" t="str">
        <f aca="false">IF(C129&gt;=B!$C$8*0.5,"Remaining","")</f>
        <v/>
      </c>
      <c r="E130" s="207"/>
      <c r="F130" s="208"/>
      <c r="G130" s="208"/>
      <c r="H130" s="206" t="s">
        <v>31</v>
      </c>
      <c r="I130" s="208"/>
      <c r="J130" s="208"/>
      <c r="K130" s="208"/>
    </row>
    <row r="131" customFormat="false" ht="17.35" hidden="false" customHeight="false" outlineLevel="0" collapsed="false">
      <c r="A131" s="209" t="s">
        <v>35</v>
      </c>
      <c r="B131" s="210" t="s">
        <v>209</v>
      </c>
      <c r="C131" s="211"/>
      <c r="D131" s="210" t="str">
        <f aca="false">IF(C129&gt;=B!$C$8*0.5,"Dues","")</f>
        <v/>
      </c>
      <c r="E131" s="211"/>
      <c r="F131" s="212"/>
      <c r="G131" s="213"/>
      <c r="H131" s="210" t="s">
        <v>209</v>
      </c>
      <c r="I131" s="213"/>
      <c r="J131" s="213"/>
      <c r="K131" s="213"/>
    </row>
    <row r="132" customFormat="false" ht="36" hidden="false" customHeight="true" outlineLevel="0" collapsed="false">
      <c r="A132" s="214" t="n">
        <f aca="false" t="array" ref="A132:A136">IF(ISBLANK(Team17Players),"Empty",Team17Players)</f>
        <v>0</v>
      </c>
      <c r="B132" s="211" t="s">
        <v>324</v>
      </c>
      <c r="D132" s="215" t="str">
        <f aca="false" t="array" ref="D132:D136">IF(C129&gt;=B!$C$8*0.5,Team17Due,"")</f>
        <v/>
      </c>
      <c r="H132" s="211" t="s">
        <v>324</v>
      </c>
    </row>
    <row r="133" customFormat="false" ht="36" hidden="false" customHeight="true" outlineLevel="0" collapsed="false">
      <c r="A133" s="214" t="n">
        <v>0</v>
      </c>
      <c r="B133" s="211" t="s">
        <v>324</v>
      </c>
      <c r="D133" s="215" t="str">
        <v/>
      </c>
    </row>
    <row r="134" customFormat="false" ht="36" hidden="false" customHeight="true" outlineLevel="0" collapsed="false">
      <c r="A134" s="214" t="n">
        <v>0</v>
      </c>
      <c r="B134" s="211" t="s">
        <v>324</v>
      </c>
      <c r="D134" s="215" t="str">
        <v/>
      </c>
    </row>
    <row r="135" customFormat="false" ht="36" hidden="false" customHeight="true" outlineLevel="0" collapsed="false">
      <c r="A135" s="214" t="n">
        <v>0</v>
      </c>
      <c r="B135" s="211" t="s">
        <v>324</v>
      </c>
      <c r="D135" s="215" t="str">
        <v/>
      </c>
    </row>
    <row r="136" customFormat="false" ht="36" hidden="false" customHeight="true" outlineLevel="0" collapsed="false">
      <c r="A136" s="214" t="n">
        <v>0</v>
      </c>
      <c r="B136" s="211" t="s">
        <v>324</v>
      </c>
      <c r="D136" s="215" t="str">
        <v/>
      </c>
      <c r="G136" s="17" t="s">
        <v>167</v>
      </c>
      <c r="H136" s="66"/>
      <c r="I136" s="66"/>
      <c r="J136" s="66"/>
      <c r="K136" s="66"/>
    </row>
    <row r="137" customFormat="false" ht="17.35" hidden="false" customHeight="false" outlineLevel="0" collapsed="false">
      <c r="A137" s="200" t="n">
        <f aca="true">TODAY()</f>
        <v>46171</v>
      </c>
      <c r="B137" s="201" t="s">
        <v>321</v>
      </c>
      <c r="C137" s="202" t="n">
        <f aca="false">A!$AW$13+1</f>
        <v>7</v>
      </c>
      <c r="D137" s="201" t="s">
        <v>191</v>
      </c>
      <c r="E137" s="202" t="n">
        <f aca="false">B!$C$4</f>
        <v>335</v>
      </c>
      <c r="F137" s="201" t="s">
        <v>341</v>
      </c>
      <c r="G137" s="203"/>
      <c r="H137" s="204" t="n">
        <f aca="false">Team18Name</f>
        <v>0</v>
      </c>
      <c r="I137" s="204"/>
      <c r="J137" s="204"/>
      <c r="K137" s="204"/>
    </row>
    <row r="138" customFormat="false" ht="17.35" hidden="false" customHeight="false" outlineLevel="0" collapsed="false">
      <c r="A138" s="205" t="s">
        <v>323</v>
      </c>
      <c r="B138" s="206" t="s">
        <v>271</v>
      </c>
      <c r="C138" s="207"/>
      <c r="D138" s="206" t="str">
        <f aca="false">IF(C137&gt;=B!$C$8*0.5,"Remaining","")</f>
        <v/>
      </c>
      <c r="E138" s="207"/>
      <c r="F138" s="208"/>
      <c r="G138" s="208"/>
      <c r="H138" s="206" t="s">
        <v>31</v>
      </c>
      <c r="I138" s="208"/>
      <c r="J138" s="208"/>
      <c r="K138" s="208"/>
    </row>
    <row r="139" customFormat="false" ht="17.35" hidden="false" customHeight="false" outlineLevel="0" collapsed="false">
      <c r="A139" s="209" t="s">
        <v>35</v>
      </c>
      <c r="B139" s="210" t="s">
        <v>209</v>
      </c>
      <c r="C139" s="211"/>
      <c r="D139" s="210" t="str">
        <f aca="false">IF(C137&gt;=B!$C$8*0.5,"Dues","")</f>
        <v/>
      </c>
      <c r="E139" s="211"/>
      <c r="F139" s="212"/>
      <c r="G139" s="213"/>
      <c r="H139" s="210" t="s">
        <v>209</v>
      </c>
      <c r="I139" s="213"/>
      <c r="J139" s="213"/>
      <c r="K139" s="213"/>
    </row>
    <row r="140" customFormat="false" ht="36" hidden="false" customHeight="true" outlineLevel="0" collapsed="false">
      <c r="A140" s="214" t="n">
        <f aca="false" t="array" ref="A140:A144">IF(ISBLANK(Team18Players),"Empty",Team18Players)</f>
        <v>0</v>
      </c>
      <c r="B140" s="211" t="s">
        <v>324</v>
      </c>
      <c r="D140" s="215" t="str">
        <f aca="false" t="array" ref="D140:D144">IF(C137&gt;=B!$C$8*0.5,Team18Due,"")</f>
        <v/>
      </c>
      <c r="H140" s="211" t="s">
        <v>324</v>
      </c>
    </row>
    <row r="141" customFormat="false" ht="36" hidden="false" customHeight="true" outlineLevel="0" collapsed="false">
      <c r="A141" s="214" t="n">
        <v>0</v>
      </c>
      <c r="B141" s="211" t="s">
        <v>324</v>
      </c>
      <c r="D141" s="215" t="str">
        <v/>
      </c>
    </row>
    <row r="142" customFormat="false" ht="36" hidden="false" customHeight="true" outlineLevel="0" collapsed="false">
      <c r="A142" s="214" t="n">
        <v>0</v>
      </c>
      <c r="B142" s="211" t="s">
        <v>324</v>
      </c>
      <c r="D142" s="215" t="str">
        <v/>
      </c>
    </row>
    <row r="143" customFormat="false" ht="36" hidden="false" customHeight="true" outlineLevel="0" collapsed="false">
      <c r="A143" s="214" t="n">
        <v>0</v>
      </c>
      <c r="B143" s="211" t="s">
        <v>324</v>
      </c>
      <c r="D143" s="215" t="str">
        <v/>
      </c>
    </row>
    <row r="144" customFormat="false" ht="36" hidden="false" customHeight="true" outlineLevel="0" collapsed="false">
      <c r="A144" s="214" t="n">
        <v>0</v>
      </c>
      <c r="B144" s="211" t="s">
        <v>324</v>
      </c>
      <c r="D144" s="215" t="str">
        <v/>
      </c>
      <c r="G144" s="17" t="s">
        <v>167</v>
      </c>
      <c r="H144" s="66"/>
      <c r="I144" s="66"/>
      <c r="J144" s="66"/>
      <c r="K144" s="66"/>
    </row>
    <row r="145" customFormat="false" ht="17.35" hidden="false" customHeight="false" outlineLevel="0" collapsed="false">
      <c r="A145" s="200" t="n">
        <f aca="true">TODAY()</f>
        <v>46171</v>
      </c>
      <c r="B145" s="201" t="s">
        <v>321</v>
      </c>
      <c r="C145" s="202" t="n">
        <f aca="false">A!$AW$13+1</f>
        <v>7</v>
      </c>
      <c r="D145" s="201" t="s">
        <v>191</v>
      </c>
      <c r="E145" s="202" t="n">
        <f aca="false">B!$C$4</f>
        <v>335</v>
      </c>
      <c r="F145" s="201" t="s">
        <v>342</v>
      </c>
      <c r="G145" s="203"/>
      <c r="H145" s="204" t="n">
        <f aca="false">Team19Name</f>
        <v>0</v>
      </c>
      <c r="I145" s="204"/>
      <c r="J145" s="204"/>
      <c r="K145" s="204"/>
    </row>
    <row r="146" customFormat="false" ht="17.35" hidden="false" customHeight="false" outlineLevel="0" collapsed="false">
      <c r="A146" s="205" t="s">
        <v>323</v>
      </c>
      <c r="B146" s="206" t="s">
        <v>271</v>
      </c>
      <c r="C146" s="207"/>
      <c r="D146" s="206" t="str">
        <f aca="false">IF(C145&gt;=B!$C$8*0.5,"Remaining","")</f>
        <v/>
      </c>
      <c r="E146" s="207"/>
      <c r="F146" s="208"/>
      <c r="G146" s="208"/>
      <c r="H146" s="206" t="s">
        <v>31</v>
      </c>
      <c r="I146" s="208"/>
      <c r="J146" s="208"/>
      <c r="K146" s="208"/>
    </row>
    <row r="147" customFormat="false" ht="17.35" hidden="false" customHeight="false" outlineLevel="0" collapsed="false">
      <c r="A147" s="209" t="s">
        <v>35</v>
      </c>
      <c r="B147" s="210" t="s">
        <v>209</v>
      </c>
      <c r="C147" s="211"/>
      <c r="D147" s="210" t="str">
        <f aca="false">IF(C145&gt;=B!$C$8*0.5,"Dues","")</f>
        <v/>
      </c>
      <c r="E147" s="211"/>
      <c r="F147" s="212"/>
      <c r="G147" s="213"/>
      <c r="H147" s="210" t="s">
        <v>209</v>
      </c>
      <c r="I147" s="213"/>
      <c r="J147" s="213"/>
      <c r="K147" s="213"/>
    </row>
    <row r="148" customFormat="false" ht="36" hidden="false" customHeight="true" outlineLevel="0" collapsed="false">
      <c r="A148" s="214" t="n">
        <f aca="false" t="array" ref="A148:A152">IF(ISBLANK(Team19Players),"Empty",Team19Players)</f>
        <v>0</v>
      </c>
      <c r="B148" s="211" t="s">
        <v>324</v>
      </c>
      <c r="D148" s="215" t="str">
        <f aca="false" t="array" ref="D148:D152">IF(C145&gt;=B!$C$8*0.5,Team19Due,"")</f>
        <v/>
      </c>
      <c r="H148" s="211" t="s">
        <v>324</v>
      </c>
    </row>
    <row r="149" customFormat="false" ht="36" hidden="false" customHeight="true" outlineLevel="0" collapsed="false">
      <c r="A149" s="214" t="n">
        <v>0</v>
      </c>
      <c r="B149" s="211" t="s">
        <v>324</v>
      </c>
      <c r="D149" s="215" t="str">
        <v/>
      </c>
    </row>
    <row r="150" customFormat="false" ht="36" hidden="false" customHeight="true" outlineLevel="0" collapsed="false">
      <c r="A150" s="214" t="n">
        <v>0</v>
      </c>
      <c r="B150" s="211" t="s">
        <v>324</v>
      </c>
      <c r="D150" s="215" t="str">
        <v/>
      </c>
    </row>
    <row r="151" customFormat="false" ht="36" hidden="false" customHeight="true" outlineLevel="0" collapsed="false">
      <c r="A151" s="214" t="n">
        <v>0</v>
      </c>
      <c r="B151" s="211" t="s">
        <v>324</v>
      </c>
      <c r="D151" s="215" t="str">
        <v/>
      </c>
    </row>
    <row r="152" customFormat="false" ht="36" hidden="false" customHeight="true" outlineLevel="0" collapsed="false">
      <c r="A152" s="214" t="n">
        <v>0</v>
      </c>
      <c r="B152" s="211" t="s">
        <v>324</v>
      </c>
      <c r="D152" s="215" t="str">
        <v/>
      </c>
      <c r="G152" s="17" t="s">
        <v>167</v>
      </c>
      <c r="H152" s="66"/>
      <c r="I152" s="66"/>
      <c r="J152" s="66"/>
      <c r="K152" s="66"/>
    </row>
    <row r="153" customFormat="false" ht="17.35" hidden="false" customHeight="false" outlineLevel="0" collapsed="false">
      <c r="A153" s="200" t="n">
        <f aca="true">TODAY()</f>
        <v>46171</v>
      </c>
      <c r="B153" s="201" t="s">
        <v>321</v>
      </c>
      <c r="C153" s="202" t="n">
        <f aca="false">A!$AW$13+1</f>
        <v>7</v>
      </c>
      <c r="D153" s="201" t="s">
        <v>191</v>
      </c>
      <c r="E153" s="202" t="n">
        <f aca="false">B!$C$4</f>
        <v>335</v>
      </c>
      <c r="F153" s="201" t="s">
        <v>343</v>
      </c>
      <c r="G153" s="203"/>
      <c r="H153" s="204" t="n">
        <f aca="false">Team20Name</f>
        <v>0</v>
      </c>
      <c r="I153" s="204"/>
      <c r="J153" s="204"/>
      <c r="K153" s="204"/>
    </row>
    <row r="154" customFormat="false" ht="17.35" hidden="false" customHeight="false" outlineLevel="0" collapsed="false">
      <c r="A154" s="205" t="s">
        <v>323</v>
      </c>
      <c r="B154" s="206" t="s">
        <v>271</v>
      </c>
      <c r="C154" s="207"/>
      <c r="D154" s="206" t="str">
        <f aca="false">IF(C153&gt;=B!$C$8*0.5,"Remaining","")</f>
        <v/>
      </c>
      <c r="E154" s="207"/>
      <c r="F154" s="208"/>
      <c r="G154" s="208"/>
      <c r="H154" s="206" t="s">
        <v>31</v>
      </c>
      <c r="I154" s="208"/>
      <c r="J154" s="208"/>
      <c r="K154" s="208"/>
    </row>
    <row r="155" customFormat="false" ht="17.35" hidden="false" customHeight="false" outlineLevel="0" collapsed="false">
      <c r="A155" s="209" t="s">
        <v>35</v>
      </c>
      <c r="B155" s="210" t="s">
        <v>209</v>
      </c>
      <c r="C155" s="211"/>
      <c r="D155" s="210" t="str">
        <f aca="false">IF(C153&gt;=B!$C$8*0.5,"Dues","")</f>
        <v/>
      </c>
      <c r="E155" s="211"/>
      <c r="F155" s="212"/>
      <c r="G155" s="213"/>
      <c r="H155" s="210" t="s">
        <v>209</v>
      </c>
      <c r="I155" s="213"/>
      <c r="J155" s="213"/>
      <c r="K155" s="213"/>
    </row>
    <row r="156" customFormat="false" ht="36" hidden="false" customHeight="true" outlineLevel="0" collapsed="false">
      <c r="A156" s="214" t="n">
        <f aca="false" t="array" ref="A156:A160">IF(ISBLANK(Team20Players),"Empty",Team20Players)</f>
        <v>0</v>
      </c>
      <c r="B156" s="211" t="s">
        <v>324</v>
      </c>
      <c r="D156" s="215" t="str">
        <f aca="false" t="array" ref="D156:D160">IF(C153&gt;=B!$C$8*0.5,Team20Due,"")</f>
        <v/>
      </c>
      <c r="H156" s="211" t="s">
        <v>324</v>
      </c>
    </row>
    <row r="157" customFormat="false" ht="36" hidden="false" customHeight="true" outlineLevel="0" collapsed="false">
      <c r="A157" s="214" t="n">
        <v>0</v>
      </c>
      <c r="B157" s="211" t="s">
        <v>324</v>
      </c>
      <c r="D157" s="215" t="str">
        <v/>
      </c>
    </row>
    <row r="158" customFormat="false" ht="36" hidden="false" customHeight="true" outlineLevel="0" collapsed="false">
      <c r="A158" s="214" t="n">
        <v>0</v>
      </c>
      <c r="B158" s="211" t="s">
        <v>324</v>
      </c>
      <c r="D158" s="215" t="str">
        <v/>
      </c>
    </row>
    <row r="159" customFormat="false" ht="36" hidden="false" customHeight="true" outlineLevel="0" collapsed="false">
      <c r="A159" s="214" t="n">
        <v>0</v>
      </c>
      <c r="B159" s="211" t="s">
        <v>324</v>
      </c>
      <c r="D159" s="215" t="str">
        <v/>
      </c>
    </row>
    <row r="160" customFormat="false" ht="36" hidden="false" customHeight="true" outlineLevel="0" collapsed="false">
      <c r="A160" s="214" t="n">
        <v>0</v>
      </c>
      <c r="B160" s="211" t="s">
        <v>324</v>
      </c>
      <c r="D160" s="215" t="str">
        <v/>
      </c>
      <c r="G160" s="17" t="s">
        <v>167</v>
      </c>
      <c r="H160" s="66"/>
      <c r="I160" s="66"/>
      <c r="J160" s="66"/>
      <c r="K160" s="66"/>
    </row>
  </sheetData>
  <sheetProtection sheet="true" objects="true" scenarios="true"/>
  <mergeCells count="20">
    <mergeCell ref="H1:K1"/>
    <mergeCell ref="H9:K9"/>
    <mergeCell ref="H17:K17"/>
    <mergeCell ref="H25:K25"/>
    <mergeCell ref="H33:K33"/>
    <mergeCell ref="H41:K41"/>
    <mergeCell ref="H49:K49"/>
    <mergeCell ref="H57:K57"/>
    <mergeCell ref="H65:K65"/>
    <mergeCell ref="H73:K73"/>
    <mergeCell ref="H81:K81"/>
    <mergeCell ref="H89:K89"/>
    <mergeCell ref="H97:K97"/>
    <mergeCell ref="H105:K105"/>
    <mergeCell ref="H113:K113"/>
    <mergeCell ref="H121:K121"/>
    <mergeCell ref="H129:K129"/>
    <mergeCell ref="H137:K137"/>
    <mergeCell ref="H145:K145"/>
    <mergeCell ref="H153:K153"/>
  </mergeCells>
  <printOptions headings="false" gridLines="false" gridLinesSet="true" horizontalCentered="false" verticalCentered="false"/>
  <pageMargins left="0.125" right="0.125" top="0.25" bottom="0.459722222222222" header="0.511811023622047" footer="0.511811023622047"/>
  <pageSetup paperSize="20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2" min="1" style="216" width="8.89"/>
  </cols>
  <sheetData>
    <row r="3" customFormat="false" ht="24.45" hidden="false" customHeight="false" outlineLevel="0" collapsed="false">
      <c r="C3" s="217" t="s">
        <v>344</v>
      </c>
    </row>
    <row r="24" customFormat="false" ht="15" hidden="false" customHeight="false" outlineLevel="0" collapsed="false">
      <c r="B24" s="216" t="s">
        <v>345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Setup_New_League">
                <anchor moveWithCells="true" sizeWithCells="false">
                  <from>
                    <xdr:col>1</xdr:col>
                    <xdr:colOff>0</xdr:colOff>
                    <xdr:row>5</xdr:row>
                    <xdr:rowOff>13320</xdr:rowOff>
                  </from>
                  <to>
                    <xdr:col>2</xdr:col>
                    <xdr:colOff>750600</xdr:colOff>
                    <xdr:row>7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Add_Weekly_Scores">
                <anchor moveWithCells="true" sizeWithCells="false">
                  <from>
                    <xdr:col>4</xdr:col>
                    <xdr:colOff>0</xdr:colOff>
                    <xdr:row>5</xdr:row>
                    <xdr:rowOff>13320</xdr:rowOff>
                  </from>
                  <to>
                    <xdr:col>5</xdr:col>
                    <xdr:colOff>750600</xdr:colOff>
                    <xdr:row>7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3.Print_Individual_Standings">
                <anchor moveWithCells="true" sizeWithCells="false">
                  <from>
                    <xdr:col>1</xdr:col>
                    <xdr:colOff>0</xdr:colOff>
                    <xdr:row>8</xdr:row>
                    <xdr:rowOff>13320</xdr:rowOff>
                  </from>
                  <to>
                    <xdr:col>2</xdr:col>
                    <xdr:colOff>750600</xdr:colOff>
                    <xdr:row>10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2.Print_Team_Standings">
                <anchor moveWithCells="true" sizeWithCells="false">
                  <from>
                    <xdr:col>4</xdr:col>
                    <xdr:colOff>0</xdr:colOff>
                    <xdr:row>8</xdr:row>
                    <xdr:rowOff>13320</xdr:rowOff>
                  </from>
                  <to>
                    <xdr:col>5</xdr:col>
                    <xdr:colOff>750600</xdr:colOff>
                    <xdr:row>10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5">
              <controlPr defaultSize="0" print="false" autoFill="0" autoPict="0" macro="Module2.Print_Score_Sheets">
                <anchor moveWithCells="true" sizeWithCells="false">
                  <from>
                    <xdr:col>1</xdr:col>
                    <xdr:colOff>0</xdr:colOff>
                    <xdr:row>11</xdr:row>
                    <xdr:rowOff>13320</xdr:rowOff>
                  </from>
                  <to>
                    <xdr:col>2</xdr:col>
                    <xdr:colOff>750600</xdr:colOff>
                    <xdr:row>13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6">
              <controlPr defaultSize="0" print="false" autoFill="0" autoPict="0" macro="Module2.Print_Money_Envelopes">
                <anchor moveWithCells="true" sizeWithCells="false">
                  <from>
                    <xdr:col>4</xdr:col>
                    <xdr:colOff>0</xdr:colOff>
                    <xdr:row>11</xdr:row>
                    <xdr:rowOff>13320</xdr:rowOff>
                  </from>
                  <to>
                    <xdr:col>5</xdr:col>
                    <xdr:colOff>750600</xdr:colOff>
                    <xdr:row>13</xdr:row>
                    <xdr:rowOff>13320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7">
              <controlPr defaultSize="0" print="false" autoFill="0" autoPict="0" macro="Module2.Print_Money_Statement">
                <anchor moveWithCells="true" sizeWithCells="false">
                  <from>
                    <xdr:col>1</xdr:col>
                    <xdr:colOff>0</xdr:colOff>
                    <xdr:row>14</xdr:row>
                    <xdr:rowOff>13320</xdr:rowOff>
                  </from>
                  <to>
                    <xdr:col>2</xdr:col>
                    <xdr:colOff>750600</xdr:colOff>
                    <xdr:row>16</xdr:row>
                    <xdr:rowOff>13320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LibreOffice/25.8.6.2$Windows_X86_64 LibreOffice_project/b4b39682cd9868fa725bc664aff94278d315bd04</Application>
  <AppVersion>15.0000</AppVersion>
  <Company>Javelin Joint Venture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2003-10-21T20:32:02Z</dcterms:created>
  <dc:creator>Chris Chlup</dc:creator>
  <dc:description/>
  <dc:language>en-US</dc:language>
  <cp:lastModifiedBy/>
  <cp:lastPrinted>2026-05-24T18:44:53Z</cp:lastPrinted>
  <dcterms:modified xsi:type="dcterms:W3CDTF">2026-05-29T16:39:48Z</dcterms:modified>
  <cp:revision>1</cp:revision>
  <dc:subject>rtnipcontrolcode:unrestricted|rtnipcontrolcodevm:rpogc035|rtnexportcontrolcountry:usa|rtnexportcontrolcode:otherinfo|rtnexportcontrolcodevm:piogcgtc5004</dc:subject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ActionId">
    <vt:lpwstr>2571a303-668f-4ba9-88eb-3824c578d955</vt:lpwstr>
  </property>
  <property fmtid="{D5CDD505-2E9C-101B-9397-08002B2CF9AE}" pid="3" name="MSIP_Label_4447dd6a-a4a1-440b-a6a3-9124ef1ee017_ContentBits">
    <vt:lpwstr>0</vt:lpwstr>
  </property>
  <property fmtid="{D5CDD505-2E9C-101B-9397-08002B2CF9AE}" pid="4" name="MSIP_Label_4447dd6a-a4a1-440b-a6a3-9124ef1ee017_Enabled">
    <vt:lpwstr>true</vt:lpwstr>
  </property>
  <property fmtid="{D5CDD505-2E9C-101B-9397-08002B2CF9AE}" pid="5" name="MSIP_Label_4447dd6a-a4a1-440b-a6a3-9124ef1ee017_Method">
    <vt:lpwstr>Standard</vt:lpwstr>
  </property>
  <property fmtid="{D5CDD505-2E9C-101B-9397-08002B2CF9AE}" pid="6" name="MSIP_Label_4447dd6a-a4a1-440b-a6a3-9124ef1ee017_Name">
    <vt:lpwstr>NO TECH DATA</vt:lpwstr>
  </property>
  <property fmtid="{D5CDD505-2E9C-101B-9397-08002B2CF9AE}" pid="7" name="MSIP_Label_4447dd6a-a4a1-440b-a6a3-9124ef1ee017_SetDate">
    <vt:lpwstr>2025-11-11T23:52:39Z</vt:lpwstr>
  </property>
  <property fmtid="{D5CDD505-2E9C-101B-9397-08002B2CF9AE}" pid="8" name="MSIP_Label_4447dd6a-a4a1-440b-a6a3-9124ef1ee017_SiteId">
    <vt:lpwstr>7a18110d-ef9b-4274-acef-e62ab0fe28ed</vt:lpwstr>
  </property>
  <property fmtid="{D5CDD505-2E9C-101B-9397-08002B2CF9AE}" pid="9" name="bjDocumentLabelXML">
    <vt:lpwstr>&lt;?xml version="1.0" encoding="us-ascii"?&gt;&lt;sisl xmlns:xsd="http://www.w3.org/2001/XMLSchema" xmlns:xsi="http://www.w3.org/2001/XMLSchema-instance" sislVersion="0" policy="cde53ac1-bf5f-4aae-9cf1-07509e23a4b0" origin="userSelected" xmlns="http://www.boldonj</vt:lpwstr>
  </property>
  <property fmtid="{D5CDD505-2E9C-101B-9397-08002B2CF9AE}" pid="10" name="bjDocumentLabelXML-0">
    <vt:lpwstr>ames.com/2008/01/sie/internal/label"&gt;&lt;element uid="dececbd6-da3b-46fe-8f00-f9d9deea2ee1" value="" /&gt;&lt;element uid="bba94c65-ac3d-4f34-b2e1-8de11ef6f01c" value="" /&gt;&lt;element uid="5a7c1d3c-72ce-436f-8e0f-5a13b827e20e" value="" /&gt;&lt;element uid="bc2b7c01-6db1-4</vt:lpwstr>
  </property>
  <property fmtid="{D5CDD505-2E9C-101B-9397-08002B2CF9AE}" pid="11" name="bjDocumentLabelXML-1">
    <vt:lpwstr>e7d-88d1-fc61674f86fd" value="" /&gt;&lt;element uid="c206d5fa-aee1-4f64-89d9-f81e4d7b3acc" value="" /&gt;&lt;/sisl&gt;</vt:lpwstr>
  </property>
  <property fmtid="{D5CDD505-2E9C-101B-9397-08002B2CF9AE}" pid="12" name="bjLabelRefreshRequired">
    <vt:lpwstr>FileClassifier</vt:lpwstr>
  </property>
  <property fmtid="{D5CDD505-2E9C-101B-9397-08002B2CF9AE}" pid="13" name="rtnexportcontrolcode">
    <vt:lpwstr>otherinfo</vt:lpwstr>
  </property>
  <property fmtid="{D5CDD505-2E9C-101B-9397-08002B2CF9AE}" pid="14" name="rtnexportcontrolcodevm">
    <vt:lpwstr>piogcgtc5004</vt:lpwstr>
  </property>
  <property fmtid="{D5CDD505-2E9C-101B-9397-08002B2CF9AE}" pid="15" name="rtnexportcontrolcountry">
    <vt:lpwstr>usa</vt:lpwstr>
  </property>
  <property fmtid="{D5CDD505-2E9C-101B-9397-08002B2CF9AE}" pid="16" name="rtnipcontrolcode">
    <vt:lpwstr>unrestricted</vt:lpwstr>
  </property>
  <property fmtid="{D5CDD505-2E9C-101B-9397-08002B2CF9AE}" pid="17" name="rtnipcontrolcodevm">
    <vt:lpwstr>rpogc035</vt:lpwstr>
  </property>
</Properties>
</file>